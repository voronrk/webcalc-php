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0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1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Калькуляция\2022\04 апрель\газеты рулонные\"/>
    </mc:Choice>
  </mc:AlternateContent>
  <bookViews>
    <workbookView xWindow="-15" yWindow="4185" windowWidth="15330" windowHeight="4125" tabRatio="713" activeTab="6"/>
  </bookViews>
  <sheets>
    <sheet name="Сайт" sheetId="36" r:id="rId1"/>
    <sheet name="Исх" sheetId="17" r:id="rId2"/>
    <sheet name="Мат" sheetId="16" r:id="rId3"/>
    <sheet name="Трудозатраты" sheetId="30" r:id="rId4"/>
    <sheet name="Заказ" sheetId="18" r:id="rId5"/>
    <sheet name="Заказ_Обложка" sheetId="35" r:id="rId6"/>
    <sheet name="Кальк" sheetId="11" r:id="rId7"/>
    <sheet name="Перепл-й" sheetId="27" r:id="rId8"/>
    <sheet name="CityLine" sheetId="32" r:id="rId9"/>
    <sheet name="Заявка" sheetId="29" r:id="rId10"/>
    <sheet name="ЯрлыкБ" sheetId="7" r:id="rId11"/>
    <sheet name="ЯрлыкБ2" sheetId="19" r:id="rId12"/>
    <sheet name="ЯРЛ.пач" sheetId="28" r:id="rId13"/>
    <sheet name="Ярлыки УПАКОВКА" sheetId="34" r:id="rId14"/>
    <sheet name="ЯрлыкК" sheetId="20" r:id="rId15"/>
    <sheet name="печ-й" sheetId="33" r:id="rId16"/>
    <sheet name="Старлайн" sheetId="31" r:id="rId17"/>
  </sheets>
  <functionGroups builtInGroupCount="18"/>
  <externalReferences>
    <externalReference r:id="rId18"/>
    <externalReference r:id="rId19"/>
    <externalReference r:id="rId20"/>
  </externalReferences>
  <definedNames>
    <definedName name="_xlnm._FilterDatabase" localSheetId="1" hidden="1">Исх!$KD$44:$LV$65</definedName>
    <definedName name="Menedgeri">Исх!$II$22:$II$28</definedName>
    <definedName name="Organizacia">Исх!$IT$2:$IT$4</definedName>
    <definedName name="Ryobi" comment="Нормы отходов бумаги на Ryobi" localSheetId="1">Исх!$K$126:$N$139</definedName>
    <definedName name="Tehnologi">Исх!$II$2:$II$16</definedName>
    <definedName name="Tip_pechati">Исх!$IF$2:$IF$3</definedName>
    <definedName name="Vid_produkcii">Исх!$JU$2:$KB$2</definedName>
    <definedName name="Z_DFC1AA5A_BB58_4864_A1E0_C1D77A337997_.wvu.Cols" localSheetId="7" hidden="1">'Перепл-й'!$C:$C,'Перепл-й'!$F:$F</definedName>
    <definedName name="Z_DFC1AA5A_BB58_4864_A1E0_C1D77A337997_.wvu.Cols" localSheetId="15" hidden="1">'печ-й'!$C:$C,'печ-й'!$F:$F</definedName>
    <definedName name="Z_DFC1AA5A_BB58_4864_A1E0_C1D77A337997_.wvu.Cols" localSheetId="10" hidden="1">ЯрлыкБ!#REF!</definedName>
    <definedName name="Z_DFC1AA5A_BB58_4864_A1E0_C1D77A337997_.wvu.Cols" localSheetId="11" hidden="1">ЯрлыкБ2!$J:$J</definedName>
    <definedName name="Z_DFC1AA5A_BB58_4864_A1E0_C1D77A337997_.wvu.Cols" localSheetId="14" hidden="1">ЯрлыкК!$G:$G</definedName>
    <definedName name="Z_DFC1AA5A_BB58_4864_A1E0_C1D77A337997_.wvu.PrintArea" localSheetId="4" hidden="1">Заказ!$B$1:$K$64</definedName>
    <definedName name="Z_DFC1AA5A_BB58_4864_A1E0_C1D77A337997_.wvu.PrintArea" localSheetId="5" hidden="1">Заказ_Обложка!$B$2:$AK$72</definedName>
    <definedName name="Z_DFC1AA5A_BB58_4864_A1E0_C1D77A337997_.wvu.PrintArea" localSheetId="6" hidden="1">Кальк!$A$10:$F$59</definedName>
    <definedName name="Z_DFC1AA5A_BB58_4864_A1E0_C1D77A337997_.wvu.PrintArea" localSheetId="10" hidden="1">ЯрлыкБ!$A$1:$N$35</definedName>
    <definedName name="Z_DFC1AA5A_BB58_4864_A1E0_C1D77A337997_.wvu.PrintArea" localSheetId="11" hidden="1">ЯрлыкБ2!$A$1:$J$23</definedName>
    <definedName name="Z_DFC1AA5A_BB58_4864_A1E0_C1D77A337997_.wvu.PrintArea" localSheetId="14" hidden="1">ЯрлыкК!$A$1:$G$27</definedName>
    <definedName name="Z_DFC1AA5A_BB58_4864_A1E0_C1D77A337997_.wvu.Rows" localSheetId="9" hidden="1">Заявка!#REF!</definedName>
    <definedName name="Z_DFC1AA5A_BB58_4864_A1E0_C1D77A337997_.wvu.Rows" localSheetId="1" hidden="1">Исх!$13:$13</definedName>
    <definedName name="Z_DFC1AA5A_BB58_4864_A1E0_C1D77A337997_.wvu.Rows" localSheetId="2" hidden="1">Мат!#REF!</definedName>
    <definedName name="Z_DFC1AA5A_BB58_4864_A1E0_C1D77A337997_.wvu.Rows" localSheetId="7" hidden="1">'Перепл-й'!$1:$4,'Перепл-й'!$6:$9,'Перепл-й'!#REF!,'Перепл-й'!#REF!</definedName>
    <definedName name="Z_DFC1AA5A_BB58_4864_A1E0_C1D77A337997_.wvu.Rows" localSheetId="15" hidden="1">'печ-й'!$1:$4,'печ-й'!$6:$9,'печ-й'!#REF!,'печ-й'!#REF!</definedName>
    <definedName name="БЛАНОЧНАЯ_ПРОДУКЦИЯ">Исх!$JX$3:$JX$8</definedName>
    <definedName name="ВЫБОРНАЯ_ПРОДУКЦИЯ">Исх!$JZ$3:$JZ$5</definedName>
    <definedName name="ГАЗЕТЫ">Исх!$JU$3:$JU$5</definedName>
    <definedName name="Доминант" comment="Нормы отходов бумаги на Доминант">Исх!$W$126:$Z$141</definedName>
    <definedName name="_xlnm.Print_Titles" localSheetId="9">Заявка!#REF!</definedName>
    <definedName name="_xlnm.Print_Titles" localSheetId="2">Мат!$1:$1</definedName>
    <definedName name="_xlnm.Print_Titles" localSheetId="7">'Перепл-й'!$11:$11</definedName>
    <definedName name="_xlnm.Print_Titles" localSheetId="15">'печ-й'!$11:$11</definedName>
    <definedName name="КНИЖНО_ЖУРНАЛЬНАЯ_ПРОДУКЦИЯ">Исх!$JW$3:$JW$11</definedName>
    <definedName name="Комори" comment="Нормы отходов бумаги на Комори" localSheetId="1">Исх!$C$126:$E$139</definedName>
    <definedName name="Марк" comment="Нормы отходов бумаги на Марк-62" localSheetId="1">Исх!$C$144:$N$164</definedName>
    <definedName name="Накладные_расходы">Кальк!$E$34</definedName>
    <definedName name="НЕПОЛИГРАФИЧЕСКИЕ_УСЛУГИ">Исх!$KA$3:$KA$7</definedName>
    <definedName name="_xlnm.Print_Area" localSheetId="8">CityLine!$C$1:$AF$148</definedName>
    <definedName name="_xlnm.Print_Area" localSheetId="4">Заказ!$B$1:$K$64</definedName>
    <definedName name="_xlnm.Print_Area" localSheetId="5">Заказ_Обложка!$B$1:$AK$130</definedName>
    <definedName name="_xlnm.Print_Area" localSheetId="9">Заявка!$B$1:$J$218</definedName>
    <definedName name="_xlnm.Print_Area" localSheetId="1">Исх!$A$1:$AK$155</definedName>
    <definedName name="_xlnm.Print_Area" localSheetId="6">Кальк!$A$1:$J$62</definedName>
    <definedName name="_xlnm.Print_Area" localSheetId="2">Мат!$A$1:$J$314</definedName>
    <definedName name="_xlnm.Print_Area" localSheetId="7">'Перепл-й'!$A$5:$O$35</definedName>
    <definedName name="_xlnm.Print_Area" localSheetId="15">'печ-й'!$A$5:$O$44</definedName>
    <definedName name="_xlnm.Print_Area" localSheetId="16">Старлайн!$B$1:$AE$63</definedName>
    <definedName name="_xlnm.Print_Area" localSheetId="3">Трудозатраты!$A$1:$T$846</definedName>
    <definedName name="_xlnm.Print_Area" localSheetId="10">ЯрлыкБ!$A$1:$N$35</definedName>
    <definedName name="_xlnm.Print_Area" localSheetId="11">ЯрлыкБ2!$A$1:$J$23</definedName>
    <definedName name="_xlnm.Print_Area" localSheetId="14">ЯрлыкК!$A$1:$G$28</definedName>
    <definedName name="ПОГ" comment="Нормы отходов бумаги на ПОГ-60" localSheetId="1">Исх!$AB$101:$AD$121</definedName>
    <definedName name="Прямые_затраты">Кальк!$E$33</definedName>
    <definedName name="РезкаПодрезка">Трудозатраты!$Z$124</definedName>
    <definedName name="РЕКЛАМНАЯ_ПРОДУКЦИЯ">Исх!$JY$3:$JY$13</definedName>
    <definedName name="Рентабельность">Кальк!$E$36</definedName>
    <definedName name="Рентабельность_процент">Кальк!$D$36</definedName>
    <definedName name="РО" comment="Нормы отходов бумаги на РО-62" localSheetId="1">Исх!$C$144:$N$164</definedName>
    <definedName name="Ромайор" comment="Нормы отходов бумаги на Ромайор" localSheetId="1">Исх!$S$126:$U$140</definedName>
    <definedName name="СityLine" comment="Нормы отходов бумаги на СитиЛайне">Исх!$C$169:$AH$189</definedName>
    <definedName name="Себестоимость">Кальк!$E$35</definedName>
    <definedName name="Ставка_НДС">Кальк!$D$47</definedName>
    <definedName name="Старлайн" comment="Нормы отходов бумаги на Старлайне" localSheetId="1">Исх!$C$101:$U$121</definedName>
    <definedName name="Стоимость_за_тираж_без_НДС">Кальк!$E$46</definedName>
    <definedName name="Сумма_зпл">Кальк!$E$28</definedName>
    <definedName name="Сумма_материалов">Кальк!$E$23</definedName>
    <definedName name="Сумма_НДС">Кальк!$E$47</definedName>
    <definedName name="Сумма_переплетный_участок">Кальк!$E$31</definedName>
    <definedName name="Сумма_печатный_участок">Кальк!$E$30</definedName>
    <definedName name="Сумма_подготовка_материала">Кальк!$E$29</definedName>
    <definedName name="Сумма_прочие_расходы">Кальк!$E$37</definedName>
    <definedName name="Сумма_цифровой_участок">Кальк!$E$32</definedName>
    <definedName name="Тариф1" comment="Формула расчета тарифа от разряда за ед.изм.=1.">ROUND([1]Трудозатраты!XFD1*(LOOKUP([1]Трудозатраты!XEW1,[1]Трудозатраты!$X$3:$X$8,[1]Трудозатраты!$Y$3:$Y$8)/[1]Трудозатраты!$Z$1)/ROUND([1]Трудозатраты!XFD1/[1]Трудозатраты!XEZ1,3),2)</definedName>
    <definedName name="Тариф1000_1чел" comment="Формула расчета тарифа от разряда за ед.изм.= 1000.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1048576,0)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2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1048576,0)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3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1048575,0)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ариф1000_4чел">ROUND(IF([1]Трудозатраты!XEZ1&lt;0.001,([1]Трудозатраты!XFD1*(LOOKUP([1]Трудозатраты!XEW1,[1]Трудозатраты!$X$3:$X$8,[1]Трудозатраты!$Y$3:$Y$8)/[1]Трудозатраты!$Z$1)/ROUND([1]Трудозатраты!XFD1/[1]Трудозатраты!XEZ1048574,0)),([1]Трудозатраты!XFD1*(LOOKUP([1]Трудозатраты!XEW1,[1]Трудозатраты!$X$3:$X$8,[1]Трудозатраты!$Y$3:$Y$8)/[1]Трудозатраты!$Z$1)/ROUND([1]Трудозатраты!XFD1/[1]Трудозатраты!XEZ1,0))),2)</definedName>
    <definedName name="тип_бумаги">IF([2]Труд!XEL1&gt;0,OFFSET(INDIRECT(MID(GET.CELL(41.63,[2]Труд!$H1),2,IF(MAX(IFERROR(SEARCH({"~*","+","-","/"},GET.CELL(41.63,[2]Труд!$H1)),0))=0,10,MAX(IFERROR(SEARCH({"~*","+","-","/"},GET.CELL(41.63,[2]Труд!$H1)),0)))-2)),,30),0)</definedName>
    <definedName name="Тираж">Кальк!$E$11</definedName>
    <definedName name="Трафарет" comment="Нормы отходов бумаги на Трафарет" localSheetId="1">Исх!$K$126:$N$139</definedName>
    <definedName name="Трафаретная_Машина">[1]Заказ_Трафарет!$AL$4:$AL$5</definedName>
    <definedName name="УПАКОВКА">Исх!$JV$3:$JV$9</definedName>
    <definedName name="Форм" localSheetId="5">IFERROR((VLOOKUP([2]Исх!C1/[2]Исх!XFA1*[2]Исх!XET1,INDIRECT([2]Исх!AU1),[2]Исх!$H1+1)-INDEX(INDIRECT([2]Исх!AU1),MATCH([2]Исх!C1/[2]Исх!XFA1*[2]Исх!XET1,INDEX(INDIRECT([2]Исх!AU1),0,1))+1,[2]Исх!$H1+1))/(VLOOKUP([2]Исх!C1/[2]Исх!XFA1*[2]Исх!XET1,INDIRECT([2]Исх!AU1),1)-INDEX(INDIRECT([2]Исх!AU1),MATCH([2]Исх!C1/[2]Исх!XFA1*[2]Исх!XET1,INDEX(INDIRECT([2]Исх!AU1),0,1))+1,1))*([2]Исх!C1/[2]Исх!XFA1*[2]Исх!XET1-VLOOKUP([2]Исх!C1/[2]Исх!XFA1*[2]Исх!XET1,INDIRECT([2]Исх!AU1),1)),0)</definedName>
    <definedName name="Форм" localSheetId="1">IFERROR((VLOOKUP(Исх!C1/Исх!XFA1*Исх!XET1,INDIRECT(Исх!AU1),Исх!$F1+1)-INDEX(INDIRECT(Исх!AU1),MATCH(Исх!C1/Исх!XFA1*Исх!XET1,INDEX(INDIRECT(Исх!AU1),0,1))+1,Исх!$F1+1))/(VLOOKUP(Исх!C1/Исх!XFA1*Исх!XET1,INDIRECT(Исх!AU1),1)-INDEX(INDIRECT(Исх!AU1),MATCH(Исх!C1/Исх!XFA1*Исх!XET1,INDEX(INDIRECT(Исх!AU1),0,1))+1,1))*(Исх!C1/Исх!XFA1*Исх!XET1-VLOOKUP(Исх!C1/Исх!XFA1*Исх!XET1,INDIRECT(Исх!AU1),1)),0)</definedName>
    <definedName name="Форм">IFERROR((VLOOKUP([1]Исх!C1/[1]Исх!XFA1*[1]Исх!XET1,INDIRECT([1]Исх!AU1),[1]Исх!$F1+1)-INDEX(INDIRECT([1]Исх!AU1),MATCH([1]Исх!C1/[1]Исх!XFA1*[1]Исх!XET1,INDEX(INDIRECT([1]Исх!AU1),0,1))+1,[1]Исх!$F1+1))/(VLOOKUP([1]Исх!C1/[1]Исх!XFA1*[1]Исх!XET1,INDIRECT([1]Исх!AU1),1)-INDEX(INDIRECT([1]Исх!AU1),MATCH([1]Исх!C1/[1]Исх!XFA1*[1]Исх!XET1,INDEX(INDIRECT([1]Исх!AU1),0,1))+1,1))*([1]Исх!C1/[1]Исх!XFA1*[1]Исх!XET1-VLOOKUP([1]Исх!C1/[1]Исх!XFA1*[1]Исх!XET1,INDIRECT([1]Исх!AU1),1)),0)</definedName>
    <definedName name="Форм1" localSheetId="5">IFERROR((VLOOKUP([2]Исх!C1/[2]Исх!XFA1/INT([2]Исх!XEL1),INDIRECT([2]Исх!AU1),[2]Исх!XEM1+8*([2]Исх!J1-1))-INDEX(INDIRECT([2]Исх!AU1),MATCH([2]Исх!C1/[2]Исх!XFA1/INT([2]Исх!XEL1),INDEX(INDIRECT([2]Исх!AU1),0,1))+1,[2]Исх!XEM1+8*([2]Исх!J1-1)))/(VLOOKUP([2]Исх!C1/[2]Исх!XFA1/INT([2]Исх!XEL1),INDIRECT([2]Исх!AU1),1)-INDEX(INDIRECT([2]Исх!AU1),MATCH([2]Исх!C1/[2]Исх!XFA1/INT([2]Исх!XEL1),INDEX(INDIRECT([2]Исх!AU1),0,1))+1,1))*([2]Исх!C1/[2]Исх!XFA1/INT([2]Исх!XEL1)-VLOOKUP([2]Исх!C1/[2]Исх!XFA1/INT([2]Исх!XEL1),INDIRECT([2]Исх!AU1),1)),0)</definedName>
    <definedName name="Форм1" localSheetId="1">IFERROR((VLOOKUP(Исх!C1/Исх!XFA1/INT(Исх!XEN1)*INT(Исх!XEN1),INDIRECT(Исх!AU1),Исх!XEO1+8*(Исх!J1-1))-INDEX(INDIRECT(Исх!AU1),MATCH(Исх!C1/Исх!XFA1/INT(Исх!XEN1)*INT(Исх!XEN1),INDEX(INDIRECT(Исх!AU1),0,1))+1,Исх!XEO1+8*(Исх!J1-1)))/(VLOOKUP(Исх!C1/Исх!XFA1/INT(Исх!XEN1)*INT(Исх!XEN1),INDIRECT(Исх!AU1),1)-INDEX(INDIRECT(Исх!AU1),MATCH(Исх!C1/Исх!XFA1/INT(Исх!XEN1)*INT(Исх!XEN1),INDEX(INDIRECT(Исх!AU1),0,1))+1,1))*(Исх!C1/Исх!XFA1/INT(Исх!XEN1)*INT(Исх!XEN1)-VLOOKUP(Исх!C1/Исх!XFA1/INT(Исх!XEN1)*INT(Исх!XEN1),INDIRECT(Исх!AU1),1)),0)</definedName>
    <definedName name="Форм1">IFERROR((VLOOKUP([1]Исх!C1/[1]Исх!XFA1/INT([1]Исх!XEN1),INDIRECT([1]Исх!AU1),[1]Исх!XEO1+8*([1]Исх!J1-1))-INDEX(INDIRECT([1]Исх!AU1),MATCH([1]Исх!C1/[1]Исх!XFA1/INT([1]Исх!XEN1),INDEX(INDIRECT([1]Исх!AU1),0,1))+1,[1]Исх!XEO1+8*([1]Исх!J1-1)))/(VLOOKUP([1]Исх!C1/[1]Исх!XFA1/INT([1]Исх!XEN1),INDIRECT([1]Исх!AU1),1)-INDEX(INDIRECT([1]Исх!AU1),MATCH([1]Исх!C1/[1]Исх!XFA1/INT([1]Исх!XEN1),INDEX(INDIRECT([1]Исх!AU1),0,1))+1,1))*([1]Исх!C1/[1]Исх!XFA1/INT([1]Исх!XEN1)-VLOOKUP([1]Исх!C1/[1]Исх!XFA1/INT([1]Исх!XEN1),INDIRECT([1]Исх!AU1),1)),0)</definedName>
    <definedName name="Цена_без_НДС">Кальк!$D$46</definedName>
    <definedName name="Цена_с_НДС">Кальк!$D$48</definedName>
    <definedName name="Циркон" comment="Нормы отходов бумаги на Циркон-62" localSheetId="1">Исх!$C$144:$N$164</definedName>
  </definedNames>
  <calcPr calcId="152511" iterate="1"/>
  <customWorkbookViews>
    <customWorkbookView name="1" guid="{DFC1AA5A-BB58-4864-A1E0-C1D77A337997}" maximized="1" windowWidth="1020" windowHeight="633" tabRatio="920" activeSheetId="17"/>
  </customWorkbookViews>
</workbook>
</file>

<file path=xl/calcChain.xml><?xml version="1.0" encoding="utf-8"?>
<calcChain xmlns="http://schemas.openxmlformats.org/spreadsheetml/2006/main">
  <c r="B56" i="11" l="1"/>
  <c r="J14" i="18" l="1"/>
  <c r="AD836" i="30" l="1"/>
  <c r="M836" i="30"/>
  <c r="O836" i="30" s="1"/>
  <c r="I836" i="30"/>
  <c r="J836" i="30" s="1"/>
  <c r="P836" i="30" l="1"/>
  <c r="Q836" i="30"/>
  <c r="AD650" i="30"/>
  <c r="M650" i="30"/>
  <c r="I650" i="30"/>
  <c r="J650" i="30" s="1"/>
  <c r="AD649" i="30"/>
  <c r="M649" i="30"/>
  <c r="I649" i="30"/>
  <c r="J649" i="30" s="1"/>
  <c r="AD648" i="30"/>
  <c r="M648" i="30"/>
  <c r="O648" i="30" s="1"/>
  <c r="I648" i="30"/>
  <c r="J648" i="30" s="1"/>
  <c r="AD834" i="30"/>
  <c r="AD111" i="30"/>
  <c r="AE36" i="30"/>
  <c r="AE37" i="30"/>
  <c r="AE74" i="30"/>
  <c r="AE112" i="30"/>
  <c r="AE113" i="30"/>
  <c r="AE114" i="30"/>
  <c r="AE123" i="30"/>
  <c r="AE128" i="30"/>
  <c r="AE129" i="30"/>
  <c r="AE147" i="30"/>
  <c r="AE166" i="30"/>
  <c r="AE185" i="30"/>
  <c r="AE204" i="30"/>
  <c r="AE223" i="30"/>
  <c r="AE225" i="30"/>
  <c r="AE239" i="30"/>
  <c r="AE253" i="30"/>
  <c r="AE267" i="30"/>
  <c r="AE281" i="30"/>
  <c r="AE295" i="30"/>
  <c r="AE297" i="30"/>
  <c r="AE307" i="30"/>
  <c r="AE317" i="30"/>
  <c r="AE327" i="30"/>
  <c r="AE337" i="30"/>
  <c r="AE347" i="30"/>
  <c r="AE349" i="30"/>
  <c r="AE357" i="30"/>
  <c r="AE365" i="30"/>
  <c r="AE373" i="30"/>
  <c r="AE381" i="30"/>
  <c r="AE389" i="30"/>
  <c r="AE391" i="30"/>
  <c r="AE394" i="30"/>
  <c r="AE397" i="30"/>
  <c r="AE412" i="30"/>
  <c r="AE417" i="30"/>
  <c r="AE422" i="30"/>
  <c r="AE424" i="30"/>
  <c r="AE428" i="30"/>
  <c r="AE430" i="30"/>
  <c r="AE439" i="30"/>
  <c r="AE443" i="30"/>
  <c r="AE446" i="30"/>
  <c r="AE449" i="30"/>
  <c r="AE454" i="30"/>
  <c r="AE455" i="30"/>
  <c r="AE465" i="30"/>
  <c r="AE477" i="30"/>
  <c r="AE491" i="30"/>
  <c r="AE496" i="30"/>
  <c r="AE503" i="30"/>
  <c r="AE511" i="30"/>
  <c r="AE515" i="30"/>
  <c r="AE519" i="30"/>
  <c r="AE524" i="30"/>
  <c r="AE526" i="30"/>
  <c r="AE527" i="30"/>
  <c r="AE535" i="30"/>
  <c r="AE544" i="30"/>
  <c r="AE550" i="30"/>
  <c r="AE554" i="30"/>
  <c r="AE555" i="30"/>
  <c r="AE563" i="30"/>
  <c r="AE574" i="30"/>
  <c r="AE578" i="30"/>
  <c r="AE582" i="30"/>
  <c r="AE583" i="30"/>
  <c r="AE587" i="30"/>
  <c r="AE593" i="30"/>
  <c r="AE598" i="30"/>
  <c r="AE602" i="30"/>
  <c r="AE603" i="30"/>
  <c r="AE605" i="30"/>
  <c r="AE608" i="30"/>
  <c r="AE609" i="30"/>
  <c r="AE612" i="30"/>
  <c r="AE618" i="30"/>
  <c r="AE619" i="30"/>
  <c r="AE623" i="30"/>
  <c r="AE627" i="30"/>
  <c r="AE634" i="30"/>
  <c r="AE640" i="30"/>
  <c r="AE644" i="30"/>
  <c r="AE655" i="30"/>
  <c r="AE656" i="30"/>
  <c r="AE659" i="30"/>
  <c r="AE664" i="30"/>
  <c r="AE665" i="30"/>
  <c r="AE666" i="30"/>
  <c r="AE674" i="30"/>
  <c r="AE682" i="30"/>
  <c r="AE690" i="30"/>
  <c r="AE698" i="30"/>
  <c r="AE706" i="30"/>
  <c r="AE707" i="30"/>
  <c r="AE715" i="30"/>
  <c r="AE723" i="30"/>
  <c r="AE731" i="30"/>
  <c r="AE739" i="30"/>
  <c r="AE749" i="30"/>
  <c r="AE755" i="30"/>
  <c r="AE761" i="30"/>
  <c r="AE767" i="30"/>
  <c r="AE773" i="30"/>
  <c r="AE779" i="30"/>
  <c r="AE785" i="30"/>
  <c r="AE791" i="30"/>
  <c r="AE797" i="30"/>
  <c r="AE808" i="30"/>
  <c r="AE812" i="30"/>
  <c r="AE819" i="30"/>
  <c r="AE826" i="30"/>
  <c r="AE828" i="30"/>
  <c r="AE840" i="30"/>
  <c r="AE19" i="30"/>
  <c r="AD113" i="30"/>
  <c r="AD114" i="30"/>
  <c r="AD115" i="30"/>
  <c r="AD116" i="30"/>
  <c r="AD117" i="30"/>
  <c r="AD118" i="30"/>
  <c r="AD119" i="30"/>
  <c r="AD120" i="30"/>
  <c r="AD121" i="30"/>
  <c r="AD122" i="30"/>
  <c r="AD123" i="30"/>
  <c r="AD124" i="30"/>
  <c r="AD125" i="30"/>
  <c r="AD126" i="30"/>
  <c r="AD127" i="30"/>
  <c r="AD128" i="30"/>
  <c r="AD129" i="30"/>
  <c r="AD130" i="30"/>
  <c r="AD131" i="30"/>
  <c r="AD132" i="30"/>
  <c r="AD133" i="30"/>
  <c r="AD134" i="30"/>
  <c r="AD135" i="30"/>
  <c r="AD136" i="30"/>
  <c r="AD137" i="30"/>
  <c r="AD138" i="30"/>
  <c r="AD139" i="30"/>
  <c r="AD140" i="30"/>
  <c r="AD141" i="30"/>
  <c r="AD142" i="30"/>
  <c r="AD143" i="30"/>
  <c r="AD144" i="30"/>
  <c r="AD145" i="30"/>
  <c r="AD146" i="30"/>
  <c r="AD147" i="30"/>
  <c r="AD148" i="30"/>
  <c r="AD149" i="30"/>
  <c r="AD150" i="30"/>
  <c r="AD151" i="30"/>
  <c r="AD152" i="30"/>
  <c r="AD153" i="30"/>
  <c r="AD154" i="30"/>
  <c r="AD155" i="30"/>
  <c r="AD156" i="30"/>
  <c r="AD157" i="30"/>
  <c r="AD158" i="30"/>
  <c r="AD159" i="30"/>
  <c r="AD160" i="30"/>
  <c r="AD161" i="30"/>
  <c r="AD162" i="30"/>
  <c r="AD163" i="30"/>
  <c r="AD164" i="30"/>
  <c r="AD165" i="30"/>
  <c r="AD166" i="30"/>
  <c r="AD167" i="30"/>
  <c r="AD168" i="30"/>
  <c r="AD169" i="30"/>
  <c r="AD170" i="30"/>
  <c r="AD171" i="30"/>
  <c r="AD172" i="30"/>
  <c r="AD173" i="30"/>
  <c r="AD174" i="30"/>
  <c r="AD175" i="30"/>
  <c r="AD176" i="30"/>
  <c r="AD177" i="30"/>
  <c r="AD178" i="30"/>
  <c r="AD179" i="30"/>
  <c r="AD180" i="30"/>
  <c r="AD181" i="30"/>
  <c r="AD182" i="30"/>
  <c r="AD183" i="30"/>
  <c r="AD184" i="30"/>
  <c r="AD185" i="30"/>
  <c r="AD186" i="30"/>
  <c r="AD187" i="30"/>
  <c r="AD188" i="30"/>
  <c r="AD189" i="30"/>
  <c r="AD190" i="30"/>
  <c r="AD191" i="30"/>
  <c r="AD192" i="30"/>
  <c r="AD193" i="30"/>
  <c r="AD194" i="30"/>
  <c r="AD195" i="30"/>
  <c r="AD196" i="30"/>
  <c r="AD197" i="30"/>
  <c r="AD198" i="30"/>
  <c r="AD199" i="30"/>
  <c r="AD200" i="30"/>
  <c r="AD201" i="30"/>
  <c r="AD202" i="30"/>
  <c r="AD203" i="30"/>
  <c r="AD204" i="30"/>
  <c r="AD205" i="30"/>
  <c r="AD206" i="30"/>
  <c r="AD207" i="30"/>
  <c r="AD208" i="30"/>
  <c r="AD209" i="30"/>
  <c r="AD210" i="30"/>
  <c r="AD211" i="30"/>
  <c r="AD212" i="30"/>
  <c r="AD213" i="30"/>
  <c r="AD214" i="30"/>
  <c r="AD215" i="30"/>
  <c r="AD216" i="30"/>
  <c r="AD217" i="30"/>
  <c r="AD218" i="30"/>
  <c r="AD219" i="30"/>
  <c r="AD220" i="30"/>
  <c r="AD221" i="30"/>
  <c r="AD222" i="30"/>
  <c r="AD223" i="30"/>
  <c r="AD224" i="30"/>
  <c r="AD225" i="30"/>
  <c r="AD226" i="30"/>
  <c r="AD227" i="30"/>
  <c r="AD228" i="30"/>
  <c r="AD229" i="30"/>
  <c r="AD230" i="30"/>
  <c r="AD231" i="30"/>
  <c r="AD232" i="30"/>
  <c r="AD233" i="30"/>
  <c r="AD234" i="30"/>
  <c r="AD235" i="30"/>
  <c r="AD236" i="30"/>
  <c r="AD237" i="30"/>
  <c r="AD238" i="30"/>
  <c r="AD239" i="30"/>
  <c r="AD240" i="30"/>
  <c r="AD241" i="30"/>
  <c r="AD242" i="30"/>
  <c r="AD243" i="30"/>
  <c r="AD244" i="30"/>
  <c r="AD245" i="30"/>
  <c r="AD246" i="30"/>
  <c r="AD247" i="30"/>
  <c r="AD248" i="30"/>
  <c r="AD249" i="30"/>
  <c r="AD250" i="30"/>
  <c r="AD251" i="30"/>
  <c r="AD252" i="30"/>
  <c r="AD253" i="30"/>
  <c r="AD254" i="30"/>
  <c r="AD255" i="30"/>
  <c r="AD256" i="30"/>
  <c r="AD257" i="30"/>
  <c r="AD258" i="30"/>
  <c r="AD259" i="30"/>
  <c r="AD260" i="30"/>
  <c r="AD261" i="30"/>
  <c r="AD262" i="30"/>
  <c r="AD263" i="30"/>
  <c r="AD264" i="30"/>
  <c r="AD265" i="30"/>
  <c r="AD266" i="30"/>
  <c r="AD267" i="30"/>
  <c r="AD268" i="30"/>
  <c r="AD269" i="30"/>
  <c r="AD270" i="30"/>
  <c r="AD271" i="30"/>
  <c r="AD272" i="30"/>
  <c r="AD273" i="30"/>
  <c r="AD274" i="30"/>
  <c r="AD275" i="30"/>
  <c r="AD276" i="30"/>
  <c r="AD277" i="30"/>
  <c r="AD278" i="30"/>
  <c r="AD279" i="30"/>
  <c r="AD280" i="30"/>
  <c r="AD281" i="30"/>
  <c r="AD282" i="30"/>
  <c r="AD283" i="30"/>
  <c r="AD284" i="30"/>
  <c r="AD285" i="30"/>
  <c r="AD286" i="30"/>
  <c r="AD287" i="30"/>
  <c r="AD288" i="30"/>
  <c r="AD289" i="30"/>
  <c r="AD290" i="30"/>
  <c r="AD291" i="30"/>
  <c r="AD292" i="30"/>
  <c r="AD293" i="30"/>
  <c r="AD294" i="30"/>
  <c r="AD295" i="30"/>
  <c r="AD296" i="30"/>
  <c r="AD297" i="30"/>
  <c r="AD298" i="30"/>
  <c r="AD299" i="30"/>
  <c r="AD300" i="30"/>
  <c r="AD301" i="30"/>
  <c r="AD302" i="30"/>
  <c r="AD303" i="30"/>
  <c r="AD304" i="30"/>
  <c r="AD305" i="30"/>
  <c r="AD306" i="30"/>
  <c r="AD307" i="30"/>
  <c r="AD308" i="30"/>
  <c r="AD309" i="30"/>
  <c r="AD310" i="30"/>
  <c r="AD311" i="30"/>
  <c r="AD312" i="30"/>
  <c r="AD313" i="30"/>
  <c r="AD314" i="30"/>
  <c r="AD315" i="30"/>
  <c r="AD316" i="30"/>
  <c r="AD317" i="30"/>
  <c r="AD318" i="30"/>
  <c r="AD319" i="30"/>
  <c r="AD320" i="30"/>
  <c r="AD321" i="30"/>
  <c r="AD322" i="30"/>
  <c r="AD323" i="30"/>
  <c r="AD324" i="30"/>
  <c r="AD325" i="30"/>
  <c r="AD326" i="30"/>
  <c r="AD327" i="30"/>
  <c r="AD328" i="30"/>
  <c r="AD329" i="30"/>
  <c r="AD330" i="30"/>
  <c r="AD331" i="30"/>
  <c r="AD332" i="30"/>
  <c r="AD333" i="30"/>
  <c r="AD334" i="30"/>
  <c r="AD335" i="30"/>
  <c r="AD336" i="30"/>
  <c r="AD337" i="30"/>
  <c r="AD338" i="30"/>
  <c r="AD339" i="30"/>
  <c r="AD340" i="30"/>
  <c r="AD341" i="30"/>
  <c r="AD342" i="30"/>
  <c r="AD343" i="30"/>
  <c r="AD344" i="30"/>
  <c r="AD345" i="30"/>
  <c r="AD346" i="30"/>
  <c r="AD347" i="30"/>
  <c r="AD348" i="30"/>
  <c r="AD349" i="30"/>
  <c r="AD350" i="30"/>
  <c r="AD351" i="30"/>
  <c r="AD352" i="30"/>
  <c r="AD353" i="30"/>
  <c r="AD354" i="30"/>
  <c r="AD355" i="30"/>
  <c r="AD356" i="30"/>
  <c r="AD357" i="30"/>
  <c r="AD358" i="30"/>
  <c r="AD359" i="30"/>
  <c r="AD360" i="30"/>
  <c r="AD361" i="30"/>
  <c r="AD362" i="30"/>
  <c r="AD363" i="30"/>
  <c r="AD364" i="30"/>
  <c r="AD365" i="30"/>
  <c r="AD366" i="30"/>
  <c r="AD367" i="30"/>
  <c r="AD368" i="30"/>
  <c r="AD369" i="30"/>
  <c r="AD370" i="30"/>
  <c r="AD371" i="30"/>
  <c r="AD372" i="30"/>
  <c r="AD373" i="30"/>
  <c r="AD374" i="30"/>
  <c r="AD375" i="30"/>
  <c r="AD376" i="30"/>
  <c r="AD377" i="30"/>
  <c r="AD378" i="30"/>
  <c r="AD379" i="30"/>
  <c r="AD380" i="30"/>
  <c r="AD381" i="30"/>
  <c r="AD382" i="30"/>
  <c r="AD383" i="30"/>
  <c r="AD384" i="30"/>
  <c r="AD385" i="30"/>
  <c r="AD386" i="30"/>
  <c r="AD387" i="30"/>
  <c r="AD388" i="30"/>
  <c r="AD389" i="30"/>
  <c r="AD390" i="30"/>
  <c r="AD391" i="30"/>
  <c r="AD392" i="30"/>
  <c r="AD393" i="30"/>
  <c r="AD394" i="30"/>
  <c r="AD395" i="30"/>
  <c r="AD396" i="30"/>
  <c r="AD397" i="30"/>
  <c r="AD398" i="30"/>
  <c r="AD399" i="30"/>
  <c r="AD400" i="30"/>
  <c r="AD401" i="30"/>
  <c r="AD402" i="30"/>
  <c r="AD403" i="30"/>
  <c r="AD404" i="30"/>
  <c r="AD405" i="30"/>
  <c r="AD406" i="30"/>
  <c r="AD407" i="30"/>
  <c r="AD408" i="30"/>
  <c r="AD409" i="30"/>
  <c r="AD410" i="30"/>
  <c r="AD411" i="30"/>
  <c r="AD412" i="30"/>
  <c r="AD413" i="30"/>
  <c r="AD414" i="30"/>
  <c r="AD415" i="30"/>
  <c r="AD416" i="30"/>
  <c r="AD417" i="30"/>
  <c r="AD418" i="30"/>
  <c r="AD419" i="30"/>
  <c r="AD420" i="30"/>
  <c r="AD421" i="30"/>
  <c r="AD422" i="30"/>
  <c r="AD423" i="30"/>
  <c r="AD424" i="30"/>
  <c r="AD425" i="30"/>
  <c r="AD426" i="30"/>
  <c r="AD427" i="30"/>
  <c r="AD428" i="30"/>
  <c r="AD429" i="30"/>
  <c r="AD430" i="30"/>
  <c r="AD431" i="30"/>
  <c r="AD432" i="30"/>
  <c r="AD433" i="30"/>
  <c r="AD434" i="30"/>
  <c r="AD435" i="30"/>
  <c r="AD436" i="30"/>
  <c r="AD437" i="30"/>
  <c r="AD438" i="30"/>
  <c r="AD439" i="30"/>
  <c r="AD440" i="30"/>
  <c r="AD441" i="30"/>
  <c r="AD442" i="30"/>
  <c r="AD443" i="30"/>
  <c r="AD444" i="30"/>
  <c r="AD445" i="30"/>
  <c r="AD446" i="30"/>
  <c r="AD447" i="30"/>
  <c r="AD448" i="30"/>
  <c r="AD449" i="30"/>
  <c r="AD450" i="30"/>
  <c r="AD451" i="30"/>
  <c r="AD452" i="30"/>
  <c r="AD453" i="30"/>
  <c r="AD454" i="30"/>
  <c r="AD455" i="30"/>
  <c r="AD456" i="30"/>
  <c r="AD457" i="30"/>
  <c r="AD458" i="30"/>
  <c r="AD459" i="30"/>
  <c r="AD460" i="30"/>
  <c r="AD461" i="30"/>
  <c r="AD462" i="30"/>
  <c r="AD463" i="30"/>
  <c r="AD464" i="30"/>
  <c r="AD465" i="30"/>
  <c r="AD466" i="30"/>
  <c r="AD467" i="30"/>
  <c r="AD468" i="30"/>
  <c r="AD469" i="30"/>
  <c r="AD470" i="30"/>
  <c r="AD471" i="30"/>
  <c r="AD472" i="30"/>
  <c r="AD473" i="30"/>
  <c r="AD474" i="30"/>
  <c r="AD475" i="30"/>
  <c r="AD476" i="30"/>
  <c r="AD477" i="30"/>
  <c r="AD478" i="30"/>
  <c r="AD479" i="30"/>
  <c r="AD480" i="30"/>
  <c r="AD481" i="30"/>
  <c r="AD482" i="30"/>
  <c r="AD483" i="30"/>
  <c r="AD484" i="30"/>
  <c r="AD485" i="30"/>
  <c r="AD486" i="30"/>
  <c r="AD487" i="30"/>
  <c r="AD488" i="30"/>
  <c r="AD489" i="30"/>
  <c r="AD490" i="30"/>
  <c r="AD491" i="30"/>
  <c r="AD492" i="30"/>
  <c r="AD493" i="30"/>
  <c r="AD494" i="30"/>
  <c r="AD495" i="30"/>
  <c r="AD496" i="30"/>
  <c r="AD497" i="30"/>
  <c r="AD498" i="30"/>
  <c r="AD499" i="30"/>
  <c r="AD500" i="30"/>
  <c r="AD501" i="30"/>
  <c r="AD502" i="30"/>
  <c r="AD503" i="30"/>
  <c r="AD504" i="30"/>
  <c r="AD505" i="30"/>
  <c r="AD506" i="30"/>
  <c r="AD507" i="30"/>
  <c r="AD508" i="30"/>
  <c r="AD509" i="30"/>
  <c r="AD510" i="30"/>
  <c r="AD511" i="30"/>
  <c r="AD512" i="30"/>
  <c r="AD513" i="30"/>
  <c r="AD514" i="30"/>
  <c r="AD515" i="30"/>
  <c r="AD516" i="30"/>
  <c r="AD517" i="30"/>
  <c r="AD518" i="30"/>
  <c r="AD519" i="30"/>
  <c r="AD520" i="30"/>
  <c r="AD521" i="30"/>
  <c r="AD522" i="30"/>
  <c r="AD523" i="30"/>
  <c r="AD524" i="30"/>
  <c r="AD525" i="30"/>
  <c r="AD526" i="30"/>
  <c r="AD527" i="30"/>
  <c r="AD528" i="30"/>
  <c r="AD529" i="30"/>
  <c r="AD530" i="30"/>
  <c r="AD531" i="30"/>
  <c r="AD532" i="30"/>
  <c r="AD533" i="30"/>
  <c r="AD534" i="30"/>
  <c r="AD535" i="30"/>
  <c r="AD536" i="30"/>
  <c r="AD537" i="30"/>
  <c r="AD538" i="30"/>
  <c r="AD539" i="30"/>
  <c r="AD540" i="30"/>
  <c r="AD541" i="30"/>
  <c r="AD542" i="30"/>
  <c r="AD543" i="30"/>
  <c r="AD544" i="30"/>
  <c r="AD545" i="30"/>
  <c r="AD546" i="30"/>
  <c r="AD547" i="30"/>
  <c r="AD548" i="30"/>
  <c r="AD549" i="30"/>
  <c r="AD550" i="30"/>
  <c r="AD551" i="30"/>
  <c r="AD552" i="30"/>
  <c r="AD553" i="30"/>
  <c r="AD555" i="30"/>
  <c r="AD556" i="30"/>
  <c r="AD557" i="30"/>
  <c r="AD558" i="30"/>
  <c r="AD559" i="30"/>
  <c r="AD560" i="30"/>
  <c r="AD561" i="30"/>
  <c r="AD562" i="30"/>
  <c r="AD563" i="30"/>
  <c r="AD564" i="30"/>
  <c r="AD565" i="30"/>
  <c r="AD566" i="30"/>
  <c r="AD567" i="30"/>
  <c r="AD568" i="30"/>
  <c r="AD569" i="30"/>
  <c r="AD570" i="30"/>
  <c r="AD571" i="30"/>
  <c r="AD572" i="30"/>
  <c r="AD573" i="30"/>
  <c r="AD574" i="30"/>
  <c r="AD575" i="30"/>
  <c r="AD576" i="30"/>
  <c r="AD577" i="30"/>
  <c r="AD578" i="30"/>
  <c r="AD579" i="30"/>
  <c r="AD580" i="30"/>
  <c r="AD581" i="30"/>
  <c r="AD582" i="30"/>
  <c r="AD583" i="30"/>
  <c r="AD584" i="30"/>
  <c r="AD585" i="30"/>
  <c r="AD586" i="30"/>
  <c r="AD587" i="30"/>
  <c r="AD588" i="30"/>
  <c r="AD589" i="30"/>
  <c r="AD590" i="30"/>
  <c r="AD591" i="30"/>
  <c r="AD592" i="30"/>
  <c r="AD593" i="30"/>
  <c r="AD594" i="30"/>
  <c r="AD595" i="30"/>
  <c r="AD596" i="30"/>
  <c r="AD597" i="30"/>
  <c r="AD598" i="30"/>
  <c r="AD599" i="30"/>
  <c r="AD600" i="30"/>
  <c r="AD601" i="30"/>
  <c r="AD602" i="30"/>
  <c r="AD603" i="30"/>
  <c r="AD604" i="30"/>
  <c r="AD605" i="30"/>
  <c r="AD606" i="30"/>
  <c r="AD607" i="30"/>
  <c r="AD608" i="30"/>
  <c r="AD609" i="30"/>
  <c r="AD610" i="30"/>
  <c r="AD611" i="30"/>
  <c r="AD612" i="30"/>
  <c r="AD613" i="30"/>
  <c r="AD614" i="30"/>
  <c r="AD615" i="30"/>
  <c r="AD616" i="30"/>
  <c r="AD617" i="30"/>
  <c r="AD618" i="30"/>
  <c r="AD619" i="30"/>
  <c r="AD620" i="30"/>
  <c r="AD621" i="30"/>
  <c r="AD622" i="30"/>
  <c r="AD623" i="30"/>
  <c r="AD624" i="30"/>
  <c r="AD625" i="30"/>
  <c r="AD626" i="30"/>
  <c r="AD627" i="30"/>
  <c r="AD628" i="30"/>
  <c r="AD629" i="30"/>
  <c r="AD630" i="30"/>
  <c r="AD631" i="30"/>
  <c r="AD632" i="30"/>
  <c r="AD633" i="30"/>
  <c r="AD634" i="30"/>
  <c r="AD635" i="30"/>
  <c r="AD636" i="30"/>
  <c r="AD637" i="30"/>
  <c r="AD638" i="30"/>
  <c r="AD639" i="30"/>
  <c r="AD640" i="30"/>
  <c r="AD641" i="30"/>
  <c r="AD642" i="30"/>
  <c r="AD643" i="30"/>
  <c r="AD644" i="30"/>
  <c r="AD645" i="30"/>
  <c r="AD646" i="30"/>
  <c r="AD647" i="30"/>
  <c r="AD651" i="30"/>
  <c r="AD652" i="30"/>
  <c r="AD653" i="30"/>
  <c r="AD654" i="30"/>
  <c r="AD655" i="30"/>
  <c r="AD656" i="30"/>
  <c r="AD657" i="30"/>
  <c r="AD658" i="30"/>
  <c r="AD659" i="30"/>
  <c r="AD660" i="30"/>
  <c r="AD661" i="30"/>
  <c r="AD662" i="30"/>
  <c r="AD663" i="30"/>
  <c r="AD664" i="30"/>
  <c r="AD665" i="30"/>
  <c r="AD666" i="30"/>
  <c r="AD667" i="30"/>
  <c r="AD668" i="30"/>
  <c r="AD669" i="30"/>
  <c r="AD670" i="30"/>
  <c r="AD671" i="30"/>
  <c r="AD672" i="30"/>
  <c r="AD673" i="30"/>
  <c r="AD674" i="30"/>
  <c r="AD675" i="30"/>
  <c r="AD676" i="30"/>
  <c r="AD677" i="30"/>
  <c r="AD678" i="30"/>
  <c r="AD679" i="30"/>
  <c r="AD680" i="30"/>
  <c r="AD681" i="30"/>
  <c r="AD682" i="30"/>
  <c r="AD683" i="30"/>
  <c r="AD684" i="30"/>
  <c r="AD685" i="30"/>
  <c r="AD686" i="30"/>
  <c r="AD687" i="30"/>
  <c r="AD688" i="30"/>
  <c r="AD689" i="30"/>
  <c r="AD690" i="30"/>
  <c r="AD691" i="30"/>
  <c r="AD692" i="30"/>
  <c r="AD693" i="30"/>
  <c r="AD694" i="30"/>
  <c r="AD695" i="30"/>
  <c r="AD696" i="30"/>
  <c r="AD697" i="30"/>
  <c r="AD698" i="30"/>
  <c r="AD699" i="30"/>
  <c r="AD700" i="30"/>
  <c r="AD701" i="30"/>
  <c r="AD702" i="30"/>
  <c r="AD703" i="30"/>
  <c r="AD704" i="30"/>
  <c r="AD705" i="30"/>
  <c r="AD706" i="30"/>
  <c r="AD707" i="30"/>
  <c r="AD708" i="30"/>
  <c r="AD709" i="30"/>
  <c r="AD710" i="30"/>
  <c r="AD711" i="30"/>
  <c r="AD712" i="30"/>
  <c r="AD713" i="30"/>
  <c r="AD714" i="30"/>
  <c r="AD715" i="30"/>
  <c r="AD716" i="30"/>
  <c r="AD717" i="30"/>
  <c r="AD718" i="30"/>
  <c r="AD719" i="30"/>
  <c r="AD720" i="30"/>
  <c r="AD721" i="30"/>
  <c r="AD722" i="30"/>
  <c r="AD723" i="30"/>
  <c r="AD724" i="30"/>
  <c r="AD725" i="30"/>
  <c r="AD726" i="30"/>
  <c r="AD727" i="30"/>
  <c r="AD728" i="30"/>
  <c r="AD729" i="30"/>
  <c r="AD730" i="30"/>
  <c r="AD731" i="30"/>
  <c r="AD732" i="30"/>
  <c r="AD733" i="30"/>
  <c r="AD734" i="30"/>
  <c r="AD735" i="30"/>
  <c r="AD736" i="30"/>
  <c r="AD737" i="30"/>
  <c r="AD738" i="30"/>
  <c r="AD739" i="30"/>
  <c r="AD740" i="30"/>
  <c r="AD741" i="30"/>
  <c r="AD742" i="30"/>
  <c r="AD743" i="30"/>
  <c r="AD744" i="30"/>
  <c r="AD745" i="30"/>
  <c r="AD746" i="30"/>
  <c r="AD747" i="30"/>
  <c r="AD748" i="30"/>
  <c r="AD749" i="30"/>
  <c r="AD750" i="30"/>
  <c r="AD751" i="30"/>
  <c r="AD752" i="30"/>
  <c r="AD753" i="30"/>
  <c r="AD754" i="30"/>
  <c r="AD755" i="30"/>
  <c r="AD756" i="30"/>
  <c r="AD757" i="30"/>
  <c r="AD758" i="30"/>
  <c r="AD759" i="30"/>
  <c r="AD760" i="30"/>
  <c r="AD761" i="30"/>
  <c r="AD762" i="30"/>
  <c r="AD763" i="30"/>
  <c r="AD764" i="30"/>
  <c r="AD765" i="30"/>
  <c r="AD766" i="30"/>
  <c r="AD767" i="30"/>
  <c r="AD768" i="30"/>
  <c r="AD769" i="30"/>
  <c r="AD770" i="30"/>
  <c r="AD771" i="30"/>
  <c r="AD772" i="30"/>
  <c r="AD773" i="30"/>
  <c r="AD774" i="30"/>
  <c r="AD775" i="30"/>
  <c r="AD776" i="30"/>
  <c r="AD777" i="30"/>
  <c r="AD778" i="30"/>
  <c r="AD779" i="30"/>
  <c r="AD780" i="30"/>
  <c r="AD781" i="30"/>
  <c r="AD782" i="30"/>
  <c r="AD783" i="30"/>
  <c r="AD784" i="30"/>
  <c r="AD785" i="30"/>
  <c r="AD786" i="30"/>
  <c r="AD787" i="30"/>
  <c r="AD788" i="30"/>
  <c r="AD789" i="30"/>
  <c r="AD790" i="30"/>
  <c r="AD791" i="30"/>
  <c r="AD792" i="30"/>
  <c r="AD793" i="30"/>
  <c r="AD794" i="30"/>
  <c r="AD795" i="30"/>
  <c r="AD796" i="30"/>
  <c r="AD797" i="30"/>
  <c r="AD798" i="30"/>
  <c r="AD799" i="30"/>
  <c r="AD800" i="30"/>
  <c r="AD801" i="30"/>
  <c r="AD802" i="30"/>
  <c r="AD803" i="30"/>
  <c r="AD804" i="30"/>
  <c r="AD805" i="30"/>
  <c r="AD806" i="30"/>
  <c r="AD807" i="30"/>
  <c r="AD808" i="30"/>
  <c r="AD809" i="30"/>
  <c r="AD810" i="30"/>
  <c r="AD811" i="30"/>
  <c r="AD812" i="30"/>
  <c r="AD813" i="30"/>
  <c r="AD814" i="30"/>
  <c r="AD815" i="30"/>
  <c r="AD816" i="30"/>
  <c r="AD817" i="30"/>
  <c r="AD818" i="30"/>
  <c r="AD819" i="30"/>
  <c r="AD820" i="30"/>
  <c r="AD821" i="30"/>
  <c r="AD822" i="30"/>
  <c r="AD823" i="30"/>
  <c r="AD824" i="30"/>
  <c r="AD825" i="30"/>
  <c r="AD826" i="30"/>
  <c r="AD827" i="30"/>
  <c r="AD828" i="30"/>
  <c r="AD829" i="30"/>
  <c r="AD830" i="30"/>
  <c r="AD831" i="30"/>
  <c r="AD832" i="30"/>
  <c r="AD833" i="30"/>
  <c r="AD835" i="30"/>
  <c r="AD837" i="30"/>
  <c r="AD838" i="30"/>
  <c r="AD839" i="30"/>
  <c r="AD840" i="30"/>
  <c r="AD841" i="30"/>
  <c r="AD842" i="30"/>
  <c r="AD843" i="30"/>
  <c r="AD844" i="30"/>
  <c r="AD112" i="30"/>
  <c r="AD26" i="30"/>
  <c r="AD27" i="30"/>
  <c r="AD28" i="30"/>
  <c r="AD29" i="30"/>
  <c r="AD30" i="30"/>
  <c r="AD31" i="30"/>
  <c r="AD32" i="30"/>
  <c r="AD33" i="30"/>
  <c r="AD34" i="30"/>
  <c r="AD35" i="30"/>
  <c r="AD36" i="30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51" i="30"/>
  <c r="AD52" i="30"/>
  <c r="AD53" i="30"/>
  <c r="AD54" i="30"/>
  <c r="AD55" i="30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AD94" i="30"/>
  <c r="AD95" i="30"/>
  <c r="AD96" i="30"/>
  <c r="AD97" i="30"/>
  <c r="AD98" i="30"/>
  <c r="AD99" i="30"/>
  <c r="AD100" i="30"/>
  <c r="AD101" i="30"/>
  <c r="AD102" i="30"/>
  <c r="AD103" i="30"/>
  <c r="AD104" i="30"/>
  <c r="AD105" i="30"/>
  <c r="AD106" i="30"/>
  <c r="AD107" i="30"/>
  <c r="AD108" i="30"/>
  <c r="AD109" i="30"/>
  <c r="AD110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AD25" i="30"/>
  <c r="R836" i="30" l="1"/>
  <c r="S836" i="30"/>
  <c r="T836" i="30" s="1"/>
  <c r="P648" i="30"/>
  <c r="O650" i="30"/>
  <c r="P650" i="30" s="1"/>
  <c r="Q650" i="30" s="1"/>
  <c r="Q648" i="30"/>
  <c r="O649" i="30"/>
  <c r="P649" i="30" s="1"/>
  <c r="AE836" i="30" l="1"/>
  <c r="U836" i="30"/>
  <c r="R650" i="30"/>
  <c r="S650" i="30" s="1"/>
  <c r="T650" i="30" s="1"/>
  <c r="Q649" i="30"/>
  <c r="R648" i="30"/>
  <c r="S648" i="30" s="1"/>
  <c r="T648" i="30" s="1"/>
  <c r="AE648" i="30" l="1"/>
  <c r="U648" i="30"/>
  <c r="AE650" i="30"/>
  <c r="U650" i="30"/>
  <c r="R649" i="30"/>
  <c r="S649" i="30" l="1"/>
  <c r="T649" i="30" s="1"/>
  <c r="AE649" i="30" l="1"/>
  <c r="U649" i="30"/>
  <c r="H393" i="30" l="1"/>
  <c r="M393" i="30" s="1"/>
  <c r="M392" i="30"/>
  <c r="I392" i="30"/>
  <c r="J392" i="30" s="1"/>
  <c r="U391" i="30"/>
  <c r="L390" i="30"/>
  <c r="L388" i="30"/>
  <c r="L387" i="30"/>
  <c r="L386" i="30"/>
  <c r="L385" i="30"/>
  <c r="L384" i="30"/>
  <c r="L383" i="30"/>
  <c r="L382" i="30"/>
  <c r="L380" i="30"/>
  <c r="L379" i="30"/>
  <c r="L378" i="30"/>
  <c r="L377" i="30"/>
  <c r="L376" i="30"/>
  <c r="L375" i="30"/>
  <c r="L374" i="30"/>
  <c r="L372" i="30"/>
  <c r="L371" i="30"/>
  <c r="L370" i="30"/>
  <c r="L369" i="30"/>
  <c r="L368" i="30"/>
  <c r="L367" i="30"/>
  <c r="L366" i="30"/>
  <c r="L364" i="30"/>
  <c r="L363" i="30"/>
  <c r="L362" i="30"/>
  <c r="L361" i="30"/>
  <c r="L360" i="30"/>
  <c r="L359" i="30"/>
  <c r="L358" i="30"/>
  <c r="L351" i="30"/>
  <c r="L352" i="30"/>
  <c r="L353" i="30"/>
  <c r="L354" i="30"/>
  <c r="L355" i="30"/>
  <c r="L356" i="30"/>
  <c r="L350" i="30"/>
  <c r="L348" i="30"/>
  <c r="L346" i="30"/>
  <c r="L345" i="30"/>
  <c r="L344" i="30"/>
  <c r="L343" i="30"/>
  <c r="L342" i="30"/>
  <c r="L341" i="30"/>
  <c r="L340" i="30"/>
  <c r="L339" i="30"/>
  <c r="L338" i="30"/>
  <c r="L336" i="30"/>
  <c r="L335" i="30"/>
  <c r="L334" i="30"/>
  <c r="L333" i="30"/>
  <c r="L332" i="30"/>
  <c r="L331" i="30"/>
  <c r="L330" i="30"/>
  <c r="L329" i="30"/>
  <c r="L328" i="30"/>
  <c r="L326" i="30"/>
  <c r="L325" i="30"/>
  <c r="L324" i="30"/>
  <c r="L323" i="30"/>
  <c r="L322" i="30"/>
  <c r="L321" i="30"/>
  <c r="L320" i="30"/>
  <c r="L319" i="30"/>
  <c r="L318" i="30"/>
  <c r="L316" i="30"/>
  <c r="L315" i="30"/>
  <c r="L314" i="30"/>
  <c r="L313" i="30"/>
  <c r="L312" i="30"/>
  <c r="L311" i="30"/>
  <c r="L310" i="30"/>
  <c r="L309" i="30"/>
  <c r="L308" i="30"/>
  <c r="L299" i="30"/>
  <c r="L300" i="30"/>
  <c r="L301" i="30"/>
  <c r="L302" i="30"/>
  <c r="L303" i="30"/>
  <c r="L304" i="30"/>
  <c r="L305" i="30"/>
  <c r="L306" i="30"/>
  <c r="L298" i="30"/>
  <c r="L296" i="30"/>
  <c r="L283" i="30"/>
  <c r="L284" i="30"/>
  <c r="L285" i="30"/>
  <c r="L286" i="30"/>
  <c r="L287" i="30"/>
  <c r="L288" i="30"/>
  <c r="L289" i="30"/>
  <c r="L290" i="30"/>
  <c r="L291" i="30"/>
  <c r="L292" i="30"/>
  <c r="L293" i="30"/>
  <c r="L294" i="30"/>
  <c r="L282" i="30"/>
  <c r="L269" i="30"/>
  <c r="L270" i="30"/>
  <c r="L271" i="30"/>
  <c r="L272" i="30"/>
  <c r="L273" i="30"/>
  <c r="L274" i="30"/>
  <c r="L275" i="30"/>
  <c r="L276" i="30"/>
  <c r="L277" i="30"/>
  <c r="L278" i="30"/>
  <c r="L279" i="30"/>
  <c r="L280" i="30"/>
  <c r="L268" i="30"/>
  <c r="L255" i="30"/>
  <c r="L256" i="30"/>
  <c r="L257" i="30"/>
  <c r="L258" i="30"/>
  <c r="L259" i="30"/>
  <c r="L260" i="30"/>
  <c r="L261" i="30"/>
  <c r="L262" i="30"/>
  <c r="L263" i="30"/>
  <c r="L264" i="30"/>
  <c r="L265" i="30"/>
  <c r="L266" i="30"/>
  <c r="L254" i="30"/>
  <c r="L241" i="30"/>
  <c r="L242" i="30"/>
  <c r="L243" i="30"/>
  <c r="L244" i="30"/>
  <c r="L245" i="30"/>
  <c r="L246" i="30"/>
  <c r="L247" i="30"/>
  <c r="L248" i="30"/>
  <c r="L249" i="30"/>
  <c r="L250" i="30"/>
  <c r="L251" i="30"/>
  <c r="L252" i="30"/>
  <c r="L240" i="30"/>
  <c r="L227" i="30"/>
  <c r="L228" i="30"/>
  <c r="L229" i="30"/>
  <c r="L230" i="30"/>
  <c r="L231" i="30"/>
  <c r="L232" i="30"/>
  <c r="L233" i="30"/>
  <c r="L234" i="30"/>
  <c r="L235" i="30"/>
  <c r="L236" i="30"/>
  <c r="L237" i="30"/>
  <c r="L238" i="30"/>
  <c r="L226" i="30"/>
  <c r="L224" i="30"/>
  <c r="L206" i="30"/>
  <c r="L207" i="30"/>
  <c r="L208" i="30"/>
  <c r="L209" i="30"/>
  <c r="L210" i="30"/>
  <c r="L211" i="30"/>
  <c r="L212" i="30"/>
  <c r="L213" i="30"/>
  <c r="L214" i="30"/>
  <c r="L215" i="30"/>
  <c r="L216" i="30"/>
  <c r="L217" i="30"/>
  <c r="L218" i="30"/>
  <c r="L219" i="30"/>
  <c r="L220" i="30"/>
  <c r="L221" i="30"/>
  <c r="L222" i="30"/>
  <c r="L205" i="30"/>
  <c r="L187" i="30"/>
  <c r="L188" i="30"/>
  <c r="L189" i="30"/>
  <c r="L190" i="30"/>
  <c r="L191" i="30"/>
  <c r="L192" i="30"/>
  <c r="L193" i="30"/>
  <c r="L194" i="30"/>
  <c r="L195" i="30"/>
  <c r="L196" i="30"/>
  <c r="L197" i="30"/>
  <c r="L198" i="30"/>
  <c r="L199" i="30"/>
  <c r="L200" i="30"/>
  <c r="L201" i="30"/>
  <c r="L202" i="30"/>
  <c r="L203" i="30"/>
  <c r="L186" i="30"/>
  <c r="L168" i="30"/>
  <c r="L169" i="30"/>
  <c r="L170" i="30"/>
  <c r="L171" i="30"/>
  <c r="L172" i="30"/>
  <c r="L173" i="30"/>
  <c r="L174" i="30"/>
  <c r="L175" i="30"/>
  <c r="L176" i="30"/>
  <c r="L177" i="30"/>
  <c r="L178" i="30"/>
  <c r="L179" i="30"/>
  <c r="L180" i="30"/>
  <c r="L181" i="30"/>
  <c r="L182" i="30"/>
  <c r="L183" i="30"/>
  <c r="L184" i="30"/>
  <c r="L167" i="30"/>
  <c r="L149" i="30"/>
  <c r="L150" i="30"/>
  <c r="L151" i="30"/>
  <c r="L152" i="30"/>
  <c r="L153" i="30"/>
  <c r="L154" i="30"/>
  <c r="L155" i="30"/>
  <c r="L156" i="30"/>
  <c r="L157" i="30"/>
  <c r="L158" i="30"/>
  <c r="L159" i="30"/>
  <c r="L160" i="30"/>
  <c r="L161" i="30"/>
  <c r="L162" i="30"/>
  <c r="L163" i="30"/>
  <c r="L164" i="30"/>
  <c r="L165" i="30"/>
  <c r="L148" i="30"/>
  <c r="L131" i="30"/>
  <c r="L132" i="30"/>
  <c r="L133" i="30"/>
  <c r="L134" i="30"/>
  <c r="L135" i="30"/>
  <c r="L136" i="30"/>
  <c r="L137" i="30"/>
  <c r="L138" i="30"/>
  <c r="L139" i="30"/>
  <c r="L140" i="30"/>
  <c r="L141" i="30"/>
  <c r="L142" i="30"/>
  <c r="L143" i="30"/>
  <c r="L144" i="30"/>
  <c r="L145" i="30"/>
  <c r="L146" i="30"/>
  <c r="L130" i="30"/>
  <c r="H127" i="30"/>
  <c r="I127" i="30" s="1"/>
  <c r="J127" i="30" s="1"/>
  <c r="M126" i="30"/>
  <c r="I126" i="30"/>
  <c r="J126" i="30" s="1"/>
  <c r="H125" i="30"/>
  <c r="M125" i="30" s="1"/>
  <c r="M124" i="30"/>
  <c r="O124" i="30" s="1"/>
  <c r="I124" i="30"/>
  <c r="J124" i="30" s="1"/>
  <c r="U123" i="30"/>
  <c r="H118" i="30"/>
  <c r="M118" i="30" s="1"/>
  <c r="M117" i="30"/>
  <c r="O117" i="30" s="1"/>
  <c r="I117" i="30"/>
  <c r="J117" i="30" s="1"/>
  <c r="H116" i="30"/>
  <c r="I116" i="30" s="1"/>
  <c r="J116" i="30" s="1"/>
  <c r="M115" i="30"/>
  <c r="I115" i="30"/>
  <c r="J115" i="30" s="1"/>
  <c r="H120" i="30"/>
  <c r="M120" i="30" s="1"/>
  <c r="M119" i="30"/>
  <c r="O119" i="30" s="1"/>
  <c r="I119" i="30"/>
  <c r="J119" i="30" s="1"/>
  <c r="O392" i="30" l="1"/>
  <c r="P392" i="30" s="1"/>
  <c r="Q392" i="30" s="1"/>
  <c r="O393" i="30"/>
  <c r="I393" i="30"/>
  <c r="I391" i="30" s="1"/>
  <c r="M116" i="30"/>
  <c r="O116" i="30" s="1"/>
  <c r="P116" i="30" s="1"/>
  <c r="Q116" i="30" s="1"/>
  <c r="M127" i="30"/>
  <c r="P124" i="30"/>
  <c r="O125" i="30"/>
  <c r="P125" i="30" s="1"/>
  <c r="Q125" i="30" s="1"/>
  <c r="Q124" i="30"/>
  <c r="I125" i="30"/>
  <c r="O126" i="30"/>
  <c r="P126" i="30" s="1"/>
  <c r="O127" i="30"/>
  <c r="P127" i="30" s="1"/>
  <c r="Q127" i="30" s="1"/>
  <c r="P119" i="30"/>
  <c r="Q119" i="30" s="1"/>
  <c r="P117" i="30"/>
  <c r="O118" i="30"/>
  <c r="P118" i="30" s="1"/>
  <c r="Q118" i="30" s="1"/>
  <c r="Q117" i="30"/>
  <c r="O115" i="30"/>
  <c r="I118" i="30"/>
  <c r="J118" i="30" s="1"/>
  <c r="O120" i="30"/>
  <c r="I120" i="30"/>
  <c r="J120" i="30" s="1"/>
  <c r="J393" i="30" l="1"/>
  <c r="P393" i="30"/>
  <c r="Q393" i="30" s="1"/>
  <c r="R392" i="30"/>
  <c r="S392" i="30" s="1"/>
  <c r="T392" i="30" s="1"/>
  <c r="AE392" i="30" s="1"/>
  <c r="J125" i="30"/>
  <c r="I123" i="30"/>
  <c r="R127" i="30"/>
  <c r="S127" i="30" s="1"/>
  <c r="T127" i="30" s="1"/>
  <c r="R125" i="30"/>
  <c r="S125" i="30" s="1"/>
  <c r="T125" i="30" s="1"/>
  <c r="Q126" i="30"/>
  <c r="R124" i="30"/>
  <c r="S124" i="30" s="1"/>
  <c r="T124" i="30" s="1"/>
  <c r="AE124" i="30" s="1"/>
  <c r="R118" i="30"/>
  <c r="R116" i="30"/>
  <c r="P115" i="30"/>
  <c r="Q115" i="30" s="1"/>
  <c r="R117" i="30"/>
  <c r="S117" i="30" s="1"/>
  <c r="T117" i="30" s="1"/>
  <c r="P120" i="30"/>
  <c r="Q120" i="30" s="1"/>
  <c r="R119" i="30"/>
  <c r="S119" i="30" s="1"/>
  <c r="T119" i="30" s="1"/>
  <c r="U119" i="30" l="1"/>
  <c r="AE119" i="30"/>
  <c r="U117" i="30"/>
  <c r="AE117" i="30"/>
  <c r="U125" i="30"/>
  <c r="AE125" i="30"/>
  <c r="U127" i="30"/>
  <c r="AE127" i="30"/>
  <c r="U392" i="30"/>
  <c r="R393" i="30"/>
  <c r="S393" i="30" s="1"/>
  <c r="T393" i="30" s="1"/>
  <c r="U124" i="30"/>
  <c r="R126" i="30"/>
  <c r="S126" i="30" s="1"/>
  <c r="T126" i="30" s="1"/>
  <c r="S116" i="30"/>
  <c r="T116" i="30" s="1"/>
  <c r="R115" i="30"/>
  <c r="S115" i="30" s="1"/>
  <c r="T115" i="30" s="1"/>
  <c r="AE115" i="30" s="1"/>
  <c r="S118" i="30"/>
  <c r="T118" i="30" s="1"/>
  <c r="R120" i="30"/>
  <c r="S120" i="30" s="1"/>
  <c r="T120" i="30" s="1"/>
  <c r="U120" i="30" l="1"/>
  <c r="AE120" i="30"/>
  <c r="U126" i="30"/>
  <c r="AE126" i="30"/>
  <c r="S391" i="30"/>
  <c r="AE393" i="30"/>
  <c r="U118" i="30"/>
  <c r="AE118" i="30"/>
  <c r="U116" i="30"/>
  <c r="AE116" i="30"/>
  <c r="U393" i="30"/>
  <c r="S123" i="30"/>
  <c r="U115" i="30"/>
  <c r="H122" i="30"/>
  <c r="M122" i="30" s="1"/>
  <c r="M121" i="30"/>
  <c r="O121" i="30" s="1"/>
  <c r="I121" i="30"/>
  <c r="U114" i="30"/>
  <c r="J121" i="30" l="1"/>
  <c r="P121" i="30"/>
  <c r="O122" i="30"/>
  <c r="Q121" i="30"/>
  <c r="I122" i="30"/>
  <c r="I114" i="30" s="1"/>
  <c r="H474" i="30"/>
  <c r="H473" i="30"/>
  <c r="H471" i="30"/>
  <c r="H470" i="30"/>
  <c r="H468" i="30"/>
  <c r="H467" i="30"/>
  <c r="H464" i="30"/>
  <c r="H463" i="30"/>
  <c r="H461" i="30"/>
  <c r="H460" i="30"/>
  <c r="H458" i="30"/>
  <c r="U128" i="30"/>
  <c r="J122" i="30" l="1"/>
  <c r="P122" i="30"/>
  <c r="Q122" i="30" s="1"/>
  <c r="R121" i="30"/>
  <c r="S121" i="30" s="1"/>
  <c r="T121" i="30" s="1"/>
  <c r="AE121" i="30" s="1"/>
  <c r="M843" i="30"/>
  <c r="O843" i="30" s="1"/>
  <c r="I843" i="30"/>
  <c r="J843" i="30" s="1"/>
  <c r="M842" i="30"/>
  <c r="I842" i="30"/>
  <c r="J842" i="30" s="1"/>
  <c r="M832" i="30"/>
  <c r="I832" i="30"/>
  <c r="J832" i="30" s="1"/>
  <c r="M831" i="30"/>
  <c r="O831" i="30" s="1"/>
  <c r="I831" i="30"/>
  <c r="J831" i="30" s="1"/>
  <c r="M834" i="30"/>
  <c r="I834" i="30"/>
  <c r="J834" i="30" s="1"/>
  <c r="M833" i="30"/>
  <c r="O833" i="30" s="1"/>
  <c r="I833" i="30"/>
  <c r="J833" i="30" s="1"/>
  <c r="M830" i="30"/>
  <c r="I830" i="30"/>
  <c r="J830" i="30" s="1"/>
  <c r="M829" i="30"/>
  <c r="O829" i="30" s="1"/>
  <c r="I829" i="30"/>
  <c r="J829" i="30" s="1"/>
  <c r="M837" i="30"/>
  <c r="O837" i="30" s="1"/>
  <c r="I837" i="30"/>
  <c r="J837" i="30" s="1"/>
  <c r="M835" i="30"/>
  <c r="I835" i="30"/>
  <c r="J835" i="30" s="1"/>
  <c r="M823" i="30"/>
  <c r="O823" i="30" s="1"/>
  <c r="I823" i="30"/>
  <c r="J823" i="30" s="1"/>
  <c r="M822" i="30"/>
  <c r="I822" i="30"/>
  <c r="J822" i="30" s="1"/>
  <c r="M821" i="30"/>
  <c r="O821" i="30" s="1"/>
  <c r="I821" i="30"/>
  <c r="J821" i="30" s="1"/>
  <c r="M820" i="30"/>
  <c r="I820" i="30"/>
  <c r="H663" i="30"/>
  <c r="H662" i="30" s="1"/>
  <c r="M661" i="30"/>
  <c r="I661" i="30"/>
  <c r="J661" i="30" s="1"/>
  <c r="M660" i="30"/>
  <c r="I660" i="30"/>
  <c r="J660" i="30" s="1"/>
  <c r="U659" i="30"/>
  <c r="M658" i="30"/>
  <c r="I658" i="30"/>
  <c r="J658" i="30" s="1"/>
  <c r="M657" i="30"/>
  <c r="O657" i="30" s="1"/>
  <c r="I657" i="30"/>
  <c r="U656" i="30"/>
  <c r="U655" i="30"/>
  <c r="H643" i="30"/>
  <c r="I643" i="30" s="1"/>
  <c r="J643" i="30" s="1"/>
  <c r="M642" i="30"/>
  <c r="I642" i="30"/>
  <c r="J642" i="30" s="1"/>
  <c r="M641" i="30"/>
  <c r="O641" i="30" s="1"/>
  <c r="I641" i="30"/>
  <c r="U640" i="30"/>
  <c r="H639" i="30"/>
  <c r="M639" i="30" s="1"/>
  <c r="O639" i="30" s="1"/>
  <c r="M638" i="30"/>
  <c r="I638" i="30"/>
  <c r="J638" i="30" s="1"/>
  <c r="M637" i="30"/>
  <c r="O637" i="30" s="1"/>
  <c r="I637" i="30"/>
  <c r="J637" i="30" s="1"/>
  <c r="M636" i="30"/>
  <c r="I636" i="30"/>
  <c r="J636" i="30" s="1"/>
  <c r="M635" i="30"/>
  <c r="O635" i="30" s="1"/>
  <c r="I635" i="30"/>
  <c r="U634" i="30"/>
  <c r="H591" i="30"/>
  <c r="I591" i="30" s="1"/>
  <c r="J591" i="30" s="1"/>
  <c r="M588" i="30"/>
  <c r="O588" i="30" s="1"/>
  <c r="I588" i="30"/>
  <c r="J588" i="30" s="1"/>
  <c r="U587" i="30"/>
  <c r="M586" i="30"/>
  <c r="M585" i="30"/>
  <c r="M584" i="30"/>
  <c r="O584" i="30" s="1"/>
  <c r="I584" i="30"/>
  <c r="U583" i="30"/>
  <c r="U582" i="30"/>
  <c r="H523" i="30"/>
  <c r="I493" i="30"/>
  <c r="J493" i="30" s="1"/>
  <c r="M493" i="30"/>
  <c r="M492" i="30"/>
  <c r="I492" i="30"/>
  <c r="I470" i="30"/>
  <c r="J470" i="30" s="1"/>
  <c r="M472" i="30"/>
  <c r="M471" i="30"/>
  <c r="M470" i="30"/>
  <c r="M461" i="30"/>
  <c r="I460" i="30"/>
  <c r="J460" i="30" s="1"/>
  <c r="H475" i="30"/>
  <c r="M469" i="30"/>
  <c r="O469" i="30" s="1"/>
  <c r="I469" i="30"/>
  <c r="J469" i="30" s="1"/>
  <c r="I468" i="30"/>
  <c r="J468" i="30" s="1"/>
  <c r="M467" i="30"/>
  <c r="M466" i="30"/>
  <c r="I466" i="30"/>
  <c r="J466" i="30" s="1"/>
  <c r="U465" i="30"/>
  <c r="I464" i="30"/>
  <c r="J464" i="30" s="1"/>
  <c r="M463" i="30"/>
  <c r="I462" i="30"/>
  <c r="M459" i="30"/>
  <c r="I459" i="30"/>
  <c r="J459" i="30" s="1"/>
  <c r="H457" i="30"/>
  <c r="M456" i="30"/>
  <c r="O456" i="30" s="1"/>
  <c r="I456" i="30"/>
  <c r="U455" i="30"/>
  <c r="U454" i="30"/>
  <c r="H448" i="30"/>
  <c r="M448" i="30" s="1"/>
  <c r="O448" i="30" s="1"/>
  <c r="H445" i="30"/>
  <c r="I445" i="30" s="1"/>
  <c r="J445" i="30" s="1"/>
  <c r="M447" i="30"/>
  <c r="I447" i="30"/>
  <c r="U446" i="30"/>
  <c r="M445" i="30"/>
  <c r="M444" i="30"/>
  <c r="O444" i="30" s="1"/>
  <c r="I444" i="30"/>
  <c r="J444" i="30" s="1"/>
  <c r="U443" i="30"/>
  <c r="U121" i="30" l="1"/>
  <c r="R122" i="30"/>
  <c r="S122" i="30" s="1"/>
  <c r="T122" i="30" s="1"/>
  <c r="M591" i="30"/>
  <c r="O591" i="30" s="1"/>
  <c r="P591" i="30" s="1"/>
  <c r="J447" i="30"/>
  <c r="J456" i="30"/>
  <c r="J492" i="30"/>
  <c r="J657" i="30"/>
  <c r="J584" i="30"/>
  <c r="J635" i="30"/>
  <c r="J641" i="30"/>
  <c r="I640" i="30"/>
  <c r="M663" i="30"/>
  <c r="O663" i="30" s="1"/>
  <c r="P663" i="30" s="1"/>
  <c r="Q663" i="30" s="1"/>
  <c r="J820" i="30"/>
  <c r="J462" i="30"/>
  <c r="P843" i="30"/>
  <c r="Q843" i="30" s="1"/>
  <c r="R843" i="30" s="1"/>
  <c r="O842" i="30"/>
  <c r="P842" i="30" s="1"/>
  <c r="Q842" i="30" s="1"/>
  <c r="P837" i="30"/>
  <c r="Q837" i="30" s="1"/>
  <c r="R837" i="30" s="1"/>
  <c r="P829" i="30"/>
  <c r="P833" i="30"/>
  <c r="P831" i="30"/>
  <c r="Q831" i="30" s="1"/>
  <c r="O832" i="30"/>
  <c r="P832" i="30" s="1"/>
  <c r="Q829" i="30"/>
  <c r="Q833" i="30"/>
  <c r="O830" i="30"/>
  <c r="P830" i="30" s="1"/>
  <c r="Q830" i="30" s="1"/>
  <c r="O834" i="30"/>
  <c r="O835" i="30"/>
  <c r="P835" i="30" s="1"/>
  <c r="Q835" i="30" s="1"/>
  <c r="P821" i="30"/>
  <c r="Q821" i="30" s="1"/>
  <c r="R821" i="30" s="1"/>
  <c r="P823" i="30"/>
  <c r="Q823" i="30" s="1"/>
  <c r="R823" i="30" s="1"/>
  <c r="O822" i="30"/>
  <c r="P822" i="30" s="1"/>
  <c r="Q822" i="30" s="1"/>
  <c r="O820" i="30"/>
  <c r="P820" i="30" s="1"/>
  <c r="M662" i="30"/>
  <c r="O662" i="30" s="1"/>
  <c r="P662" i="30" s="1"/>
  <c r="I662" i="30"/>
  <c r="J662" i="30" s="1"/>
  <c r="I448" i="30"/>
  <c r="J448" i="30" s="1"/>
  <c r="P657" i="30"/>
  <c r="Q657" i="30" s="1"/>
  <c r="O660" i="30"/>
  <c r="P660" i="30" s="1"/>
  <c r="O658" i="30"/>
  <c r="O661" i="30"/>
  <c r="I663" i="30"/>
  <c r="M643" i="30"/>
  <c r="P641" i="30"/>
  <c r="Q641" i="30" s="1"/>
  <c r="O643" i="30"/>
  <c r="O642" i="30"/>
  <c r="I639" i="30"/>
  <c r="J639" i="30" s="1"/>
  <c r="P635" i="30"/>
  <c r="Q635" i="30" s="1"/>
  <c r="R635" i="30" s="1"/>
  <c r="P637" i="30"/>
  <c r="Q637" i="30" s="1"/>
  <c r="P639" i="30"/>
  <c r="Q639" i="30" s="1"/>
  <c r="O636" i="30"/>
  <c r="O638" i="30"/>
  <c r="P638" i="30" s="1"/>
  <c r="I463" i="30"/>
  <c r="J463" i="30" s="1"/>
  <c r="I461" i="30"/>
  <c r="J461" i="30" s="1"/>
  <c r="H592" i="30"/>
  <c r="I592" i="30" s="1"/>
  <c r="J592" i="30" s="1"/>
  <c r="P584" i="30"/>
  <c r="Q584" i="30" s="1"/>
  <c r="R584" i="30" s="1"/>
  <c r="S584" i="30" s="1"/>
  <c r="T584" i="30" s="1"/>
  <c r="AE584" i="30" s="1"/>
  <c r="O586" i="30"/>
  <c r="P586" i="30" s="1"/>
  <c r="Q586" i="30" s="1"/>
  <c r="O585" i="30"/>
  <c r="I585" i="30"/>
  <c r="J585" i="30" s="1"/>
  <c r="I586" i="30"/>
  <c r="J586" i="30" s="1"/>
  <c r="P588" i="30"/>
  <c r="Q588" i="30" s="1"/>
  <c r="M589" i="30"/>
  <c r="I589" i="30"/>
  <c r="J589" i="30" s="1"/>
  <c r="M590" i="30"/>
  <c r="I590" i="30"/>
  <c r="J590" i="30" s="1"/>
  <c r="M462" i="30"/>
  <c r="O462" i="30" s="1"/>
  <c r="P462" i="30" s="1"/>
  <c r="M464" i="30"/>
  <c r="O464" i="30" s="1"/>
  <c r="P464" i="30" s="1"/>
  <c r="M460" i="30"/>
  <c r="O460" i="30" s="1"/>
  <c r="H476" i="30"/>
  <c r="M476" i="30" s="1"/>
  <c r="I467" i="30"/>
  <c r="J467" i="30" s="1"/>
  <c r="O493" i="30"/>
  <c r="P493" i="30" s="1"/>
  <c r="O492" i="30"/>
  <c r="M468" i="30"/>
  <c r="O468" i="30" s="1"/>
  <c r="P468" i="30" s="1"/>
  <c r="O471" i="30"/>
  <c r="O472" i="30"/>
  <c r="P469" i="30"/>
  <c r="Q469" i="30" s="1"/>
  <c r="R469" i="30" s="1"/>
  <c r="S469" i="30" s="1"/>
  <c r="T469" i="30" s="1"/>
  <c r="I471" i="30"/>
  <c r="J471" i="30" s="1"/>
  <c r="I472" i="30"/>
  <c r="J472" i="30" s="1"/>
  <c r="O470" i="30"/>
  <c r="P470" i="30" s="1"/>
  <c r="P456" i="30"/>
  <c r="Q456" i="30" s="1"/>
  <c r="R456" i="30" s="1"/>
  <c r="O461" i="30"/>
  <c r="P461" i="30" s="1"/>
  <c r="Q461" i="30" s="1"/>
  <c r="O459" i="30"/>
  <c r="O463" i="30"/>
  <c r="P463" i="30" s="1"/>
  <c r="O467" i="30"/>
  <c r="M457" i="30"/>
  <c r="I457" i="30"/>
  <c r="J457" i="30" s="1"/>
  <c r="M458" i="30"/>
  <c r="I458" i="30"/>
  <c r="J458" i="30" s="1"/>
  <c r="O466" i="30"/>
  <c r="P466" i="30" s="1"/>
  <c r="M473" i="30"/>
  <c r="I473" i="30"/>
  <c r="J473" i="30" s="1"/>
  <c r="M474" i="30"/>
  <c r="I474" i="30"/>
  <c r="J474" i="30" s="1"/>
  <c r="M475" i="30"/>
  <c r="I475" i="30"/>
  <c r="J475" i="30" s="1"/>
  <c r="I443" i="30"/>
  <c r="P448" i="30"/>
  <c r="Q448" i="30" s="1"/>
  <c r="R448" i="30" s="1"/>
  <c r="O447" i="30"/>
  <c r="P447" i="30" s="1"/>
  <c r="Q447" i="30" s="1"/>
  <c r="P444" i="30"/>
  <c r="Q444" i="30" s="1"/>
  <c r="O445" i="30"/>
  <c r="P445" i="30" s="1"/>
  <c r="Q445" i="30" s="1"/>
  <c r="S114" i="30" l="1"/>
  <c r="AE122" i="30"/>
  <c r="U469" i="30"/>
  <c r="AE469" i="30"/>
  <c r="U122" i="30"/>
  <c r="I655" i="30"/>
  <c r="I634" i="30"/>
  <c r="I582" i="30"/>
  <c r="I446" i="30"/>
  <c r="R842" i="30"/>
  <c r="S842" i="30" s="1"/>
  <c r="T842" i="30" s="1"/>
  <c r="S843" i="30"/>
  <c r="T843" i="30" s="1"/>
  <c r="Q832" i="30"/>
  <c r="R831" i="30"/>
  <c r="R830" i="30"/>
  <c r="P834" i="30"/>
  <c r="Q834" i="30" s="1"/>
  <c r="R833" i="30"/>
  <c r="S833" i="30" s="1"/>
  <c r="T833" i="30" s="1"/>
  <c r="R829" i="30"/>
  <c r="R835" i="30"/>
  <c r="S835" i="30" s="1"/>
  <c r="T835" i="30" s="1"/>
  <c r="S837" i="30"/>
  <c r="T837" i="30" s="1"/>
  <c r="R822" i="30"/>
  <c r="S822" i="30" s="1"/>
  <c r="T822" i="30" s="1"/>
  <c r="S823" i="30"/>
  <c r="T823" i="30" s="1"/>
  <c r="Q820" i="30"/>
  <c r="S821" i="30"/>
  <c r="T821" i="30" s="1"/>
  <c r="R657" i="30"/>
  <c r="S657" i="30" s="1"/>
  <c r="T657" i="30" s="1"/>
  <c r="AE657" i="30" s="1"/>
  <c r="Q662" i="30"/>
  <c r="I476" i="30"/>
  <c r="I454" i="30" s="1"/>
  <c r="P661" i="30"/>
  <c r="Q661" i="30" s="1"/>
  <c r="R661" i="30" s="1"/>
  <c r="Q660" i="30"/>
  <c r="R660" i="30" s="1"/>
  <c r="S660" i="30" s="1"/>
  <c r="T660" i="30" s="1"/>
  <c r="R663" i="30"/>
  <c r="J663" i="30"/>
  <c r="R662" i="30"/>
  <c r="P658" i="30"/>
  <c r="Q658" i="30" s="1"/>
  <c r="R641" i="30"/>
  <c r="S641" i="30" s="1"/>
  <c r="T641" i="30" s="1"/>
  <c r="AE641" i="30" s="1"/>
  <c r="P643" i="30"/>
  <c r="Q643" i="30" s="1"/>
  <c r="P642" i="30"/>
  <c r="Q642" i="30" s="1"/>
  <c r="S635" i="30"/>
  <c r="T635" i="30" s="1"/>
  <c r="AE635" i="30" s="1"/>
  <c r="R639" i="30"/>
  <c r="S639" i="30" s="1"/>
  <c r="T639" i="30" s="1"/>
  <c r="R637" i="30"/>
  <c r="S637" i="30" s="1"/>
  <c r="T637" i="30" s="1"/>
  <c r="Q638" i="30"/>
  <c r="R638" i="30" s="1"/>
  <c r="S638" i="30" s="1"/>
  <c r="T638" i="30" s="1"/>
  <c r="U635" i="30"/>
  <c r="P636" i="30"/>
  <c r="Q636" i="30" s="1"/>
  <c r="M592" i="30"/>
  <c r="O592" i="30" s="1"/>
  <c r="P592" i="30" s="1"/>
  <c r="R588" i="30"/>
  <c r="R586" i="30"/>
  <c r="S586" i="30" s="1"/>
  <c r="U584" i="30"/>
  <c r="O590" i="30"/>
  <c r="P590" i="30" s="1"/>
  <c r="O589" i="30"/>
  <c r="P589" i="30" s="1"/>
  <c r="Q591" i="30"/>
  <c r="P585" i="30"/>
  <c r="Q585" i="30" s="1"/>
  <c r="P492" i="30"/>
  <c r="Q492" i="30" s="1"/>
  <c r="R492" i="30" s="1"/>
  <c r="S492" i="30" s="1"/>
  <c r="T492" i="30" s="1"/>
  <c r="AE492" i="30" s="1"/>
  <c r="Q493" i="30"/>
  <c r="R493" i="30" s="1"/>
  <c r="Q468" i="30"/>
  <c r="R468" i="30" s="1"/>
  <c r="S468" i="30" s="1"/>
  <c r="Q470" i="30"/>
  <c r="Q462" i="30"/>
  <c r="R462" i="30" s="1"/>
  <c r="S462" i="30" s="1"/>
  <c r="P472" i="30"/>
  <c r="Q472" i="30" s="1"/>
  <c r="P471" i="30"/>
  <c r="Q471" i="30" s="1"/>
  <c r="R461" i="30"/>
  <c r="Q463" i="30"/>
  <c r="R463" i="30" s="1"/>
  <c r="S463" i="30" s="1"/>
  <c r="T463" i="30" s="1"/>
  <c r="P460" i="30"/>
  <c r="Q460" i="30" s="1"/>
  <c r="O476" i="30"/>
  <c r="P476" i="30" s="1"/>
  <c r="Q476" i="30" s="1"/>
  <c r="O475" i="30"/>
  <c r="P475" i="30" s="1"/>
  <c r="O474" i="30"/>
  <c r="P474" i="30" s="1"/>
  <c r="O473" i="30"/>
  <c r="P473" i="30" s="1"/>
  <c r="P467" i="30"/>
  <c r="Q467" i="30" s="1"/>
  <c r="Q466" i="30"/>
  <c r="Q464" i="30"/>
  <c r="P459" i="30"/>
  <c r="Q459" i="30" s="1"/>
  <c r="O458" i="30"/>
  <c r="P458" i="30" s="1"/>
  <c r="O457" i="30"/>
  <c r="P457" i="30" s="1"/>
  <c r="S456" i="30"/>
  <c r="T456" i="30" s="1"/>
  <c r="AE456" i="30" s="1"/>
  <c r="R447" i="30"/>
  <c r="S447" i="30" s="1"/>
  <c r="T447" i="30" s="1"/>
  <c r="AE447" i="30" s="1"/>
  <c r="S448" i="30"/>
  <c r="T448" i="30" s="1"/>
  <c r="R445" i="30"/>
  <c r="S445" i="30" s="1"/>
  <c r="T445" i="30" s="1"/>
  <c r="R444" i="30"/>
  <c r="S444" i="30" s="1"/>
  <c r="T444" i="30" s="1"/>
  <c r="AE444" i="30" s="1"/>
  <c r="U822" i="30" l="1"/>
  <c r="AE822" i="30"/>
  <c r="U835" i="30"/>
  <c r="AE835" i="30"/>
  <c r="U833" i="30"/>
  <c r="AE833" i="30"/>
  <c r="U842" i="30"/>
  <c r="AE842" i="30"/>
  <c r="U821" i="30"/>
  <c r="AE821" i="30"/>
  <c r="U823" i="30"/>
  <c r="AE823" i="30"/>
  <c r="U837" i="30"/>
  <c r="AE837" i="30"/>
  <c r="U843" i="30"/>
  <c r="AE843" i="30"/>
  <c r="U637" i="30"/>
  <c r="AE637" i="30"/>
  <c r="U660" i="30"/>
  <c r="AE660" i="30"/>
  <c r="U448" i="30"/>
  <c r="AE448" i="30"/>
  <c r="U463" i="30"/>
  <c r="AE463" i="30"/>
  <c r="U445" i="30"/>
  <c r="AE445" i="30"/>
  <c r="U638" i="30"/>
  <c r="AE638" i="30"/>
  <c r="U639" i="30"/>
  <c r="AE639" i="30"/>
  <c r="U641" i="30"/>
  <c r="S446" i="30"/>
  <c r="U492" i="30"/>
  <c r="U657" i="30"/>
  <c r="J476" i="30"/>
  <c r="S831" i="30"/>
  <c r="T831" i="30" s="1"/>
  <c r="R832" i="30"/>
  <c r="S832" i="30" s="1"/>
  <c r="T832" i="30" s="1"/>
  <c r="R834" i="30"/>
  <c r="S834" i="30" s="1"/>
  <c r="T834" i="30" s="1"/>
  <c r="S830" i="30"/>
  <c r="T830" i="30" s="1"/>
  <c r="S829" i="30"/>
  <c r="T829" i="30" s="1"/>
  <c r="AE829" i="30" s="1"/>
  <c r="R820" i="30"/>
  <c r="R658" i="30"/>
  <c r="S661" i="30"/>
  <c r="T661" i="30" s="1"/>
  <c r="S662" i="30"/>
  <c r="T662" i="30" s="1"/>
  <c r="S663" i="30"/>
  <c r="T663" i="30" s="1"/>
  <c r="R643" i="30"/>
  <c r="S643" i="30" s="1"/>
  <c r="T643" i="30" s="1"/>
  <c r="R642" i="30"/>
  <c r="R636" i="30"/>
  <c r="Q592" i="30"/>
  <c r="R592" i="30" s="1"/>
  <c r="S592" i="30" s="1"/>
  <c r="Q590" i="30"/>
  <c r="R590" i="30" s="1"/>
  <c r="S590" i="30" s="1"/>
  <c r="T590" i="30" s="1"/>
  <c r="R585" i="30"/>
  <c r="S585" i="30" s="1"/>
  <c r="Q589" i="30"/>
  <c r="T586" i="30"/>
  <c r="S588" i="30"/>
  <c r="T588" i="30" s="1"/>
  <c r="R591" i="30"/>
  <c r="S493" i="30"/>
  <c r="T493" i="30" s="1"/>
  <c r="R471" i="30"/>
  <c r="S471" i="30" s="1"/>
  <c r="T471" i="30" s="1"/>
  <c r="R472" i="30"/>
  <c r="Q457" i="30"/>
  <c r="R457" i="30" s="1"/>
  <c r="S457" i="30" s="1"/>
  <c r="T457" i="30" s="1"/>
  <c r="AE457" i="30" s="1"/>
  <c r="T462" i="30"/>
  <c r="Q473" i="30"/>
  <c r="R473" i="30" s="1"/>
  <c r="Q475" i="30"/>
  <c r="R475" i="30" s="1"/>
  <c r="R470" i="30"/>
  <c r="S470" i="30" s="1"/>
  <c r="T470" i="30" s="1"/>
  <c r="R460" i="30"/>
  <c r="S460" i="30" s="1"/>
  <c r="T460" i="30" s="1"/>
  <c r="S461" i="30"/>
  <c r="T461" i="30" s="1"/>
  <c r="R467" i="30"/>
  <c r="S467" i="30" s="1"/>
  <c r="T467" i="30" s="1"/>
  <c r="R476" i="30"/>
  <c r="S476" i="30" s="1"/>
  <c r="T476" i="30" s="1"/>
  <c r="R459" i="30"/>
  <c r="S459" i="30" s="1"/>
  <c r="T459" i="30" s="1"/>
  <c r="R466" i="30"/>
  <c r="S466" i="30" s="1"/>
  <c r="U456" i="30"/>
  <c r="Q458" i="30"/>
  <c r="R464" i="30"/>
  <c r="S464" i="30" s="1"/>
  <c r="T468" i="30"/>
  <c r="Q474" i="30"/>
  <c r="U447" i="30"/>
  <c r="U444" i="30"/>
  <c r="S443" i="30"/>
  <c r="U834" i="30" l="1"/>
  <c r="AE834" i="30"/>
  <c r="U831" i="30"/>
  <c r="AE831" i="30"/>
  <c r="U830" i="30"/>
  <c r="AE830" i="30"/>
  <c r="U832" i="30"/>
  <c r="AE832" i="30"/>
  <c r="U468" i="30"/>
  <c r="AE468" i="30"/>
  <c r="U459" i="30"/>
  <c r="AE459" i="30"/>
  <c r="U467" i="30"/>
  <c r="AE467" i="30"/>
  <c r="U460" i="30"/>
  <c r="AE460" i="30"/>
  <c r="U462" i="30"/>
  <c r="AE462" i="30"/>
  <c r="U493" i="30"/>
  <c r="AE493" i="30"/>
  <c r="U588" i="30"/>
  <c r="AE588" i="30"/>
  <c r="U590" i="30"/>
  <c r="AE590" i="30"/>
  <c r="U643" i="30"/>
  <c r="AE643" i="30"/>
  <c r="U662" i="30"/>
  <c r="AE662" i="30"/>
  <c r="U476" i="30"/>
  <c r="AE476" i="30"/>
  <c r="U461" i="30"/>
  <c r="AE461" i="30"/>
  <c r="U470" i="30"/>
  <c r="AE470" i="30"/>
  <c r="U471" i="30"/>
  <c r="AE471" i="30"/>
  <c r="U586" i="30"/>
  <c r="AE586" i="30"/>
  <c r="U663" i="30"/>
  <c r="AE663" i="30"/>
  <c r="U661" i="30"/>
  <c r="AE661" i="30"/>
  <c r="U829" i="30"/>
  <c r="S820" i="30"/>
  <c r="T820" i="30" s="1"/>
  <c r="AE820" i="30" s="1"/>
  <c r="S658" i="30"/>
  <c r="T658" i="30" s="1"/>
  <c r="S642" i="30"/>
  <c r="T642" i="30" s="1"/>
  <c r="S636" i="30"/>
  <c r="T636" i="30" s="1"/>
  <c r="T592" i="30"/>
  <c r="S591" i="30"/>
  <c r="T591" i="30" s="1"/>
  <c r="R589" i="30"/>
  <c r="T585" i="30"/>
  <c r="AE585" i="30" s="1"/>
  <c r="S473" i="30"/>
  <c r="T473" i="30" s="1"/>
  <c r="S472" i="30"/>
  <c r="T472" i="30" s="1"/>
  <c r="U457" i="30"/>
  <c r="R458" i="30"/>
  <c r="S458" i="30" s="1"/>
  <c r="T458" i="30" s="1"/>
  <c r="AE458" i="30" s="1"/>
  <c r="R474" i="30"/>
  <c r="T464" i="30"/>
  <c r="S475" i="30"/>
  <c r="T475" i="30" s="1"/>
  <c r="T466" i="30"/>
  <c r="U473" i="30" l="1"/>
  <c r="AE473" i="30"/>
  <c r="U592" i="30"/>
  <c r="AE592" i="30"/>
  <c r="S640" i="30"/>
  <c r="AE642" i="30"/>
  <c r="U475" i="30"/>
  <c r="AE475" i="30"/>
  <c r="U466" i="30"/>
  <c r="AE466" i="30"/>
  <c r="U464" i="30"/>
  <c r="AE464" i="30"/>
  <c r="U472" i="30"/>
  <c r="AE472" i="30"/>
  <c r="U591" i="30"/>
  <c r="AE591" i="30"/>
  <c r="S634" i="30"/>
  <c r="AE636" i="30"/>
  <c r="S655" i="30"/>
  <c r="AE658" i="30"/>
  <c r="U820" i="30"/>
  <c r="U658" i="30"/>
  <c r="U642" i="30"/>
  <c r="U636" i="30"/>
  <c r="U585" i="30"/>
  <c r="S589" i="30"/>
  <c r="T589" i="30" s="1"/>
  <c r="U458" i="30"/>
  <c r="S474" i="30"/>
  <c r="T474" i="30" s="1"/>
  <c r="S454" i="30" l="1"/>
  <c r="AE474" i="30"/>
  <c r="U589" i="30"/>
  <c r="AE589" i="30"/>
  <c r="S582" i="30"/>
  <c r="U474" i="30"/>
  <c r="H601" i="30" l="1"/>
  <c r="H600" i="30"/>
  <c r="H597" i="30"/>
  <c r="H596" i="30"/>
  <c r="I596" i="30" s="1"/>
  <c r="J596" i="30" s="1"/>
  <c r="H595" i="30"/>
  <c r="M596" i="30"/>
  <c r="O596" i="30" l="1"/>
  <c r="P596" i="30" s="1"/>
  <c r="Q596" i="30" l="1"/>
  <c r="R596" i="30" s="1"/>
  <c r="S596" i="30" s="1"/>
  <c r="T596" i="30" s="1"/>
  <c r="U596" i="30" l="1"/>
  <c r="AE596" i="30"/>
  <c r="H396" i="30"/>
  <c r="M396" i="30" s="1"/>
  <c r="O396" i="30" s="1"/>
  <c r="M395" i="30"/>
  <c r="I395" i="30"/>
  <c r="U394" i="30"/>
  <c r="J395" i="30" l="1"/>
  <c r="I396" i="30"/>
  <c r="I394" i="30" s="1"/>
  <c r="O395" i="30"/>
  <c r="P396" i="30"/>
  <c r="Q396" i="30" s="1"/>
  <c r="H573" i="30"/>
  <c r="J396" i="30" l="1"/>
  <c r="R396" i="30"/>
  <c r="P395" i="30"/>
  <c r="Q395" i="30" s="1"/>
  <c r="R395" i="30" l="1"/>
  <c r="S395" i="30" s="1"/>
  <c r="S396" i="30"/>
  <c r="T396" i="30" s="1"/>
  <c r="U396" i="30" l="1"/>
  <c r="AE396" i="30"/>
  <c r="T395" i="30"/>
  <c r="M495" i="30"/>
  <c r="M494" i="30"/>
  <c r="I494" i="30"/>
  <c r="U491" i="30"/>
  <c r="S394" i="30" l="1"/>
  <c r="AE395" i="30"/>
  <c r="J494" i="30"/>
  <c r="U395" i="30"/>
  <c r="I495" i="30"/>
  <c r="J495" i="30" s="1"/>
  <c r="O495" i="30"/>
  <c r="O494" i="30"/>
  <c r="P494" i="30" s="1"/>
  <c r="M839" i="30"/>
  <c r="O839" i="30" s="1"/>
  <c r="I839" i="30"/>
  <c r="J839" i="30" s="1"/>
  <c r="I491" i="30" l="1"/>
  <c r="Q494" i="30"/>
  <c r="P495" i="30"/>
  <c r="Q495" i="30" s="1"/>
  <c r="P839" i="30"/>
  <c r="Q839" i="30" s="1"/>
  <c r="H255" i="30"/>
  <c r="R839" i="30" l="1"/>
  <c r="S839" i="30" s="1"/>
  <c r="T839" i="30" s="1"/>
  <c r="R495" i="30"/>
  <c r="S495" i="30" s="1"/>
  <c r="R494" i="30"/>
  <c r="S494" i="30" s="1"/>
  <c r="T494" i="30" s="1"/>
  <c r="AE494" i="30" s="1"/>
  <c r="U839" i="30" l="1"/>
  <c r="AE839" i="30"/>
  <c r="U494" i="30"/>
  <c r="T495" i="30"/>
  <c r="W56" i="32"/>
  <c r="W57" i="32"/>
  <c r="W58" i="32"/>
  <c r="W59" i="32"/>
  <c r="W60" i="32"/>
  <c r="W61" i="32"/>
  <c r="W62" i="32"/>
  <c r="W63" i="32"/>
  <c r="W64" i="32"/>
  <c r="W65" i="32"/>
  <c r="W66" i="32"/>
  <c r="W67" i="32"/>
  <c r="W68" i="32"/>
  <c r="W69" i="32"/>
  <c r="W70" i="32"/>
  <c r="W71" i="32"/>
  <c r="W72" i="32"/>
  <c r="W73" i="32"/>
  <c r="W74" i="32"/>
  <c r="W75" i="32"/>
  <c r="W76" i="32"/>
  <c r="W77" i="32"/>
  <c r="W78" i="32"/>
  <c r="W79" i="32"/>
  <c r="W80" i="32"/>
  <c r="W81" i="32"/>
  <c r="W82" i="32"/>
  <c r="W83" i="32"/>
  <c r="W84" i="32"/>
  <c r="W85" i="32"/>
  <c r="W86" i="32"/>
  <c r="W87" i="32"/>
  <c r="W88" i="32"/>
  <c r="W89" i="32"/>
  <c r="W90" i="32"/>
  <c r="W55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K79" i="32"/>
  <c r="K80" i="32"/>
  <c r="K81" i="32"/>
  <c r="K82" i="32"/>
  <c r="K83" i="32"/>
  <c r="K84" i="32"/>
  <c r="K85" i="32"/>
  <c r="K86" i="32"/>
  <c r="K87" i="32"/>
  <c r="K88" i="32"/>
  <c r="K89" i="32"/>
  <c r="K90" i="32"/>
  <c r="K55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B34" i="32"/>
  <c r="B25" i="32"/>
  <c r="B24" i="32"/>
  <c r="K19" i="32"/>
  <c r="U495" i="30" l="1"/>
  <c r="AE495" i="30"/>
  <c r="S491" i="30"/>
  <c r="A131" i="30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4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6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8" i="30" s="1"/>
  <c r="A309" i="30" s="1"/>
  <c r="A310" i="30" s="1"/>
  <c r="A311" i="30" s="1"/>
  <c r="A312" i="30" s="1"/>
  <c r="A313" i="30" s="1"/>
  <c r="A314" i="30" s="1"/>
  <c r="A315" i="30" s="1"/>
  <c r="A316" i="30" s="1"/>
  <c r="A318" i="30" s="1"/>
  <c r="A319" i="30" s="1"/>
  <c r="A320" i="30" s="1"/>
  <c r="A321" i="30" s="1"/>
  <c r="A322" i="30" s="1"/>
  <c r="A323" i="30" s="1"/>
  <c r="A324" i="30" s="1"/>
  <c r="A325" i="30" s="1"/>
  <c r="A326" i="30" s="1"/>
  <c r="A328" i="30" s="1"/>
  <c r="A329" i="30" s="1"/>
  <c r="A330" i="30" s="1"/>
  <c r="A331" i="30" s="1"/>
  <c r="A332" i="30" s="1"/>
  <c r="A333" i="30" s="1"/>
  <c r="A334" i="30" s="1"/>
  <c r="A335" i="30" s="1"/>
  <c r="A336" i="30" s="1"/>
  <c r="A338" i="30" s="1"/>
  <c r="A339" i="30" s="1"/>
  <c r="A340" i="30" s="1"/>
  <c r="A341" i="30" s="1"/>
  <c r="A342" i="30" s="1"/>
  <c r="A343" i="30" s="1"/>
  <c r="A344" i="30" s="1"/>
  <c r="A345" i="30" s="1"/>
  <c r="A346" i="30" s="1"/>
  <c r="A348" i="30" s="1"/>
  <c r="A350" i="30" s="1"/>
  <c r="A352" i="30" s="1"/>
  <c r="A353" i="30" s="1"/>
  <c r="A354" i="30" s="1"/>
  <c r="A355" i="30" s="1"/>
  <c r="A356" i="30" s="1"/>
  <c r="A358" i="30" s="1"/>
  <c r="A359" i="30" s="1"/>
  <c r="A360" i="30" s="1"/>
  <c r="A361" i="30" s="1"/>
  <c r="A362" i="30" s="1"/>
  <c r="A363" i="30" s="1"/>
  <c r="A364" i="30" s="1"/>
  <c r="A366" i="30" s="1"/>
  <c r="A367" i="30" s="1"/>
  <c r="A368" i="30" s="1"/>
  <c r="A369" i="30" s="1"/>
  <c r="A370" i="30" s="1"/>
  <c r="A371" i="30" s="1"/>
  <c r="A372" i="30" s="1"/>
  <c r="A374" i="30" s="1"/>
  <c r="A375" i="30" s="1"/>
  <c r="A376" i="30" s="1"/>
  <c r="A377" i="30" s="1"/>
  <c r="A378" i="30" s="1"/>
  <c r="A379" i="30" s="1"/>
  <c r="A380" i="30" s="1"/>
  <c r="A382" i="30" s="1"/>
  <c r="A383" i="30" s="1"/>
  <c r="A384" i="30" s="1"/>
  <c r="A385" i="30" s="1"/>
  <c r="A386" i="30" s="1"/>
  <c r="A387" i="30" s="1"/>
  <c r="A388" i="30" s="1"/>
  <c r="A390" i="30" s="1"/>
  <c r="A393" i="30" s="1"/>
  <c r="A395" i="30" s="1"/>
  <c r="H327" i="30"/>
  <c r="H389" i="30"/>
  <c r="H381" i="30"/>
  <c r="H373" i="30"/>
  <c r="I388" i="30"/>
  <c r="I387" i="30"/>
  <c r="I386" i="30"/>
  <c r="I385" i="30"/>
  <c r="I384" i="30"/>
  <c r="H383" i="30"/>
  <c r="I383" i="30" s="1"/>
  <c r="I382" i="30"/>
  <c r="I380" i="30"/>
  <c r="I379" i="30"/>
  <c r="I378" i="30"/>
  <c r="I377" i="30"/>
  <c r="I376" i="30"/>
  <c r="H375" i="30"/>
  <c r="I375" i="30" s="1"/>
  <c r="I374" i="30"/>
  <c r="I372" i="30"/>
  <c r="I371" i="30"/>
  <c r="I370" i="30"/>
  <c r="I369" i="30"/>
  <c r="I368" i="30"/>
  <c r="H367" i="30"/>
  <c r="I367" i="30" s="1"/>
  <c r="I366" i="30"/>
  <c r="H365" i="30"/>
  <c r="I364" i="30"/>
  <c r="I363" i="30"/>
  <c r="I362" i="30"/>
  <c r="I361" i="30"/>
  <c r="I360" i="30"/>
  <c r="H359" i="30"/>
  <c r="I359" i="30" s="1"/>
  <c r="I358" i="30"/>
  <c r="H357" i="30"/>
  <c r="I356" i="30"/>
  <c r="I355" i="30"/>
  <c r="I354" i="30"/>
  <c r="I353" i="30"/>
  <c r="I352" i="30"/>
  <c r="H351" i="30"/>
  <c r="I351" i="30" s="1"/>
  <c r="I350" i="30"/>
  <c r="H347" i="30"/>
  <c r="I346" i="30"/>
  <c r="I345" i="30"/>
  <c r="I344" i="30"/>
  <c r="I343" i="30"/>
  <c r="I342" i="30"/>
  <c r="I341" i="30"/>
  <c r="I340" i="30"/>
  <c r="H339" i="30"/>
  <c r="I339" i="30" s="1"/>
  <c r="I338" i="30"/>
  <c r="H337" i="30"/>
  <c r="I336" i="30"/>
  <c r="I335" i="30"/>
  <c r="I334" i="30"/>
  <c r="I333" i="30"/>
  <c r="I332" i="30"/>
  <c r="I331" i="30"/>
  <c r="I330" i="30"/>
  <c r="H329" i="30"/>
  <c r="I329" i="30" s="1"/>
  <c r="I328" i="30"/>
  <c r="I326" i="30"/>
  <c r="I325" i="30"/>
  <c r="I324" i="30"/>
  <c r="I323" i="30"/>
  <c r="I322" i="30"/>
  <c r="I321" i="30"/>
  <c r="I320" i="30"/>
  <c r="H319" i="30"/>
  <c r="I319" i="30" s="1"/>
  <c r="I318" i="30"/>
  <c r="H317" i="30"/>
  <c r="I316" i="30"/>
  <c r="I315" i="30"/>
  <c r="I314" i="30"/>
  <c r="I313" i="30"/>
  <c r="I312" i="30"/>
  <c r="I311" i="30"/>
  <c r="I310" i="30"/>
  <c r="H309" i="30"/>
  <c r="I309" i="30" s="1"/>
  <c r="I308" i="30"/>
  <c r="H307" i="30"/>
  <c r="I306" i="30"/>
  <c r="I305" i="30"/>
  <c r="I304" i="30"/>
  <c r="I303" i="30"/>
  <c r="I302" i="30"/>
  <c r="I301" i="30"/>
  <c r="I300" i="30"/>
  <c r="H299" i="30"/>
  <c r="I299" i="30" s="1"/>
  <c r="I298" i="30"/>
  <c r="H295" i="30"/>
  <c r="I294" i="30"/>
  <c r="I293" i="30"/>
  <c r="I292" i="30"/>
  <c r="I291" i="30"/>
  <c r="I290" i="30"/>
  <c r="I289" i="30"/>
  <c r="I288" i="30"/>
  <c r="I287" i="30"/>
  <c r="I286" i="30"/>
  <c r="I285" i="30"/>
  <c r="I284" i="30"/>
  <c r="H283" i="30"/>
  <c r="I283" i="30" s="1"/>
  <c r="I282" i="30"/>
  <c r="H281" i="30"/>
  <c r="I280" i="30"/>
  <c r="I279" i="30"/>
  <c r="I278" i="30"/>
  <c r="I277" i="30"/>
  <c r="I276" i="30"/>
  <c r="I275" i="30"/>
  <c r="I274" i="30"/>
  <c r="I273" i="30"/>
  <c r="I272" i="30"/>
  <c r="I271" i="30"/>
  <c r="I270" i="30"/>
  <c r="H269" i="30"/>
  <c r="I269" i="30" s="1"/>
  <c r="I268" i="30"/>
  <c r="H267" i="30"/>
  <c r="I266" i="30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H253" i="30"/>
  <c r="I252" i="30"/>
  <c r="I251" i="30"/>
  <c r="I250" i="30"/>
  <c r="I249" i="30"/>
  <c r="I248" i="30"/>
  <c r="I247" i="30"/>
  <c r="I246" i="30"/>
  <c r="I245" i="30"/>
  <c r="I244" i="30"/>
  <c r="I243" i="30"/>
  <c r="I242" i="30"/>
  <c r="H241" i="30"/>
  <c r="I241" i="30" s="1"/>
  <c r="I240" i="30"/>
  <c r="H239" i="30"/>
  <c r="I238" i="30"/>
  <c r="I237" i="30"/>
  <c r="I236" i="30"/>
  <c r="I235" i="30"/>
  <c r="I234" i="30"/>
  <c r="I233" i="30"/>
  <c r="I232" i="30"/>
  <c r="I231" i="30"/>
  <c r="I230" i="30"/>
  <c r="I229" i="30"/>
  <c r="I228" i="30"/>
  <c r="H227" i="30"/>
  <c r="I227" i="30" s="1"/>
  <c r="I226" i="30"/>
  <c r="H223" i="30"/>
  <c r="I222" i="30"/>
  <c r="I221" i="30"/>
  <c r="I220" i="30"/>
  <c r="I219" i="30"/>
  <c r="I218" i="30"/>
  <c r="I217" i="30"/>
  <c r="I216" i="30"/>
  <c r="I215" i="30"/>
  <c r="I214" i="30"/>
  <c r="I213" i="30"/>
  <c r="I212" i="30"/>
  <c r="H211" i="30"/>
  <c r="I211" i="30" s="1"/>
  <c r="I210" i="30"/>
  <c r="G209" i="30"/>
  <c r="G208" i="30"/>
  <c r="G207" i="30"/>
  <c r="G206" i="30"/>
  <c r="G205" i="30"/>
  <c r="H204" i="30"/>
  <c r="I203" i="30"/>
  <c r="I202" i="30"/>
  <c r="I201" i="30"/>
  <c r="I200" i="30"/>
  <c r="I199" i="30"/>
  <c r="I198" i="30"/>
  <c r="I197" i="30"/>
  <c r="I196" i="30"/>
  <c r="I195" i="30"/>
  <c r="I194" i="30"/>
  <c r="I193" i="30"/>
  <c r="H192" i="30"/>
  <c r="I192" i="30" s="1"/>
  <c r="I191" i="30"/>
  <c r="G190" i="30"/>
  <c r="G189" i="30"/>
  <c r="G188" i="30"/>
  <c r="G187" i="30"/>
  <c r="G186" i="30"/>
  <c r="H185" i="30"/>
  <c r="I184" i="30"/>
  <c r="I183" i="30"/>
  <c r="I182" i="30"/>
  <c r="I181" i="30"/>
  <c r="I180" i="30"/>
  <c r="I179" i="30"/>
  <c r="I178" i="30"/>
  <c r="I177" i="30"/>
  <c r="I176" i="30"/>
  <c r="I175" i="30"/>
  <c r="I174" i="30"/>
  <c r="H173" i="30"/>
  <c r="I173" i="30" s="1"/>
  <c r="I172" i="30"/>
  <c r="G171" i="30"/>
  <c r="G170" i="30"/>
  <c r="G169" i="30"/>
  <c r="G168" i="30"/>
  <c r="G167" i="30"/>
  <c r="H166" i="30"/>
  <c r="I165" i="30"/>
  <c r="I164" i="30"/>
  <c r="I163" i="30"/>
  <c r="I162" i="30"/>
  <c r="I161" i="30"/>
  <c r="I160" i="30"/>
  <c r="I159" i="30"/>
  <c r="I158" i="30"/>
  <c r="I157" i="30"/>
  <c r="I156" i="30"/>
  <c r="I155" i="30"/>
  <c r="H154" i="30"/>
  <c r="I154" i="30" s="1"/>
  <c r="I153" i="30"/>
  <c r="G152" i="30"/>
  <c r="G151" i="30"/>
  <c r="G150" i="30"/>
  <c r="G149" i="30"/>
  <c r="G148" i="30"/>
  <c r="H147" i="30"/>
  <c r="I146" i="30"/>
  <c r="I145" i="30"/>
  <c r="I144" i="30"/>
  <c r="I143" i="30"/>
  <c r="I142" i="30"/>
  <c r="I141" i="30"/>
  <c r="I140" i="30"/>
  <c r="I139" i="30"/>
  <c r="I138" i="30"/>
  <c r="I137" i="30"/>
  <c r="I136" i="30"/>
  <c r="H135" i="30"/>
  <c r="I135" i="30" s="1"/>
  <c r="G134" i="30"/>
  <c r="G133" i="30"/>
  <c r="G132" i="30"/>
  <c r="G131" i="30"/>
  <c r="G130" i="30"/>
  <c r="I349" i="30" l="1"/>
  <c r="I239" i="30"/>
  <c r="I267" i="30"/>
  <c r="I297" i="30"/>
  <c r="A396" i="30"/>
  <c r="A398" i="30" s="1"/>
  <c r="A399" i="30" s="1"/>
  <c r="A400" i="30" s="1"/>
  <c r="A401" i="30" s="1"/>
  <c r="A402" i="30" s="1"/>
  <c r="A403" i="30" s="1"/>
  <c r="A404" i="30" s="1"/>
  <c r="A405" i="30" s="1"/>
  <c r="A406" i="30" s="1"/>
  <c r="A407" i="30" s="1"/>
  <c r="A408" i="30" s="1"/>
  <c r="A409" i="30" s="1"/>
  <c r="A410" i="30" s="1"/>
  <c r="A411" i="30" s="1"/>
  <c r="A413" i="30" s="1"/>
  <c r="A414" i="30" s="1"/>
  <c r="A415" i="30" s="1"/>
  <c r="A416" i="30" s="1"/>
  <c r="A418" i="30" s="1"/>
  <c r="A419" i="30" s="1"/>
  <c r="A420" i="30" s="1"/>
  <c r="A421" i="30" s="1"/>
  <c r="A423" i="30" s="1"/>
  <c r="A425" i="30" s="1"/>
  <c r="A426" i="30" s="1"/>
  <c r="A427" i="30" s="1"/>
  <c r="A429" i="30" s="1"/>
  <c r="A431" i="30" s="1"/>
  <c r="A432" i="30" s="1"/>
  <c r="A433" i="30" s="1"/>
  <c r="A434" i="30" s="1"/>
  <c r="A435" i="30" s="1"/>
  <c r="A436" i="30" s="1"/>
  <c r="A437" i="30" s="1"/>
  <c r="A438" i="30" s="1"/>
  <c r="A440" i="30" s="1"/>
  <c r="A441" i="30" s="1"/>
  <c r="A442" i="30" s="1"/>
  <c r="A444" i="30" s="1"/>
  <c r="A445" i="30" s="1"/>
  <c r="A447" i="30" s="1"/>
  <c r="A448" i="30" s="1"/>
  <c r="A450" i="30" s="1"/>
  <c r="A451" i="30" s="1"/>
  <c r="A452" i="30" s="1"/>
  <c r="A453" i="30" s="1"/>
  <c r="A456" i="30" s="1"/>
  <c r="A457" i="30" s="1"/>
  <c r="A458" i="30" s="1"/>
  <c r="A459" i="30" s="1"/>
  <c r="A460" i="30" s="1"/>
  <c r="A461" i="30" s="1"/>
  <c r="A462" i="30" s="1"/>
  <c r="A463" i="30" s="1"/>
  <c r="A464" i="30" s="1"/>
  <c r="A466" i="30" s="1"/>
  <c r="A467" i="30" s="1"/>
  <c r="A468" i="30" s="1"/>
  <c r="A469" i="30" s="1"/>
  <c r="A470" i="30" s="1"/>
  <c r="A471" i="30" s="1"/>
  <c r="A472" i="30" s="1"/>
  <c r="A473" i="30" s="1"/>
  <c r="A474" i="30" s="1"/>
  <c r="A475" i="30" s="1"/>
  <c r="A476" i="30" s="1"/>
  <c r="A478" i="30" s="1"/>
  <c r="A479" i="30" s="1"/>
  <c r="A480" i="30" s="1"/>
  <c r="A481" i="30" s="1"/>
  <c r="A482" i="30" s="1"/>
  <c r="A483" i="30" s="1"/>
  <c r="A484" i="30" s="1"/>
  <c r="A485" i="30" s="1"/>
  <c r="A486" i="30" s="1"/>
  <c r="A487" i="30" s="1"/>
  <c r="A488" i="30" s="1"/>
  <c r="A489" i="30" s="1"/>
  <c r="A490" i="30" s="1"/>
  <c r="A492" i="30" s="1"/>
  <c r="A493" i="30" s="1"/>
  <c r="A494" i="30" s="1"/>
  <c r="A495" i="30" s="1"/>
  <c r="A497" i="30" s="1"/>
  <c r="A498" i="30" s="1"/>
  <c r="A499" i="30" s="1"/>
  <c r="A500" i="30" s="1"/>
  <c r="A501" i="30" s="1"/>
  <c r="A502" i="30" s="1"/>
  <c r="A504" i="30" s="1"/>
  <c r="A505" i="30" s="1"/>
  <c r="A506" i="30" s="1"/>
  <c r="A507" i="30" s="1"/>
  <c r="A508" i="30" s="1"/>
  <c r="A509" i="30" s="1"/>
  <c r="A510" i="30" s="1"/>
  <c r="A512" i="30" s="1"/>
  <c r="A513" i="30" s="1"/>
  <c r="A514" i="30" s="1"/>
  <c r="I307" i="30"/>
  <c r="I337" i="30"/>
  <c r="I253" i="30"/>
  <c r="I225" i="30"/>
  <c r="I281" i="30"/>
  <c r="I373" i="30"/>
  <c r="I381" i="30"/>
  <c r="H224" i="30"/>
  <c r="I224" i="30" s="1"/>
  <c r="I223" i="30" s="1"/>
  <c r="I317" i="30"/>
  <c r="I327" i="30"/>
  <c r="I357" i="30"/>
  <c r="I365" i="30"/>
  <c r="H390" i="30"/>
  <c r="I390" i="30" s="1"/>
  <c r="I389" i="30" s="1"/>
  <c r="H296" i="30"/>
  <c r="I296" i="30" s="1"/>
  <c r="I295" i="30" s="1"/>
  <c r="H348" i="30"/>
  <c r="I348" i="30" s="1"/>
  <c r="I347" i="30" s="1"/>
  <c r="H349" i="30" l="1"/>
  <c r="H297" i="30"/>
  <c r="I844" i="30" l="1"/>
  <c r="J844" i="30" s="1"/>
  <c r="I841" i="30"/>
  <c r="I840" i="30" s="1"/>
  <c r="M844" i="30"/>
  <c r="I838" i="30"/>
  <c r="I828" i="30" s="1"/>
  <c r="I825" i="30"/>
  <c r="I824" i="30"/>
  <c r="I818" i="30"/>
  <c r="I817" i="30"/>
  <c r="I816" i="30"/>
  <c r="I815" i="30"/>
  <c r="I814" i="30"/>
  <c r="I813" i="30"/>
  <c r="I811" i="30"/>
  <c r="I810" i="30"/>
  <c r="J810" i="30" s="1"/>
  <c r="I809" i="30"/>
  <c r="M811" i="30"/>
  <c r="O811" i="30" s="1"/>
  <c r="J811" i="30"/>
  <c r="M810" i="30"/>
  <c r="M809" i="30"/>
  <c r="O809" i="30" s="1"/>
  <c r="U808" i="30"/>
  <c r="I807" i="30"/>
  <c r="J807" i="30" s="1"/>
  <c r="I806" i="30"/>
  <c r="J806" i="30" s="1"/>
  <c r="I805" i="30"/>
  <c r="J805" i="30" s="1"/>
  <c r="I804" i="30"/>
  <c r="J804" i="30" s="1"/>
  <c r="I803" i="30"/>
  <c r="J803" i="30" s="1"/>
  <c r="I802" i="30"/>
  <c r="I801" i="30"/>
  <c r="J801" i="30" s="1"/>
  <c r="I800" i="30"/>
  <c r="J800" i="30" s="1"/>
  <c r="I799" i="30"/>
  <c r="J799" i="30" s="1"/>
  <c r="I798" i="30"/>
  <c r="M802" i="30"/>
  <c r="O802" i="30" s="1"/>
  <c r="J802" i="30"/>
  <c r="M801" i="30"/>
  <c r="M803" i="30"/>
  <c r="O803" i="30" s="1"/>
  <c r="M800" i="30"/>
  <c r="M799" i="30"/>
  <c r="O799" i="30" s="1"/>
  <c r="M807" i="30"/>
  <c r="O807" i="30" s="1"/>
  <c r="M806" i="30"/>
  <c r="M805" i="30"/>
  <c r="O805" i="30" s="1"/>
  <c r="M804" i="30"/>
  <c r="M798" i="30"/>
  <c r="U797" i="30"/>
  <c r="I796" i="30"/>
  <c r="J796" i="30" s="1"/>
  <c r="I795" i="30"/>
  <c r="J795" i="30" s="1"/>
  <c r="I794" i="30"/>
  <c r="J794" i="30" s="1"/>
  <c r="I793" i="30"/>
  <c r="J793" i="30" s="1"/>
  <c r="I792" i="30"/>
  <c r="I790" i="30"/>
  <c r="I789" i="30"/>
  <c r="J789" i="30" s="1"/>
  <c r="I788" i="30"/>
  <c r="J788" i="30" s="1"/>
  <c r="I787" i="30"/>
  <c r="J787" i="30" s="1"/>
  <c r="I786" i="30"/>
  <c r="I784" i="30"/>
  <c r="J784" i="30" s="1"/>
  <c r="I783" i="30"/>
  <c r="J783" i="30" s="1"/>
  <c r="I782" i="30"/>
  <c r="J782" i="30" s="1"/>
  <c r="I781" i="30"/>
  <c r="J781" i="30" s="1"/>
  <c r="I780" i="30"/>
  <c r="I778" i="30"/>
  <c r="J778" i="30" s="1"/>
  <c r="I777" i="30"/>
  <c r="J777" i="30" s="1"/>
  <c r="I776" i="30"/>
  <c r="J776" i="30" s="1"/>
  <c r="I775" i="30"/>
  <c r="J775" i="30" s="1"/>
  <c r="I774" i="30"/>
  <c r="I772" i="30"/>
  <c r="J772" i="30" s="1"/>
  <c r="I771" i="30"/>
  <c r="J771" i="30" s="1"/>
  <c r="I770" i="30"/>
  <c r="J770" i="30" s="1"/>
  <c r="I769" i="30"/>
  <c r="J769" i="30" s="1"/>
  <c r="I768" i="30"/>
  <c r="I766" i="30"/>
  <c r="J766" i="30" s="1"/>
  <c r="I765" i="30"/>
  <c r="J765" i="30" s="1"/>
  <c r="I764" i="30"/>
  <c r="J764" i="30" s="1"/>
  <c r="I763" i="30"/>
  <c r="J763" i="30" s="1"/>
  <c r="I762" i="30"/>
  <c r="I760" i="30"/>
  <c r="J760" i="30" s="1"/>
  <c r="I759" i="30"/>
  <c r="J759" i="30" s="1"/>
  <c r="I758" i="30"/>
  <c r="J758" i="30" s="1"/>
  <c r="I757" i="30"/>
  <c r="J757" i="30" s="1"/>
  <c r="I756" i="30"/>
  <c r="I754" i="30"/>
  <c r="J754" i="30" s="1"/>
  <c r="I753" i="30"/>
  <c r="J753" i="30" s="1"/>
  <c r="I752" i="30"/>
  <c r="J752" i="30" s="1"/>
  <c r="I751" i="30"/>
  <c r="J751" i="30" s="1"/>
  <c r="I750" i="30"/>
  <c r="M796" i="30"/>
  <c r="O796" i="30" s="1"/>
  <c r="M795" i="30"/>
  <c r="M794" i="30"/>
  <c r="M793" i="30"/>
  <c r="M792" i="30"/>
  <c r="O792" i="30" s="1"/>
  <c r="U791" i="30"/>
  <c r="M790" i="30"/>
  <c r="O790" i="30" s="1"/>
  <c r="J790" i="30"/>
  <c r="M789" i="30"/>
  <c r="M788" i="30"/>
  <c r="M787" i="30"/>
  <c r="M786" i="30"/>
  <c r="O786" i="30" s="1"/>
  <c r="U785" i="30"/>
  <c r="M784" i="30"/>
  <c r="O784" i="30" s="1"/>
  <c r="M783" i="30"/>
  <c r="M782" i="30"/>
  <c r="M781" i="30"/>
  <c r="M780" i="30"/>
  <c r="O780" i="30" s="1"/>
  <c r="U779" i="30"/>
  <c r="M778" i="30"/>
  <c r="O778" i="30" s="1"/>
  <c r="M777" i="30"/>
  <c r="M776" i="30"/>
  <c r="M775" i="30"/>
  <c r="M774" i="30"/>
  <c r="O774" i="30" s="1"/>
  <c r="U773" i="30"/>
  <c r="M772" i="30"/>
  <c r="O772" i="30" s="1"/>
  <c r="M771" i="30"/>
  <c r="M770" i="30"/>
  <c r="O770" i="30" s="1"/>
  <c r="M769" i="30"/>
  <c r="M768" i="30"/>
  <c r="O768" i="30" s="1"/>
  <c r="U767" i="30"/>
  <c r="M766" i="30"/>
  <c r="O766" i="30" s="1"/>
  <c r="M765" i="30"/>
  <c r="M764" i="30"/>
  <c r="M763" i="30"/>
  <c r="M762" i="30"/>
  <c r="O762" i="30" s="1"/>
  <c r="U761" i="30"/>
  <c r="M760" i="30"/>
  <c r="O760" i="30" s="1"/>
  <c r="M759" i="30"/>
  <c r="M758" i="30"/>
  <c r="M757" i="30"/>
  <c r="M756" i="30"/>
  <c r="O756" i="30" s="1"/>
  <c r="U755" i="30"/>
  <c r="M754" i="30"/>
  <c r="O754" i="30" s="1"/>
  <c r="M753" i="30"/>
  <c r="M752" i="30"/>
  <c r="M751" i="30"/>
  <c r="M750" i="30"/>
  <c r="O750" i="30" s="1"/>
  <c r="U749" i="30"/>
  <c r="I748" i="30"/>
  <c r="I747" i="30"/>
  <c r="M747" i="30"/>
  <c r="J747" i="30"/>
  <c r="I746" i="30"/>
  <c r="H745" i="30"/>
  <c r="I745" i="30" s="1"/>
  <c r="I744" i="30"/>
  <c r="I743" i="30"/>
  <c r="J743" i="30" s="1"/>
  <c r="H742" i="30"/>
  <c r="I742" i="30" s="1"/>
  <c r="I741" i="30"/>
  <c r="I740" i="30"/>
  <c r="I738" i="30"/>
  <c r="H737" i="30"/>
  <c r="I737" i="30" s="1"/>
  <c r="I736" i="30"/>
  <c r="J736" i="30" s="1"/>
  <c r="I735" i="30"/>
  <c r="H734" i="30"/>
  <c r="I734" i="30" s="1"/>
  <c r="I733" i="30"/>
  <c r="I732" i="30"/>
  <c r="I730" i="30"/>
  <c r="H729" i="30"/>
  <c r="I729" i="30" s="1"/>
  <c r="I728" i="30"/>
  <c r="I727" i="30"/>
  <c r="J727" i="30" s="1"/>
  <c r="H726" i="30"/>
  <c r="I726" i="30" s="1"/>
  <c r="I725" i="30"/>
  <c r="I724" i="30"/>
  <c r="I722" i="30"/>
  <c r="H721" i="30"/>
  <c r="I721" i="30" s="1"/>
  <c r="I720" i="30"/>
  <c r="I719" i="30"/>
  <c r="J719" i="30" s="1"/>
  <c r="H718" i="30"/>
  <c r="I718" i="30" s="1"/>
  <c r="I717" i="30"/>
  <c r="I716" i="30"/>
  <c r="I714" i="30"/>
  <c r="H713" i="30"/>
  <c r="I713" i="30" s="1"/>
  <c r="I712" i="30"/>
  <c r="I711" i="30"/>
  <c r="J711" i="30" s="1"/>
  <c r="H710" i="30"/>
  <c r="I710" i="30" s="1"/>
  <c r="I709" i="30"/>
  <c r="I708" i="30"/>
  <c r="M743" i="30"/>
  <c r="O743" i="30" s="1"/>
  <c r="M736" i="30"/>
  <c r="M727" i="30"/>
  <c r="M719" i="30"/>
  <c r="M711" i="30"/>
  <c r="I705" i="30"/>
  <c r="H704" i="30"/>
  <c r="I704" i="30" s="1"/>
  <c r="I703" i="30"/>
  <c r="I702" i="30"/>
  <c r="J702" i="30" s="1"/>
  <c r="H701" i="30"/>
  <c r="I701" i="30" s="1"/>
  <c r="I700" i="30"/>
  <c r="I699" i="30"/>
  <c r="I697" i="30"/>
  <c r="H696" i="30"/>
  <c r="I696" i="30" s="1"/>
  <c r="I695" i="30"/>
  <c r="I694" i="30"/>
  <c r="J694" i="30" s="1"/>
  <c r="H693" i="30"/>
  <c r="I693" i="30" s="1"/>
  <c r="I692" i="30"/>
  <c r="I691" i="30"/>
  <c r="I689" i="30"/>
  <c r="H688" i="30"/>
  <c r="I688" i="30" s="1"/>
  <c r="I687" i="30"/>
  <c r="I686" i="30"/>
  <c r="H685" i="30"/>
  <c r="I685" i="30" s="1"/>
  <c r="J685" i="30" s="1"/>
  <c r="I684" i="30"/>
  <c r="I683" i="30"/>
  <c r="I681" i="30"/>
  <c r="H680" i="30"/>
  <c r="I680" i="30" s="1"/>
  <c r="I679" i="30"/>
  <c r="I678" i="30"/>
  <c r="H677" i="30"/>
  <c r="I677" i="30" s="1"/>
  <c r="J677" i="30" s="1"/>
  <c r="I676" i="30"/>
  <c r="I675" i="30"/>
  <c r="I673" i="30"/>
  <c r="H672" i="30"/>
  <c r="I672" i="30" s="1"/>
  <c r="I671" i="30"/>
  <c r="I670" i="30"/>
  <c r="H669" i="30"/>
  <c r="I669" i="30" s="1"/>
  <c r="J669" i="30" s="1"/>
  <c r="I668" i="30"/>
  <c r="I667" i="30"/>
  <c r="M702" i="30"/>
  <c r="M694" i="30"/>
  <c r="J756" i="30" l="1"/>
  <c r="I755" i="30"/>
  <c r="J768" i="30"/>
  <c r="I767" i="30"/>
  <c r="J780" i="30"/>
  <c r="I779" i="30"/>
  <c r="J792" i="30"/>
  <c r="I791" i="30"/>
  <c r="J809" i="30"/>
  <c r="I808" i="30"/>
  <c r="I739" i="30"/>
  <c r="I749" i="30"/>
  <c r="J762" i="30"/>
  <c r="I761" i="30"/>
  <c r="J774" i="30"/>
  <c r="I773" i="30"/>
  <c r="J786" i="30"/>
  <c r="I785" i="30"/>
  <c r="I797" i="30"/>
  <c r="I812" i="30"/>
  <c r="I819" i="30"/>
  <c r="A516" i="30"/>
  <c r="A517" i="30" s="1"/>
  <c r="A518" i="30" s="1"/>
  <c r="A520" i="30" s="1"/>
  <c r="A521" i="30" s="1"/>
  <c r="A522" i="30" s="1"/>
  <c r="A523" i="30" s="1"/>
  <c r="A525" i="30" s="1"/>
  <c r="O844" i="30"/>
  <c r="P844" i="30" s="1"/>
  <c r="I707" i="30"/>
  <c r="I715" i="30"/>
  <c r="I731" i="30"/>
  <c r="P809" i="30"/>
  <c r="Q809" i="30" s="1"/>
  <c r="R809" i="30" s="1"/>
  <c r="S809" i="30" s="1"/>
  <c r="T809" i="30" s="1"/>
  <c r="AE809" i="30" s="1"/>
  <c r="P811" i="30"/>
  <c r="Q811" i="30" s="1"/>
  <c r="O810" i="30"/>
  <c r="P810" i="30" s="1"/>
  <c r="Q810" i="30" s="1"/>
  <c r="M677" i="30"/>
  <c r="O677" i="30" s="1"/>
  <c r="P677" i="30" s="1"/>
  <c r="Q677" i="30" s="1"/>
  <c r="I666" i="30"/>
  <c r="I698" i="30"/>
  <c r="M685" i="30"/>
  <c r="O685" i="30" s="1"/>
  <c r="P685" i="30" s="1"/>
  <c r="Q685" i="30" s="1"/>
  <c r="J798" i="30"/>
  <c r="O798" i="30"/>
  <c r="P798" i="30" s="1"/>
  <c r="P805" i="30"/>
  <c r="Q805" i="30" s="1"/>
  <c r="P803" i="30"/>
  <c r="Q803" i="30" s="1"/>
  <c r="R803" i="30" s="1"/>
  <c r="P807" i="30"/>
  <c r="Q807" i="30" s="1"/>
  <c r="P799" i="30"/>
  <c r="Q799" i="30" s="1"/>
  <c r="P802" i="30"/>
  <c r="Q802" i="30" s="1"/>
  <c r="O801" i="30"/>
  <c r="O800" i="30"/>
  <c r="P800" i="30" s="1"/>
  <c r="O804" i="30"/>
  <c r="P804" i="30" s="1"/>
  <c r="Q804" i="30" s="1"/>
  <c r="O806" i="30"/>
  <c r="P806" i="30" s="1"/>
  <c r="J750" i="30"/>
  <c r="P756" i="30"/>
  <c r="Q756" i="30" s="1"/>
  <c r="O758" i="30"/>
  <c r="P760" i="30"/>
  <c r="Q760" i="30" s="1"/>
  <c r="P762" i="30"/>
  <c r="Q762" i="30" s="1"/>
  <c r="O764" i="30"/>
  <c r="P766" i="30"/>
  <c r="Q766" i="30" s="1"/>
  <c r="P774" i="30"/>
  <c r="Q774" i="30" s="1"/>
  <c r="R774" i="30" s="1"/>
  <c r="S774" i="30" s="1"/>
  <c r="T774" i="30" s="1"/>
  <c r="AE774" i="30" s="1"/>
  <c r="O776" i="30"/>
  <c r="P776" i="30" s="1"/>
  <c r="P778" i="30"/>
  <c r="Q778" i="30" s="1"/>
  <c r="P780" i="30"/>
  <c r="Q780" i="30" s="1"/>
  <c r="O782" i="30"/>
  <c r="P782" i="30" s="1"/>
  <c r="Q782" i="30" s="1"/>
  <c r="P784" i="30"/>
  <c r="Q784" i="30" s="1"/>
  <c r="P786" i="30"/>
  <c r="Q786" i="30" s="1"/>
  <c r="O788" i="30"/>
  <c r="P788" i="30" s="1"/>
  <c r="Q788" i="30" s="1"/>
  <c r="P790" i="30"/>
  <c r="Q790" i="30" s="1"/>
  <c r="P792" i="30"/>
  <c r="Q792" i="30" s="1"/>
  <c r="O794" i="30"/>
  <c r="P796" i="30"/>
  <c r="Q796" i="30" s="1"/>
  <c r="R796" i="30" s="1"/>
  <c r="S796" i="30" s="1"/>
  <c r="T796" i="30" s="1"/>
  <c r="O787" i="30"/>
  <c r="O789" i="30"/>
  <c r="O793" i="30"/>
  <c r="O795" i="30"/>
  <c r="O769" i="30"/>
  <c r="P769" i="30" s="1"/>
  <c r="O771" i="30"/>
  <c r="P768" i="30"/>
  <c r="Q768" i="30" s="1"/>
  <c r="P770" i="30"/>
  <c r="Q770" i="30" s="1"/>
  <c r="P772" i="30"/>
  <c r="Q772" i="30" s="1"/>
  <c r="O775" i="30"/>
  <c r="P775" i="30" s="1"/>
  <c r="Q775" i="30" s="1"/>
  <c r="O777" i="30"/>
  <c r="O781" i="30"/>
  <c r="O783" i="30"/>
  <c r="P783" i="30" s="1"/>
  <c r="O763" i="30"/>
  <c r="O765" i="30"/>
  <c r="O757" i="30"/>
  <c r="O759" i="30"/>
  <c r="P750" i="30"/>
  <c r="Q750" i="30" s="1"/>
  <c r="O752" i="30"/>
  <c r="P754" i="30"/>
  <c r="Q754" i="30" s="1"/>
  <c r="O751" i="30"/>
  <c r="O753" i="30"/>
  <c r="O747" i="30"/>
  <c r="I723" i="30"/>
  <c r="O711" i="30"/>
  <c r="P711" i="30" s="1"/>
  <c r="O719" i="30"/>
  <c r="O727" i="30"/>
  <c r="P727" i="30" s="1"/>
  <c r="Q727" i="30" s="1"/>
  <c r="P743" i="30"/>
  <c r="Q743" i="30" s="1"/>
  <c r="O736" i="30"/>
  <c r="I682" i="30"/>
  <c r="I674" i="30"/>
  <c r="I690" i="30"/>
  <c r="M669" i="30"/>
  <c r="O669" i="30" s="1"/>
  <c r="O694" i="30"/>
  <c r="P694" i="30" s="1"/>
  <c r="Q694" i="30" s="1"/>
  <c r="O702" i="30"/>
  <c r="I654" i="30"/>
  <c r="I653" i="30"/>
  <c r="I652" i="30"/>
  <c r="I651" i="30"/>
  <c r="I647" i="30"/>
  <c r="I646" i="30"/>
  <c r="I645" i="30"/>
  <c r="H633" i="30"/>
  <c r="I633" i="30" s="1"/>
  <c r="H632" i="30"/>
  <c r="I632" i="30" s="1"/>
  <c r="H631" i="30"/>
  <c r="I631" i="30" s="1"/>
  <c r="H630" i="30"/>
  <c r="I630" i="30" s="1"/>
  <c r="H629" i="30"/>
  <c r="I629" i="30" s="1"/>
  <c r="I628" i="30"/>
  <c r="H626" i="30"/>
  <c r="I626" i="30" s="1"/>
  <c r="H625" i="30"/>
  <c r="I625" i="30" s="1"/>
  <c r="I624" i="30"/>
  <c r="H622" i="30"/>
  <c r="I622" i="30" s="1"/>
  <c r="H621" i="30"/>
  <c r="I621" i="30" s="1"/>
  <c r="J621" i="30" s="1"/>
  <c r="I620" i="30"/>
  <c r="M620" i="30"/>
  <c r="U619" i="30"/>
  <c r="H617" i="30"/>
  <c r="I617" i="30" s="1"/>
  <c r="H616" i="30"/>
  <c r="I616" i="30" s="1"/>
  <c r="H615" i="30"/>
  <c r="I615" i="30" s="1"/>
  <c r="H614" i="30"/>
  <c r="I614" i="30" s="1"/>
  <c r="I613" i="30"/>
  <c r="H611" i="30"/>
  <c r="I611" i="30" s="1"/>
  <c r="I610" i="30"/>
  <c r="H607" i="30"/>
  <c r="I607" i="30" s="1"/>
  <c r="I606" i="30"/>
  <c r="I604" i="30"/>
  <c r="I601" i="30"/>
  <c r="I600" i="30"/>
  <c r="I599" i="30"/>
  <c r="M599" i="30"/>
  <c r="O599" i="30" s="1"/>
  <c r="U598" i="30"/>
  <c r="I597" i="30"/>
  <c r="I595" i="30"/>
  <c r="J595" i="30" s="1"/>
  <c r="I594" i="30"/>
  <c r="I593" i="30" s="1"/>
  <c r="M594" i="30"/>
  <c r="O594" i="30" s="1"/>
  <c r="U593" i="30"/>
  <c r="H581" i="30"/>
  <c r="I581" i="30" s="1"/>
  <c r="I580" i="30"/>
  <c r="I579" i="30"/>
  <c r="C578" i="30"/>
  <c r="H577" i="30"/>
  <c r="I577" i="30" s="1"/>
  <c r="H576" i="30"/>
  <c r="I576" i="30" s="1"/>
  <c r="I575" i="30"/>
  <c r="C574" i="30"/>
  <c r="I573" i="30"/>
  <c r="H570" i="30"/>
  <c r="I570" i="30" s="1"/>
  <c r="H569" i="30"/>
  <c r="I569" i="30" s="1"/>
  <c r="H568" i="30"/>
  <c r="I568" i="30" s="1"/>
  <c r="I567" i="30"/>
  <c r="H566" i="30"/>
  <c r="I566" i="30" s="1"/>
  <c r="H565" i="30"/>
  <c r="I565" i="30" s="1"/>
  <c r="I564" i="30"/>
  <c r="H562" i="30"/>
  <c r="I562" i="30" s="1"/>
  <c r="H561" i="30"/>
  <c r="I561" i="30" s="1"/>
  <c r="H560" i="30"/>
  <c r="I560" i="30" s="1"/>
  <c r="I559" i="30"/>
  <c r="H558" i="30"/>
  <c r="I558" i="30" s="1"/>
  <c r="H557" i="30"/>
  <c r="I557" i="30" s="1"/>
  <c r="I556" i="30"/>
  <c r="I553" i="30"/>
  <c r="I552" i="30"/>
  <c r="I551" i="30"/>
  <c r="I549" i="30"/>
  <c r="I548" i="30"/>
  <c r="I547" i="30"/>
  <c r="J547" i="30" s="1"/>
  <c r="I546" i="30"/>
  <c r="J546" i="30" s="1"/>
  <c r="I545" i="30"/>
  <c r="M547" i="30"/>
  <c r="M546" i="30"/>
  <c r="O546" i="30" s="1"/>
  <c r="H543" i="30"/>
  <c r="I543" i="30" s="1"/>
  <c r="H542" i="30"/>
  <c r="I542" i="30" s="1"/>
  <c r="H541" i="30"/>
  <c r="I541" i="30" s="1"/>
  <c r="H540" i="30"/>
  <c r="I540" i="30" s="1"/>
  <c r="I539" i="30"/>
  <c r="H538" i="30"/>
  <c r="I538" i="30" s="1"/>
  <c r="H537" i="30"/>
  <c r="I537" i="30" s="1"/>
  <c r="I536" i="30"/>
  <c r="H534" i="30"/>
  <c r="I534" i="30" s="1"/>
  <c r="H533" i="30"/>
  <c r="I533" i="30" s="1"/>
  <c r="H532" i="30"/>
  <c r="I532" i="30" s="1"/>
  <c r="I531" i="30"/>
  <c r="H530" i="30"/>
  <c r="I530" i="30" s="1"/>
  <c r="H529" i="30"/>
  <c r="I529" i="30" s="1"/>
  <c r="I528" i="30"/>
  <c r="I525" i="30"/>
  <c r="I524" i="30" s="1"/>
  <c r="I523" i="30"/>
  <c r="J523" i="30" s="1"/>
  <c r="I522" i="30"/>
  <c r="I521" i="30"/>
  <c r="J521" i="30" s="1"/>
  <c r="I520" i="30"/>
  <c r="M522" i="30"/>
  <c r="M521" i="30"/>
  <c r="M520" i="30"/>
  <c r="U519" i="30"/>
  <c r="H518" i="30"/>
  <c r="H517" i="30"/>
  <c r="I518" i="30"/>
  <c r="I517" i="30"/>
  <c r="I516" i="30"/>
  <c r="M517" i="30"/>
  <c r="M516" i="30"/>
  <c r="I514" i="30"/>
  <c r="I513" i="30"/>
  <c r="I512" i="30"/>
  <c r="I510" i="30"/>
  <c r="I509" i="30"/>
  <c r="I508" i="30"/>
  <c r="I507" i="30"/>
  <c r="I506" i="30"/>
  <c r="I505" i="30"/>
  <c r="I504" i="30"/>
  <c r="H502" i="30"/>
  <c r="I502" i="30" s="1"/>
  <c r="I501" i="30"/>
  <c r="I500" i="30"/>
  <c r="I499" i="30"/>
  <c r="I498" i="30"/>
  <c r="I497" i="30"/>
  <c r="H489" i="30"/>
  <c r="I489" i="30" s="1"/>
  <c r="H490" i="30"/>
  <c r="I490" i="30" s="1"/>
  <c r="H488" i="30"/>
  <c r="I488" i="30" s="1"/>
  <c r="H487" i="30"/>
  <c r="I487" i="30" s="1"/>
  <c r="J487" i="30" s="1"/>
  <c r="I486" i="30"/>
  <c r="J486" i="30" s="1"/>
  <c r="H485" i="30"/>
  <c r="I485" i="30" s="1"/>
  <c r="J485" i="30" s="1"/>
  <c r="H484" i="30"/>
  <c r="I484" i="30" s="1"/>
  <c r="J484" i="30" s="1"/>
  <c r="H483" i="30"/>
  <c r="I483" i="30" s="1"/>
  <c r="J483" i="30" s="1"/>
  <c r="I482" i="30"/>
  <c r="J482" i="30" s="1"/>
  <c r="H481" i="30"/>
  <c r="I481" i="30" s="1"/>
  <c r="J481" i="30" s="1"/>
  <c r="H480" i="30"/>
  <c r="I480" i="30" s="1"/>
  <c r="H479" i="30"/>
  <c r="I479" i="30" s="1"/>
  <c r="I478" i="30"/>
  <c r="M482" i="30"/>
  <c r="M480" i="30"/>
  <c r="M486" i="30"/>
  <c r="I453" i="30"/>
  <c r="I452" i="30"/>
  <c r="I451" i="30"/>
  <c r="I450" i="30"/>
  <c r="M451" i="30"/>
  <c r="M452" i="30"/>
  <c r="I442" i="30"/>
  <c r="I441" i="30"/>
  <c r="I440" i="30"/>
  <c r="I438" i="30"/>
  <c r="I437" i="30"/>
  <c r="I436" i="30"/>
  <c r="I435" i="30"/>
  <c r="I434" i="30"/>
  <c r="I433" i="30"/>
  <c r="I432" i="30"/>
  <c r="I431" i="30"/>
  <c r="I429" i="30"/>
  <c r="I428" i="30" s="1"/>
  <c r="I427" i="30"/>
  <c r="I426" i="30"/>
  <c r="I425" i="30"/>
  <c r="I423" i="30"/>
  <c r="I422" i="30" s="1"/>
  <c r="I421" i="30"/>
  <c r="I420" i="30"/>
  <c r="I419" i="30"/>
  <c r="I418" i="30"/>
  <c r="I416" i="30"/>
  <c r="I415" i="30"/>
  <c r="J415" i="30" s="1"/>
  <c r="I414" i="30"/>
  <c r="J414" i="30" s="1"/>
  <c r="I413" i="30"/>
  <c r="M414" i="30"/>
  <c r="O414" i="30" s="1"/>
  <c r="M413" i="30"/>
  <c r="M415" i="30"/>
  <c r="H409" i="30"/>
  <c r="I409" i="30" s="1"/>
  <c r="I408" i="30"/>
  <c r="H407" i="30"/>
  <c r="I407" i="30" s="1"/>
  <c r="I406" i="30"/>
  <c r="H405" i="30"/>
  <c r="I405" i="30" s="1"/>
  <c r="J405" i="30" s="1"/>
  <c r="I404" i="30"/>
  <c r="J404" i="30" s="1"/>
  <c r="H403" i="30"/>
  <c r="I403" i="30" s="1"/>
  <c r="J403" i="30" s="1"/>
  <c r="I402" i="30"/>
  <c r="H401" i="30"/>
  <c r="I401" i="30" s="1"/>
  <c r="I400" i="30"/>
  <c r="H399" i="30"/>
  <c r="H411" i="30" s="1"/>
  <c r="I411" i="30" s="1"/>
  <c r="I398" i="30"/>
  <c r="M406" i="30"/>
  <c r="M404" i="30"/>
  <c r="I598" i="30" l="1"/>
  <c r="I644" i="30"/>
  <c r="U796" i="30"/>
  <c r="AE796" i="30"/>
  <c r="I424" i="30"/>
  <c r="I430" i="30"/>
  <c r="I439" i="30"/>
  <c r="I544" i="30"/>
  <c r="I477" i="30"/>
  <c r="I511" i="30"/>
  <c r="I519" i="30"/>
  <c r="I412" i="30"/>
  <c r="I417" i="30"/>
  <c r="I449" i="30"/>
  <c r="I496" i="30"/>
  <c r="I503" i="30"/>
  <c r="J516" i="30"/>
  <c r="I515" i="30"/>
  <c r="I526" i="30"/>
  <c r="I550" i="30"/>
  <c r="I664" i="30"/>
  <c r="A528" i="30"/>
  <c r="A529" i="30" s="1"/>
  <c r="A530" i="30" s="1"/>
  <c r="A531" i="30" s="1"/>
  <c r="A532" i="30" s="1"/>
  <c r="A533" i="30" s="1"/>
  <c r="A534" i="30" s="1"/>
  <c r="A536" i="30" s="1"/>
  <c r="A537" i="30" s="1"/>
  <c r="A538" i="30" s="1"/>
  <c r="A539" i="30" s="1"/>
  <c r="A540" i="30" s="1"/>
  <c r="A541" i="30" s="1"/>
  <c r="A542" i="30" s="1"/>
  <c r="A543" i="30" s="1"/>
  <c r="A545" i="30" s="1"/>
  <c r="A546" i="30" s="1"/>
  <c r="A547" i="30" s="1"/>
  <c r="A548" i="30" s="1"/>
  <c r="A549" i="30" s="1"/>
  <c r="A551" i="30" s="1"/>
  <c r="A552" i="30" s="1"/>
  <c r="A553" i="30" s="1"/>
  <c r="A556" i="30" s="1"/>
  <c r="A557" i="30" s="1"/>
  <c r="A558" i="30" s="1"/>
  <c r="A559" i="30" s="1"/>
  <c r="A560" i="30" s="1"/>
  <c r="A561" i="30" s="1"/>
  <c r="A562" i="30" s="1"/>
  <c r="A564" i="30" s="1"/>
  <c r="A565" i="30" s="1"/>
  <c r="A566" i="30" s="1"/>
  <c r="A567" i="30" s="1"/>
  <c r="A568" i="30" s="1"/>
  <c r="A569" i="30" s="1"/>
  <c r="A570" i="30" s="1"/>
  <c r="A571" i="30" s="1"/>
  <c r="A572" i="30" s="1"/>
  <c r="A573" i="30" s="1"/>
  <c r="A575" i="30" s="1"/>
  <c r="A576" i="30" s="1"/>
  <c r="A577" i="30" s="1"/>
  <c r="Q844" i="30"/>
  <c r="R844" i="30" s="1"/>
  <c r="S844" i="30" s="1"/>
  <c r="T844" i="30" s="1"/>
  <c r="M405" i="30"/>
  <c r="O405" i="30" s="1"/>
  <c r="M597" i="30"/>
  <c r="O597" i="30" s="1"/>
  <c r="R810" i="30"/>
  <c r="U809" i="30"/>
  <c r="R811" i="30"/>
  <c r="M601" i="30"/>
  <c r="O601" i="30" s="1"/>
  <c r="P601" i="30" s="1"/>
  <c r="Q601" i="30" s="1"/>
  <c r="R799" i="30"/>
  <c r="S799" i="30" s="1"/>
  <c r="T799" i="30" s="1"/>
  <c r="Q798" i="30"/>
  <c r="R798" i="30" s="1"/>
  <c r="S798" i="30" s="1"/>
  <c r="T798" i="30" s="1"/>
  <c r="AE798" i="30" s="1"/>
  <c r="R802" i="30"/>
  <c r="S802" i="30" s="1"/>
  <c r="T802" i="30" s="1"/>
  <c r="P801" i="30"/>
  <c r="Q801" i="30" s="1"/>
  <c r="Q800" i="30"/>
  <c r="S803" i="30"/>
  <c r="T803" i="30" s="1"/>
  <c r="R804" i="30"/>
  <c r="S804" i="30" s="1"/>
  <c r="T804" i="30" s="1"/>
  <c r="Q806" i="30"/>
  <c r="R807" i="30"/>
  <c r="S807" i="30" s="1"/>
  <c r="T807" i="30" s="1"/>
  <c r="R805" i="30"/>
  <c r="R792" i="30"/>
  <c r="S792" i="30" s="1"/>
  <c r="T792" i="30" s="1"/>
  <c r="AE792" i="30" s="1"/>
  <c r="R766" i="30"/>
  <c r="S766" i="30" s="1"/>
  <c r="T766" i="30" s="1"/>
  <c r="R762" i="30"/>
  <c r="S762" i="30" s="1"/>
  <c r="T762" i="30" s="1"/>
  <c r="AE762" i="30" s="1"/>
  <c r="R754" i="30"/>
  <c r="S754" i="30" s="1"/>
  <c r="T754" i="30" s="1"/>
  <c r="R750" i="30"/>
  <c r="S750" i="30" s="1"/>
  <c r="T750" i="30" s="1"/>
  <c r="AE750" i="30" s="1"/>
  <c r="R778" i="30"/>
  <c r="S778" i="30" s="1"/>
  <c r="T778" i="30" s="1"/>
  <c r="R760" i="30"/>
  <c r="S760" i="30" s="1"/>
  <c r="T760" i="30" s="1"/>
  <c r="R756" i="30"/>
  <c r="S756" i="30" s="1"/>
  <c r="T756" i="30" s="1"/>
  <c r="AE756" i="30" s="1"/>
  <c r="P781" i="30"/>
  <c r="Q781" i="30" s="1"/>
  <c r="R781" i="30" s="1"/>
  <c r="P764" i="30"/>
  <c r="Q764" i="30" s="1"/>
  <c r="P771" i="30"/>
  <c r="Q771" i="30" s="1"/>
  <c r="R771" i="30" s="1"/>
  <c r="Q769" i="30"/>
  <c r="R769" i="30" s="1"/>
  <c r="S769" i="30" s="1"/>
  <c r="T769" i="30" s="1"/>
  <c r="Q776" i="30"/>
  <c r="R776" i="30" s="1"/>
  <c r="P794" i="30"/>
  <c r="Q794" i="30" s="1"/>
  <c r="R794" i="30" s="1"/>
  <c r="P758" i="30"/>
  <c r="Q758" i="30" s="1"/>
  <c r="P793" i="30"/>
  <c r="Q793" i="30" s="1"/>
  <c r="P787" i="30"/>
  <c r="Q787" i="30" s="1"/>
  <c r="R788" i="30"/>
  <c r="P795" i="30"/>
  <c r="Q795" i="30" s="1"/>
  <c r="P789" i="30"/>
  <c r="Q789" i="30" s="1"/>
  <c r="R790" i="30"/>
  <c r="S790" i="30" s="1"/>
  <c r="T790" i="30" s="1"/>
  <c r="R786" i="30"/>
  <c r="R775" i="30"/>
  <c r="S775" i="30" s="1"/>
  <c r="T775" i="30" s="1"/>
  <c r="AE775" i="30" s="1"/>
  <c r="R772" i="30"/>
  <c r="S772" i="30" s="1"/>
  <c r="T772" i="30" s="1"/>
  <c r="R768" i="30"/>
  <c r="U774" i="30"/>
  <c r="R784" i="30"/>
  <c r="R780" i="30"/>
  <c r="S780" i="30" s="1"/>
  <c r="T780" i="30" s="1"/>
  <c r="AE780" i="30" s="1"/>
  <c r="Q783" i="30"/>
  <c r="R770" i="30"/>
  <c r="S770" i="30" s="1"/>
  <c r="T770" i="30" s="1"/>
  <c r="P777" i="30"/>
  <c r="Q777" i="30" s="1"/>
  <c r="R782" i="30"/>
  <c r="S782" i="30" s="1"/>
  <c r="T782" i="30" s="1"/>
  <c r="P765" i="30"/>
  <c r="Q765" i="30" s="1"/>
  <c r="P763" i="30"/>
  <c r="Q763" i="30" s="1"/>
  <c r="P759" i="30"/>
  <c r="Q759" i="30" s="1"/>
  <c r="P757" i="30"/>
  <c r="Q757" i="30" s="1"/>
  <c r="P752" i="30"/>
  <c r="Q752" i="30" s="1"/>
  <c r="P753" i="30"/>
  <c r="Q753" i="30" s="1"/>
  <c r="P751" i="30"/>
  <c r="Q751" i="30" s="1"/>
  <c r="P747" i="30"/>
  <c r="Q747" i="30" s="1"/>
  <c r="Q711" i="30"/>
  <c r="P719" i="30"/>
  <c r="Q719" i="30" s="1"/>
  <c r="R743" i="30"/>
  <c r="P736" i="30"/>
  <c r="Q736" i="30" s="1"/>
  <c r="R727" i="30"/>
  <c r="P702" i="30"/>
  <c r="Q702" i="30" s="1"/>
  <c r="R694" i="30"/>
  <c r="R685" i="30"/>
  <c r="R677" i="30"/>
  <c r="P669" i="30"/>
  <c r="Q669" i="30" s="1"/>
  <c r="M622" i="30"/>
  <c r="I618" i="30"/>
  <c r="I574" i="30"/>
  <c r="M600" i="30"/>
  <c r="O600" i="30" s="1"/>
  <c r="P600" i="30" s="1"/>
  <c r="Q600" i="30" s="1"/>
  <c r="M621" i="30"/>
  <c r="O621" i="30" s="1"/>
  <c r="J620" i="30"/>
  <c r="O622" i="30"/>
  <c r="J622" i="30"/>
  <c r="O620" i="30"/>
  <c r="I608" i="30"/>
  <c r="I602" i="30"/>
  <c r="J599" i="30"/>
  <c r="J597" i="30"/>
  <c r="M595" i="30"/>
  <c r="O595" i="30" s="1"/>
  <c r="P599" i="30"/>
  <c r="Q599" i="30" s="1"/>
  <c r="R599" i="30" s="1"/>
  <c r="H571" i="30"/>
  <c r="I571" i="30" s="1"/>
  <c r="J600" i="30"/>
  <c r="J594" i="30"/>
  <c r="P594" i="30"/>
  <c r="Q594" i="30" s="1"/>
  <c r="R594" i="30" s="1"/>
  <c r="H572" i="30"/>
  <c r="I572" i="30" s="1"/>
  <c r="I578" i="30"/>
  <c r="P546" i="30"/>
  <c r="Q546" i="30" s="1"/>
  <c r="O547" i="30"/>
  <c r="P547" i="30" s="1"/>
  <c r="M523" i="30"/>
  <c r="O523" i="30" s="1"/>
  <c r="P523" i="30" s="1"/>
  <c r="J520" i="30"/>
  <c r="O522" i="30"/>
  <c r="O520" i="30"/>
  <c r="O521" i="30"/>
  <c r="P521" i="30" s="1"/>
  <c r="J517" i="30"/>
  <c r="O516" i="30"/>
  <c r="O517" i="30"/>
  <c r="M479" i="30"/>
  <c r="O479" i="30" s="1"/>
  <c r="M481" i="30"/>
  <c r="O481" i="30" s="1"/>
  <c r="M485" i="30"/>
  <c r="O485" i="30" s="1"/>
  <c r="P485" i="30" s="1"/>
  <c r="Q485" i="30" s="1"/>
  <c r="M487" i="30"/>
  <c r="O487" i="30" s="1"/>
  <c r="P487" i="30" s="1"/>
  <c r="Q487" i="30" s="1"/>
  <c r="M483" i="30"/>
  <c r="O483" i="30" s="1"/>
  <c r="M484" i="30"/>
  <c r="O480" i="30"/>
  <c r="J479" i="30"/>
  <c r="J480" i="30"/>
  <c r="O482" i="30"/>
  <c r="O486" i="30"/>
  <c r="O451" i="30"/>
  <c r="J451" i="30"/>
  <c r="O452" i="30"/>
  <c r="J452" i="30"/>
  <c r="J413" i="30"/>
  <c r="P414" i="30"/>
  <c r="Q414" i="30" s="1"/>
  <c r="O413" i="30"/>
  <c r="P413" i="30" s="1"/>
  <c r="O415" i="30"/>
  <c r="P415" i="30" s="1"/>
  <c r="M403" i="30"/>
  <c r="I399" i="30"/>
  <c r="H410" i="30"/>
  <c r="I410" i="30" s="1"/>
  <c r="I397" i="30" s="1"/>
  <c r="O406" i="30"/>
  <c r="P406" i="30" s="1"/>
  <c r="Q406" i="30" s="1"/>
  <c r="J406" i="30"/>
  <c r="O404" i="30"/>
  <c r="U844" i="30" l="1"/>
  <c r="AE844" i="30"/>
  <c r="U782" i="30"/>
  <c r="AE782" i="30"/>
  <c r="U770" i="30"/>
  <c r="AE770" i="30"/>
  <c r="U772" i="30"/>
  <c r="AE772" i="30"/>
  <c r="U769" i="30"/>
  <c r="AE769" i="30"/>
  <c r="U778" i="30"/>
  <c r="AE778" i="30"/>
  <c r="U754" i="30"/>
  <c r="AE754" i="30"/>
  <c r="U766" i="30"/>
  <c r="AE766" i="30"/>
  <c r="U803" i="30"/>
  <c r="AE803" i="30"/>
  <c r="U790" i="30"/>
  <c r="AE790" i="30"/>
  <c r="U760" i="30"/>
  <c r="AE760" i="30"/>
  <c r="U807" i="30"/>
  <c r="AE807" i="30"/>
  <c r="U804" i="30"/>
  <c r="AE804" i="30"/>
  <c r="U802" i="30"/>
  <c r="AE802" i="30"/>
  <c r="U799" i="30"/>
  <c r="AE799" i="30"/>
  <c r="U756" i="30"/>
  <c r="U750" i="30"/>
  <c r="U762" i="30"/>
  <c r="U792" i="30"/>
  <c r="A579" i="30"/>
  <c r="A580" i="30" s="1"/>
  <c r="A581" i="30" s="1"/>
  <c r="A584" i="30" s="1"/>
  <c r="A585" i="30" s="1"/>
  <c r="A586" i="30" s="1"/>
  <c r="A588" i="30" s="1"/>
  <c r="A589" i="30" s="1"/>
  <c r="A590" i="30" s="1"/>
  <c r="A591" i="30" s="1"/>
  <c r="A592" i="30" s="1"/>
  <c r="A594" i="30" s="1"/>
  <c r="A595" i="30" s="1"/>
  <c r="A596" i="30" s="1"/>
  <c r="A597" i="30" s="1"/>
  <c r="I554" i="30"/>
  <c r="S810" i="30"/>
  <c r="T810" i="30" s="1"/>
  <c r="AE810" i="30" s="1"/>
  <c r="S811" i="30"/>
  <c r="T811" i="30" s="1"/>
  <c r="S794" i="30"/>
  <c r="T794" i="30" s="1"/>
  <c r="R801" i="30"/>
  <c r="S801" i="30" s="1"/>
  <c r="T801" i="30" s="1"/>
  <c r="R800" i="30"/>
  <c r="U798" i="30"/>
  <c r="S805" i="30"/>
  <c r="T805" i="30" s="1"/>
  <c r="AE805" i="30" s="1"/>
  <c r="R806" i="30"/>
  <c r="S806" i="30" s="1"/>
  <c r="T806" i="30" s="1"/>
  <c r="S776" i="30"/>
  <c r="T776" i="30" s="1"/>
  <c r="AE776" i="30" s="1"/>
  <c r="R758" i="30"/>
  <c r="S758" i="30" s="1"/>
  <c r="T758" i="30" s="1"/>
  <c r="R764" i="30"/>
  <c r="S764" i="30" s="1"/>
  <c r="T764" i="30" s="1"/>
  <c r="R795" i="30"/>
  <c r="S795" i="30" s="1"/>
  <c r="T795" i="30" s="1"/>
  <c r="R787" i="30"/>
  <c r="R789" i="30"/>
  <c r="R793" i="30"/>
  <c r="S793" i="30" s="1"/>
  <c r="T793" i="30" s="1"/>
  <c r="AE793" i="30" s="1"/>
  <c r="S786" i="30"/>
  <c r="T786" i="30" s="1"/>
  <c r="AE786" i="30" s="1"/>
  <c r="S788" i="30"/>
  <c r="T788" i="30" s="1"/>
  <c r="R777" i="30"/>
  <c r="S777" i="30" s="1"/>
  <c r="T777" i="30" s="1"/>
  <c r="AE777" i="30" s="1"/>
  <c r="U780" i="30"/>
  <c r="U775" i="30"/>
  <c r="S771" i="30"/>
  <c r="T771" i="30" s="1"/>
  <c r="S781" i="30"/>
  <c r="T781" i="30" s="1"/>
  <c r="AE781" i="30" s="1"/>
  <c r="R783" i="30"/>
  <c r="S784" i="30"/>
  <c r="T784" i="30" s="1"/>
  <c r="S768" i="30"/>
  <c r="T768" i="30" s="1"/>
  <c r="R763" i="30"/>
  <c r="R765" i="30"/>
  <c r="S765" i="30" s="1"/>
  <c r="T765" i="30" s="1"/>
  <c r="R757" i="30"/>
  <c r="R759" i="30"/>
  <c r="S759" i="30" s="1"/>
  <c r="T759" i="30" s="1"/>
  <c r="R752" i="30"/>
  <c r="S752" i="30" s="1"/>
  <c r="T752" i="30" s="1"/>
  <c r="R751" i="30"/>
  <c r="R753" i="30"/>
  <c r="S753" i="30" s="1"/>
  <c r="T753" i="30" s="1"/>
  <c r="R747" i="30"/>
  <c r="S747" i="30" s="1"/>
  <c r="R719" i="30"/>
  <c r="S719" i="30" s="1"/>
  <c r="T719" i="30" s="1"/>
  <c r="R711" i="30"/>
  <c r="S711" i="30" s="1"/>
  <c r="T711" i="30" s="1"/>
  <c r="S743" i="30"/>
  <c r="T743" i="30" s="1"/>
  <c r="R736" i="30"/>
  <c r="S736" i="30" s="1"/>
  <c r="S727" i="30"/>
  <c r="T727" i="30" s="1"/>
  <c r="R702" i="30"/>
  <c r="S702" i="30" s="1"/>
  <c r="T702" i="30" s="1"/>
  <c r="S694" i="30"/>
  <c r="T694" i="30" s="1"/>
  <c r="S685" i="30"/>
  <c r="T685" i="30" s="1"/>
  <c r="S677" i="30"/>
  <c r="T677" i="30" s="1"/>
  <c r="R669" i="30"/>
  <c r="S669" i="30" s="1"/>
  <c r="P620" i="30"/>
  <c r="Q620" i="30" s="1"/>
  <c r="P621" i="30"/>
  <c r="Q621" i="30" s="1"/>
  <c r="P622" i="30"/>
  <c r="Q622" i="30" s="1"/>
  <c r="S599" i="30"/>
  <c r="T599" i="30" s="1"/>
  <c r="AE599" i="30" s="1"/>
  <c r="R601" i="30"/>
  <c r="S601" i="30" s="1"/>
  <c r="T601" i="30" s="1"/>
  <c r="R600" i="30"/>
  <c r="J601" i="30"/>
  <c r="P595" i="30"/>
  <c r="Q595" i="30" s="1"/>
  <c r="P597" i="30"/>
  <c r="Q597" i="30" s="1"/>
  <c r="S594" i="30"/>
  <c r="T594" i="30" s="1"/>
  <c r="AE594" i="30" s="1"/>
  <c r="Q547" i="30"/>
  <c r="R546" i="30"/>
  <c r="S546" i="30" s="1"/>
  <c r="T546" i="30" s="1"/>
  <c r="Q523" i="30"/>
  <c r="P520" i="30"/>
  <c r="Q520" i="30" s="1"/>
  <c r="R520" i="30" s="1"/>
  <c r="P522" i="30"/>
  <c r="Q522" i="30" s="1"/>
  <c r="J522" i="30"/>
  <c r="R523" i="30"/>
  <c r="S523" i="30" s="1"/>
  <c r="T523" i="30" s="1"/>
  <c r="AE523" i="30" s="1"/>
  <c r="Q521" i="30"/>
  <c r="P517" i="30"/>
  <c r="Q517" i="30" s="1"/>
  <c r="R517" i="30" s="1"/>
  <c r="P516" i="30"/>
  <c r="Q516" i="30" s="1"/>
  <c r="O484" i="30"/>
  <c r="P484" i="30" s="1"/>
  <c r="P482" i="30"/>
  <c r="Q482" i="30" s="1"/>
  <c r="P480" i="30"/>
  <c r="Q480" i="30" s="1"/>
  <c r="P479" i="30"/>
  <c r="Q479" i="30" s="1"/>
  <c r="P483" i="30"/>
  <c r="Q483" i="30" s="1"/>
  <c r="P481" i="30"/>
  <c r="Q481" i="30" s="1"/>
  <c r="R485" i="30"/>
  <c r="P486" i="30"/>
  <c r="Q486" i="30" s="1"/>
  <c r="R487" i="30"/>
  <c r="P451" i="30"/>
  <c r="Q451" i="30" s="1"/>
  <c r="P452" i="30"/>
  <c r="Q452" i="30" s="1"/>
  <c r="R414" i="30"/>
  <c r="S414" i="30" s="1"/>
  <c r="T414" i="30" s="1"/>
  <c r="Q415" i="30"/>
  <c r="R415" i="30" s="1"/>
  <c r="S415" i="30" s="1"/>
  <c r="T415" i="30" s="1"/>
  <c r="Q413" i="30"/>
  <c r="R413" i="30" s="1"/>
  <c r="O403" i="30"/>
  <c r="P403" i="30" s="1"/>
  <c r="R406" i="30"/>
  <c r="S406" i="30" s="1"/>
  <c r="T406" i="30" s="1"/>
  <c r="P405" i="30"/>
  <c r="Q405" i="30" s="1"/>
  <c r="P404" i="30"/>
  <c r="Q404" i="30" s="1"/>
  <c r="H107" i="30"/>
  <c r="U415" i="30" l="1"/>
  <c r="AE415" i="30"/>
  <c r="U601" i="30"/>
  <c r="AE601" i="30"/>
  <c r="U414" i="30"/>
  <c r="AE414" i="30"/>
  <c r="U546" i="30"/>
  <c r="AE546" i="30"/>
  <c r="U677" i="30"/>
  <c r="AE677" i="30"/>
  <c r="U694" i="30"/>
  <c r="AE694" i="30"/>
  <c r="U727" i="30"/>
  <c r="AE727" i="30"/>
  <c r="U743" i="30"/>
  <c r="AE743" i="30"/>
  <c r="U719" i="30"/>
  <c r="AE719" i="30"/>
  <c r="U685" i="30"/>
  <c r="AE685" i="30"/>
  <c r="U702" i="30"/>
  <c r="AE702" i="30"/>
  <c r="U711" i="30"/>
  <c r="AE711" i="30"/>
  <c r="U753" i="30"/>
  <c r="AE753" i="30"/>
  <c r="U752" i="30"/>
  <c r="AE752" i="30"/>
  <c r="U784" i="30"/>
  <c r="AE784" i="30"/>
  <c r="U795" i="30"/>
  <c r="AE795" i="30"/>
  <c r="U758" i="30"/>
  <c r="AE758" i="30"/>
  <c r="U806" i="30"/>
  <c r="AE806" i="30"/>
  <c r="U801" i="30"/>
  <c r="AE801" i="30"/>
  <c r="U811" i="30"/>
  <c r="AE811" i="30"/>
  <c r="U406" i="30"/>
  <c r="AE406" i="30"/>
  <c r="U759" i="30"/>
  <c r="AE759" i="30"/>
  <c r="U765" i="30"/>
  <c r="AE765" i="30"/>
  <c r="S767" i="30"/>
  <c r="AE768" i="30"/>
  <c r="U771" i="30"/>
  <c r="AE771" i="30"/>
  <c r="U788" i="30"/>
  <c r="AE788" i="30"/>
  <c r="U764" i="30"/>
  <c r="AE764" i="30"/>
  <c r="U794" i="30"/>
  <c r="AE794" i="30"/>
  <c r="S791" i="30"/>
  <c r="U776" i="30"/>
  <c r="S773" i="30"/>
  <c r="S808" i="30"/>
  <c r="H109" i="30"/>
  <c r="Z89" i="32" s="1"/>
  <c r="A89" i="32" s="1"/>
  <c r="Z87" i="32"/>
  <c r="A87" i="32" s="1"/>
  <c r="U810" i="30"/>
  <c r="S800" i="30"/>
  <c r="T800" i="30" s="1"/>
  <c r="U805" i="30"/>
  <c r="U786" i="30"/>
  <c r="U793" i="30"/>
  <c r="S789" i="30"/>
  <c r="T789" i="30" s="1"/>
  <c r="S787" i="30"/>
  <c r="T787" i="30" s="1"/>
  <c r="AE787" i="30" s="1"/>
  <c r="U781" i="30"/>
  <c r="U768" i="30"/>
  <c r="U777" i="30"/>
  <c r="S783" i="30"/>
  <c r="T783" i="30" s="1"/>
  <c r="S763" i="30"/>
  <c r="T763" i="30" s="1"/>
  <c r="S757" i="30"/>
  <c r="T757" i="30" s="1"/>
  <c r="S751" i="30"/>
  <c r="T751" i="30" s="1"/>
  <c r="T747" i="30"/>
  <c r="AE747" i="30" s="1"/>
  <c r="T736" i="30"/>
  <c r="T669" i="30"/>
  <c r="R622" i="30"/>
  <c r="S622" i="30" s="1"/>
  <c r="R620" i="30"/>
  <c r="S620" i="30" s="1"/>
  <c r="T620" i="30" s="1"/>
  <c r="R621" i="30"/>
  <c r="S621" i="30" s="1"/>
  <c r="U599" i="30"/>
  <c r="S600" i="30"/>
  <c r="T600" i="30" s="1"/>
  <c r="U594" i="30"/>
  <c r="R595" i="30"/>
  <c r="S595" i="30" s="1"/>
  <c r="T595" i="30" s="1"/>
  <c r="AE595" i="30" s="1"/>
  <c r="R597" i="30"/>
  <c r="R547" i="30"/>
  <c r="S547" i="30" s="1"/>
  <c r="T547" i="30" s="1"/>
  <c r="R522" i="30"/>
  <c r="U523" i="30"/>
  <c r="S520" i="30"/>
  <c r="T520" i="30" s="1"/>
  <c r="AE520" i="30" s="1"/>
  <c r="R521" i="30"/>
  <c r="S521" i="30" s="1"/>
  <c r="T521" i="30" s="1"/>
  <c r="R516" i="30"/>
  <c r="S516" i="30" s="1"/>
  <c r="T516" i="30" s="1"/>
  <c r="AE516" i="30" s="1"/>
  <c r="S517" i="30"/>
  <c r="T517" i="30" s="1"/>
  <c r="Q484" i="30"/>
  <c r="R483" i="30"/>
  <c r="R480" i="30"/>
  <c r="R481" i="30"/>
  <c r="R479" i="30"/>
  <c r="R482" i="30"/>
  <c r="R486" i="30"/>
  <c r="S485" i="30"/>
  <c r="T485" i="30" s="1"/>
  <c r="S487" i="30"/>
  <c r="T487" i="30" s="1"/>
  <c r="R451" i="30"/>
  <c r="S451" i="30" s="1"/>
  <c r="T451" i="30" s="1"/>
  <c r="R452" i="30"/>
  <c r="S452" i="30" s="1"/>
  <c r="T452" i="30" s="1"/>
  <c r="Q403" i="30"/>
  <c r="R403" i="30" s="1"/>
  <c r="S413" i="30"/>
  <c r="T413" i="30" s="1"/>
  <c r="AE413" i="30" s="1"/>
  <c r="S403" i="30"/>
  <c r="T403" i="30" s="1"/>
  <c r="R405" i="30"/>
  <c r="R404" i="30"/>
  <c r="S404" i="30" s="1"/>
  <c r="H75" i="30"/>
  <c r="I75" i="30" s="1"/>
  <c r="H91" i="30"/>
  <c r="H83" i="30"/>
  <c r="H99" i="30"/>
  <c r="H79" i="30"/>
  <c r="H87" i="30"/>
  <c r="H95" i="30"/>
  <c r="H103" i="30"/>
  <c r="H110" i="30"/>
  <c r="Z90" i="32" s="1"/>
  <c r="A90" i="32" s="1"/>
  <c r="H108" i="30"/>
  <c r="Z88" i="32" s="1"/>
  <c r="A88" i="32" s="1"/>
  <c r="U451" i="30" l="1"/>
  <c r="AE451" i="30"/>
  <c r="U517" i="30"/>
  <c r="AE517" i="30"/>
  <c r="U521" i="30"/>
  <c r="AE521" i="30"/>
  <c r="U547" i="30"/>
  <c r="AE547" i="30"/>
  <c r="S598" i="30"/>
  <c r="AE600" i="30"/>
  <c r="U452" i="30"/>
  <c r="AE452" i="30"/>
  <c r="U620" i="30"/>
  <c r="AE620" i="30"/>
  <c r="U736" i="30"/>
  <c r="AE736" i="30"/>
  <c r="U669" i="30"/>
  <c r="AE669" i="30"/>
  <c r="U403" i="30"/>
  <c r="AE403" i="30"/>
  <c r="U485" i="30"/>
  <c r="AE485" i="30"/>
  <c r="S749" i="30"/>
  <c r="AE751" i="30"/>
  <c r="S761" i="30"/>
  <c r="AE763" i="30"/>
  <c r="U789" i="30"/>
  <c r="AE789" i="30"/>
  <c r="S797" i="30"/>
  <c r="AE800" i="30"/>
  <c r="U487" i="30"/>
  <c r="AE487" i="30"/>
  <c r="S755" i="30"/>
  <c r="AE757" i="30"/>
  <c r="S779" i="30"/>
  <c r="AE783" i="30"/>
  <c r="S785" i="30"/>
  <c r="U413" i="30"/>
  <c r="U747" i="30"/>
  <c r="A599" i="30"/>
  <c r="A600" i="30" s="1"/>
  <c r="A601" i="30" s="1"/>
  <c r="H105" i="30"/>
  <c r="Z85" i="32" s="1"/>
  <c r="A85" i="32" s="1"/>
  <c r="Z83" i="32"/>
  <c r="A83" i="32" s="1"/>
  <c r="H90" i="30"/>
  <c r="Z70" i="32" s="1"/>
  <c r="A70" i="32" s="1"/>
  <c r="Z67" i="32"/>
  <c r="A67" i="32" s="1"/>
  <c r="H102" i="30"/>
  <c r="Z82" i="32" s="1"/>
  <c r="A82" i="32" s="1"/>
  <c r="Z79" i="32"/>
  <c r="A79" i="32" s="1"/>
  <c r="H94" i="30"/>
  <c r="Z74" i="32" s="1"/>
  <c r="A74" i="32" s="1"/>
  <c r="Z71" i="32"/>
  <c r="A71" i="32" s="1"/>
  <c r="H97" i="30"/>
  <c r="Z77" i="32" s="1"/>
  <c r="A77" i="32" s="1"/>
  <c r="Z75" i="32"/>
  <c r="A75" i="32" s="1"/>
  <c r="H82" i="30"/>
  <c r="Z62" i="32" s="1"/>
  <c r="A62" i="32" s="1"/>
  <c r="Z59" i="32"/>
  <c r="A59" i="32" s="1"/>
  <c r="H86" i="30"/>
  <c r="Z66" i="32" s="1"/>
  <c r="A66" i="32" s="1"/>
  <c r="Z63" i="32"/>
  <c r="A63" i="32" s="1"/>
  <c r="H77" i="30"/>
  <c r="Z57" i="32" s="1"/>
  <c r="A57" i="32" s="1"/>
  <c r="Z55" i="32"/>
  <c r="A55" i="32" s="1"/>
  <c r="M102" i="30"/>
  <c r="O102" i="30" s="1"/>
  <c r="P102" i="30" s="1"/>
  <c r="Q102" i="30" s="1"/>
  <c r="U800" i="30"/>
  <c r="U787" i="30"/>
  <c r="U783" i="30"/>
  <c r="U763" i="30"/>
  <c r="U757" i="30"/>
  <c r="U751" i="30"/>
  <c r="T621" i="30"/>
  <c r="T622" i="30"/>
  <c r="U600" i="30"/>
  <c r="U595" i="30"/>
  <c r="S597" i="30"/>
  <c r="T597" i="30" s="1"/>
  <c r="U520" i="30"/>
  <c r="U516" i="30"/>
  <c r="S522" i="30"/>
  <c r="T522" i="30" s="1"/>
  <c r="R484" i="30"/>
  <c r="S484" i="30" s="1"/>
  <c r="T484" i="30" s="1"/>
  <c r="S482" i="30"/>
  <c r="T482" i="30" s="1"/>
  <c r="S481" i="30"/>
  <c r="T481" i="30" s="1"/>
  <c r="S483" i="30"/>
  <c r="T483" i="30" s="1"/>
  <c r="S479" i="30"/>
  <c r="T479" i="30" s="1"/>
  <c r="S480" i="30"/>
  <c r="T480" i="30" s="1"/>
  <c r="S486" i="30"/>
  <c r="T486" i="30" s="1"/>
  <c r="S405" i="30"/>
  <c r="T405" i="30" s="1"/>
  <c r="T404" i="30"/>
  <c r="H104" i="30"/>
  <c r="Z84" i="32" s="1"/>
  <c r="A84" i="32" s="1"/>
  <c r="H89" i="30"/>
  <c r="Z69" i="32" s="1"/>
  <c r="A69" i="32" s="1"/>
  <c r="H101" i="30"/>
  <c r="M99" i="30"/>
  <c r="O99" i="30" s="1"/>
  <c r="H100" i="30"/>
  <c r="H84" i="30"/>
  <c r="H85" i="30"/>
  <c r="H98" i="30"/>
  <c r="H80" i="30"/>
  <c r="M80" i="30" s="1"/>
  <c r="H93" i="30"/>
  <c r="H92" i="30"/>
  <c r="Z72" i="32" s="1"/>
  <c r="A72" i="32" s="1"/>
  <c r="H78" i="30"/>
  <c r="M78" i="30" s="1"/>
  <c r="H76" i="30"/>
  <c r="H106" i="30"/>
  <c r="Z86" i="32" s="1"/>
  <c r="A86" i="32" s="1"/>
  <c r="H88" i="30"/>
  <c r="Z68" i="32" s="1"/>
  <c r="A68" i="32" s="1"/>
  <c r="H96" i="30"/>
  <c r="H81" i="30"/>
  <c r="I83" i="30"/>
  <c r="J83" i="30" s="1"/>
  <c r="I87" i="30"/>
  <c r="J87" i="30" s="1"/>
  <c r="M79" i="30"/>
  <c r="I79" i="30"/>
  <c r="M83" i="30"/>
  <c r="M87" i="30"/>
  <c r="M95" i="30"/>
  <c r="I95" i="30"/>
  <c r="J95" i="30" s="1"/>
  <c r="I99" i="30"/>
  <c r="J99" i="30" s="1"/>
  <c r="H70" i="30"/>
  <c r="S593" i="30" l="1"/>
  <c r="AE597" i="30"/>
  <c r="U621" i="30"/>
  <c r="AE621" i="30"/>
  <c r="U522" i="30"/>
  <c r="AE522" i="30"/>
  <c r="U622" i="30"/>
  <c r="AE622" i="30"/>
  <c r="U404" i="30"/>
  <c r="AE404" i="30"/>
  <c r="U486" i="30"/>
  <c r="AE486" i="30"/>
  <c r="U479" i="30"/>
  <c r="AE479" i="30"/>
  <c r="U481" i="30"/>
  <c r="AE481" i="30"/>
  <c r="U484" i="30"/>
  <c r="AE484" i="30"/>
  <c r="U405" i="30"/>
  <c r="AE405" i="30"/>
  <c r="U480" i="30"/>
  <c r="AE480" i="30"/>
  <c r="U483" i="30"/>
  <c r="AE483" i="30"/>
  <c r="U482" i="30"/>
  <c r="AE482" i="30"/>
  <c r="S519" i="30"/>
  <c r="A604" i="30"/>
  <c r="A606" i="30" s="1"/>
  <c r="A607" i="30" s="1"/>
  <c r="A610" i="30" s="1"/>
  <c r="A611" i="30" s="1"/>
  <c r="A613" i="30" s="1"/>
  <c r="A614" i="30" s="1"/>
  <c r="A615" i="30" s="1"/>
  <c r="A616" i="30" s="1"/>
  <c r="A617" i="30" s="1"/>
  <c r="A620" i="30" s="1"/>
  <c r="A621" i="30" s="1"/>
  <c r="A622" i="30" s="1"/>
  <c r="A624" i="30" s="1"/>
  <c r="A625" i="30" s="1"/>
  <c r="A626" i="30" s="1"/>
  <c r="A628" i="30" s="1"/>
  <c r="A629" i="30" s="1"/>
  <c r="I102" i="30"/>
  <c r="J102" i="30" s="1"/>
  <c r="I97" i="30"/>
  <c r="J97" i="30" s="1"/>
  <c r="M94" i="30"/>
  <c r="O94" i="30" s="1"/>
  <c r="P94" i="30" s="1"/>
  <c r="M86" i="30"/>
  <c r="O86" i="30" s="1"/>
  <c r="P86" i="30" s="1"/>
  <c r="I82" i="30"/>
  <c r="J82" i="30" s="1"/>
  <c r="M97" i="30"/>
  <c r="O97" i="30" s="1"/>
  <c r="P97" i="30" s="1"/>
  <c r="Q97" i="30" s="1"/>
  <c r="R97" i="30" s="1"/>
  <c r="S97" i="30" s="1"/>
  <c r="T97" i="30" s="1"/>
  <c r="I94" i="30"/>
  <c r="J94" i="30" s="1"/>
  <c r="M77" i="30"/>
  <c r="O77" i="30" s="1"/>
  <c r="P77" i="30" s="1"/>
  <c r="H38" i="30"/>
  <c r="I38" i="30" s="1"/>
  <c r="Z51" i="32"/>
  <c r="A51" i="32" s="1"/>
  <c r="I86" i="30"/>
  <c r="J86" i="30" s="1"/>
  <c r="M82" i="30"/>
  <c r="O82" i="30" s="1"/>
  <c r="P82" i="30" s="1"/>
  <c r="I77" i="30"/>
  <c r="J77" i="30" s="1"/>
  <c r="M93" i="30"/>
  <c r="O93" i="30" s="1"/>
  <c r="P93" i="30" s="1"/>
  <c r="Z73" i="32"/>
  <c r="A73" i="32" s="1"/>
  <c r="M96" i="30"/>
  <c r="O96" i="30" s="1"/>
  <c r="Z76" i="32"/>
  <c r="A76" i="32" s="1"/>
  <c r="M98" i="30"/>
  <c r="O98" i="30" s="1"/>
  <c r="P98" i="30" s="1"/>
  <c r="Q98" i="30" s="1"/>
  <c r="R98" i="30" s="1"/>
  <c r="Z78" i="32"/>
  <c r="A78" i="32" s="1"/>
  <c r="M100" i="30"/>
  <c r="O100" i="30" s="1"/>
  <c r="Z80" i="32"/>
  <c r="A80" i="32" s="1"/>
  <c r="M101" i="30"/>
  <c r="O101" i="30" s="1"/>
  <c r="P101" i="30" s="1"/>
  <c r="Q101" i="30" s="1"/>
  <c r="R101" i="30" s="1"/>
  <c r="Z81" i="32"/>
  <c r="A81" i="32" s="1"/>
  <c r="I78" i="30"/>
  <c r="J78" i="30" s="1"/>
  <c r="Z58" i="32"/>
  <c r="A58" i="32" s="1"/>
  <c r="M84" i="30"/>
  <c r="O84" i="30" s="1"/>
  <c r="P84" i="30" s="1"/>
  <c r="Z64" i="32"/>
  <c r="A64" i="32" s="1"/>
  <c r="I81" i="30"/>
  <c r="J81" i="30" s="1"/>
  <c r="Z61" i="32"/>
  <c r="A61" i="32" s="1"/>
  <c r="I76" i="30"/>
  <c r="J76" i="30" s="1"/>
  <c r="Z56" i="32"/>
  <c r="A56" i="32" s="1"/>
  <c r="I80" i="30"/>
  <c r="J80" i="30" s="1"/>
  <c r="Z60" i="32"/>
  <c r="A60" i="32" s="1"/>
  <c r="M85" i="30"/>
  <c r="O85" i="30" s="1"/>
  <c r="P85" i="30" s="1"/>
  <c r="Z65" i="32"/>
  <c r="A65" i="32" s="1"/>
  <c r="U597" i="30"/>
  <c r="I93" i="30"/>
  <c r="J93" i="30" s="1"/>
  <c r="I84" i="30"/>
  <c r="J84" i="30" s="1"/>
  <c r="I101" i="30"/>
  <c r="J101" i="30" s="1"/>
  <c r="I85" i="30"/>
  <c r="J85" i="30" s="1"/>
  <c r="M81" i="30"/>
  <c r="O81" i="30" s="1"/>
  <c r="P81" i="30" s="1"/>
  <c r="I98" i="30"/>
  <c r="J98" i="30" s="1"/>
  <c r="I96" i="30"/>
  <c r="J96" i="30" s="1"/>
  <c r="I100" i="30"/>
  <c r="J100" i="30" s="1"/>
  <c r="M76" i="30"/>
  <c r="O76" i="30" s="1"/>
  <c r="P76" i="30" s="1"/>
  <c r="H73" i="30"/>
  <c r="Z54" i="32" s="1"/>
  <c r="A54" i="32" s="1"/>
  <c r="J79" i="30"/>
  <c r="M91" i="30"/>
  <c r="I91" i="30"/>
  <c r="J91" i="30" s="1"/>
  <c r="M89" i="30"/>
  <c r="I89" i="30"/>
  <c r="J89" i="30" s="1"/>
  <c r="M92" i="30"/>
  <c r="I92" i="30"/>
  <c r="J92" i="30" s="1"/>
  <c r="M90" i="30"/>
  <c r="I90" i="30"/>
  <c r="J90" i="30" s="1"/>
  <c r="M88" i="30"/>
  <c r="I88" i="30"/>
  <c r="J88" i="30" s="1"/>
  <c r="O95" i="30"/>
  <c r="P95" i="30" s="1"/>
  <c r="O87" i="30"/>
  <c r="P87" i="30" s="1"/>
  <c r="O83" i="30"/>
  <c r="P83" i="30" s="1"/>
  <c r="O80" i="30"/>
  <c r="P80" i="30" s="1"/>
  <c r="O79" i="30"/>
  <c r="P79" i="30" s="1"/>
  <c r="O78" i="30"/>
  <c r="P78" i="30" s="1"/>
  <c r="R102" i="30"/>
  <c r="S102" i="30" s="1"/>
  <c r="P99" i="30"/>
  <c r="Q99" i="30" s="1"/>
  <c r="H58" i="30"/>
  <c r="H50" i="30"/>
  <c r="H72" i="30"/>
  <c r="Z53" i="32" s="1"/>
  <c r="A53" i="32" s="1"/>
  <c r="H42" i="30"/>
  <c r="Z23" i="32" s="1"/>
  <c r="A23" i="32" s="1"/>
  <c r="H46" i="30"/>
  <c r="Z27" i="32" s="1"/>
  <c r="A27" i="32" s="1"/>
  <c r="H54" i="30"/>
  <c r="H62" i="30"/>
  <c r="Z43" i="32" s="1"/>
  <c r="A43" i="32" s="1"/>
  <c r="H66" i="30"/>
  <c r="Z47" i="32" s="1"/>
  <c r="A47" i="32" s="1"/>
  <c r="H71" i="30"/>
  <c r="Z52" i="32" s="1"/>
  <c r="A52" i="32" s="1"/>
  <c r="U97" i="30" l="1"/>
  <c r="AE97" i="30"/>
  <c r="A630" i="30"/>
  <c r="A631" i="30" s="1"/>
  <c r="A632" i="30" s="1"/>
  <c r="A633" i="30" s="1"/>
  <c r="H41" i="30"/>
  <c r="Z22" i="32" s="1"/>
  <c r="A22" i="32" s="1"/>
  <c r="P96" i="30"/>
  <c r="Q96" i="30" s="1"/>
  <c r="R96" i="30" s="1"/>
  <c r="Q76" i="30"/>
  <c r="R76" i="30" s="1"/>
  <c r="P100" i="30"/>
  <c r="Q100" i="30" s="1"/>
  <c r="R100" i="30" s="1"/>
  <c r="I54" i="30"/>
  <c r="J54" i="30" s="1"/>
  <c r="Z35" i="32"/>
  <c r="A35" i="32" s="1"/>
  <c r="H53" i="30"/>
  <c r="I53" i="30" s="1"/>
  <c r="J53" i="30" s="1"/>
  <c r="Z31" i="32"/>
  <c r="A31" i="32" s="1"/>
  <c r="H61" i="30"/>
  <c r="I61" i="30" s="1"/>
  <c r="J61" i="30" s="1"/>
  <c r="Z39" i="32"/>
  <c r="A39" i="32" s="1"/>
  <c r="Q77" i="30"/>
  <c r="Q79" i="30"/>
  <c r="Q81" i="30"/>
  <c r="Q83" i="30"/>
  <c r="R83" i="30" s="1"/>
  <c r="Q85" i="30"/>
  <c r="R85" i="30" s="1"/>
  <c r="S85" i="30" s="1"/>
  <c r="T85" i="30" s="1"/>
  <c r="Q87" i="30"/>
  <c r="Q94" i="30"/>
  <c r="O88" i="30"/>
  <c r="P88" i="30" s="1"/>
  <c r="Q88" i="30" s="1"/>
  <c r="O90" i="30"/>
  <c r="O92" i="30"/>
  <c r="P92" i="30" s="1"/>
  <c r="Q92" i="30" s="1"/>
  <c r="O89" i="30"/>
  <c r="O91" i="30"/>
  <c r="P91" i="30" s="1"/>
  <c r="Q91" i="30" s="1"/>
  <c r="R77" i="30"/>
  <c r="S77" i="30" s="1"/>
  <c r="T77" i="30" s="1"/>
  <c r="R79" i="30"/>
  <c r="R81" i="30"/>
  <c r="R87" i="30"/>
  <c r="R94" i="30"/>
  <c r="S94" i="30" s="1"/>
  <c r="T94" i="30" s="1"/>
  <c r="T102" i="30"/>
  <c r="Q78" i="30"/>
  <c r="Q80" i="30"/>
  <c r="Q82" i="30"/>
  <c r="Q84" i="30"/>
  <c r="Q86" i="30"/>
  <c r="Q93" i="30"/>
  <c r="Q95" i="30"/>
  <c r="R99" i="30"/>
  <c r="S99" i="30" s="1"/>
  <c r="T99" i="30" s="1"/>
  <c r="S98" i="30"/>
  <c r="T98" i="30" s="1"/>
  <c r="S101" i="30"/>
  <c r="T101" i="30" s="1"/>
  <c r="I50" i="30"/>
  <c r="J50" i="30" s="1"/>
  <c r="I58" i="30"/>
  <c r="J58" i="30" s="1"/>
  <c r="H39" i="30"/>
  <c r="I39" i="30" s="1"/>
  <c r="J39" i="30" s="1"/>
  <c r="H40" i="30"/>
  <c r="Z21" i="32" s="1"/>
  <c r="A21" i="32" s="1"/>
  <c r="H51" i="30"/>
  <c r="M51" i="30" s="1"/>
  <c r="O51" i="30" s="1"/>
  <c r="P51" i="30" s="1"/>
  <c r="H52" i="30"/>
  <c r="Z33" i="32" s="1"/>
  <c r="A33" i="32" s="1"/>
  <c r="M58" i="30"/>
  <c r="O58" i="30" s="1"/>
  <c r="P58" i="30" s="1"/>
  <c r="Q58" i="30" s="1"/>
  <c r="M50" i="30"/>
  <c r="O50" i="30" s="1"/>
  <c r="P50" i="30" s="1"/>
  <c r="H59" i="30"/>
  <c r="Z40" i="32" s="1"/>
  <c r="A40" i="32" s="1"/>
  <c r="H60" i="30"/>
  <c r="Z41" i="32" s="1"/>
  <c r="A41" i="32" s="1"/>
  <c r="H65" i="30"/>
  <c r="Z46" i="32" s="1"/>
  <c r="A46" i="32" s="1"/>
  <c r="H63" i="30"/>
  <c r="H64" i="30"/>
  <c r="Z45" i="32" s="1"/>
  <c r="A45" i="32" s="1"/>
  <c r="M62" i="30"/>
  <c r="O62" i="30" s="1"/>
  <c r="P62" i="30" s="1"/>
  <c r="Q62" i="30" s="1"/>
  <c r="R62" i="30" s="1"/>
  <c r="S62" i="30" s="1"/>
  <c r="T62" i="30" s="1"/>
  <c r="H56" i="30"/>
  <c r="Z37" i="32" s="1"/>
  <c r="A37" i="32" s="1"/>
  <c r="H57" i="30"/>
  <c r="Z38" i="32" s="1"/>
  <c r="A38" i="32" s="1"/>
  <c r="H55" i="30"/>
  <c r="Z36" i="32" s="1"/>
  <c r="A36" i="32" s="1"/>
  <c r="H48" i="30"/>
  <c r="Z29" i="32" s="1"/>
  <c r="A29" i="32" s="1"/>
  <c r="H49" i="30"/>
  <c r="Z30" i="32" s="1"/>
  <c r="A30" i="32" s="1"/>
  <c r="H47" i="30"/>
  <c r="Z28" i="32" s="1"/>
  <c r="A28" i="32" s="1"/>
  <c r="H44" i="30"/>
  <c r="Z25" i="32" s="1"/>
  <c r="A25" i="32" s="1"/>
  <c r="H45" i="30"/>
  <c r="Z26" i="32" s="1"/>
  <c r="A26" i="32" s="1"/>
  <c r="H43" i="30"/>
  <c r="Z24" i="32" s="1"/>
  <c r="A24" i="32" s="1"/>
  <c r="I62" i="30"/>
  <c r="J62" i="30" s="1"/>
  <c r="M54" i="30"/>
  <c r="O54" i="30" s="1"/>
  <c r="P54" i="30" s="1"/>
  <c r="I46" i="30"/>
  <c r="J46" i="30" s="1"/>
  <c r="M46" i="30"/>
  <c r="O46" i="30" s="1"/>
  <c r="P46" i="30" s="1"/>
  <c r="Q46" i="30" s="1"/>
  <c r="H68" i="30"/>
  <c r="Z49" i="32" s="1"/>
  <c r="A49" i="32" s="1"/>
  <c r="H69" i="30"/>
  <c r="Z50" i="32" s="1"/>
  <c r="A50" i="32" s="1"/>
  <c r="H67" i="30"/>
  <c r="Z48" i="32" s="1"/>
  <c r="A48" i="32" s="1"/>
  <c r="M42" i="30"/>
  <c r="I42" i="30"/>
  <c r="U98" i="30" l="1"/>
  <c r="AE98" i="30"/>
  <c r="U94" i="30"/>
  <c r="AE94" i="30"/>
  <c r="U77" i="30"/>
  <c r="AE77" i="30"/>
  <c r="U85" i="30"/>
  <c r="AE85" i="30"/>
  <c r="U62" i="30"/>
  <c r="AE62" i="30"/>
  <c r="U101" i="30"/>
  <c r="AE101" i="30"/>
  <c r="U99" i="30"/>
  <c r="AE99" i="30"/>
  <c r="U102" i="30"/>
  <c r="AE102" i="30"/>
  <c r="A635" i="30"/>
  <c r="A636" i="30" s="1"/>
  <c r="A637" i="30" s="1"/>
  <c r="A638" i="30" s="1"/>
  <c r="A639" i="30" s="1"/>
  <c r="A641" i="30" s="1"/>
  <c r="A642" i="30" s="1"/>
  <c r="A643" i="30" s="1"/>
  <c r="A645" i="30" s="1"/>
  <c r="A646" i="30" s="1"/>
  <c r="A647" i="30" s="1"/>
  <c r="A648" i="30" s="1"/>
  <c r="A649" i="30" s="1"/>
  <c r="A650" i="30" s="1"/>
  <c r="A651" i="30" s="1"/>
  <c r="A652" i="30" s="1"/>
  <c r="A653" i="30" s="1"/>
  <c r="A654" i="30" s="1"/>
  <c r="I41" i="30"/>
  <c r="J41" i="30" s="1"/>
  <c r="M41" i="30"/>
  <c r="O41" i="30" s="1"/>
  <c r="I51" i="30"/>
  <c r="J51" i="30" s="1"/>
  <c r="Z32" i="32"/>
  <c r="A32" i="32" s="1"/>
  <c r="M39" i="30"/>
  <c r="O39" i="30" s="1"/>
  <c r="Z20" i="32"/>
  <c r="M63" i="30"/>
  <c r="O63" i="30" s="1"/>
  <c r="Z44" i="32"/>
  <c r="A44" i="32" s="1"/>
  <c r="M61" i="30"/>
  <c r="O61" i="30" s="1"/>
  <c r="P61" i="30" s="1"/>
  <c r="Q61" i="30" s="1"/>
  <c r="R61" i="30" s="1"/>
  <c r="S61" i="30" s="1"/>
  <c r="T61" i="30" s="1"/>
  <c r="Z42" i="32"/>
  <c r="A42" i="32" s="1"/>
  <c r="M53" i="30"/>
  <c r="O53" i="30" s="1"/>
  <c r="P53" i="30" s="1"/>
  <c r="Z34" i="32"/>
  <c r="A34" i="32" s="1"/>
  <c r="S81" i="30"/>
  <c r="T81" i="30" s="1"/>
  <c r="J42" i="30"/>
  <c r="R91" i="30"/>
  <c r="R92" i="30"/>
  <c r="S92" i="30" s="1"/>
  <c r="T92" i="30" s="1"/>
  <c r="R88" i="30"/>
  <c r="P89" i="30"/>
  <c r="Q89" i="30" s="1"/>
  <c r="P90" i="30"/>
  <c r="Q90" i="30" s="1"/>
  <c r="S76" i="30"/>
  <c r="T76" i="30" s="1"/>
  <c r="R93" i="30"/>
  <c r="R84" i="30"/>
  <c r="S84" i="30" s="1"/>
  <c r="T84" i="30" s="1"/>
  <c r="R80" i="30"/>
  <c r="R95" i="30"/>
  <c r="S95" i="30" s="1"/>
  <c r="T95" i="30" s="1"/>
  <c r="R86" i="30"/>
  <c r="R82" i="30"/>
  <c r="S82" i="30" s="1"/>
  <c r="T82" i="30" s="1"/>
  <c r="R78" i="30"/>
  <c r="S87" i="30"/>
  <c r="T87" i="30" s="1"/>
  <c r="S83" i="30"/>
  <c r="T83" i="30" s="1"/>
  <c r="S79" i="30"/>
  <c r="T79" i="30" s="1"/>
  <c r="S100" i="30"/>
  <c r="T100" i="30" s="1"/>
  <c r="S96" i="30"/>
  <c r="T96" i="30" s="1"/>
  <c r="M40" i="30"/>
  <c r="I40" i="30"/>
  <c r="J40" i="30" s="1"/>
  <c r="I63" i="30"/>
  <c r="J63" i="30" s="1"/>
  <c r="M52" i="30"/>
  <c r="O52" i="30" s="1"/>
  <c r="P52" i="30" s="1"/>
  <c r="I52" i="30"/>
  <c r="J52" i="30" s="1"/>
  <c r="M60" i="30"/>
  <c r="I60" i="30"/>
  <c r="J60" i="30" s="1"/>
  <c r="M59" i="30"/>
  <c r="I59" i="30"/>
  <c r="J59" i="30" s="1"/>
  <c r="M45" i="30"/>
  <c r="O45" i="30" s="1"/>
  <c r="I45" i="30"/>
  <c r="J45" i="30" s="1"/>
  <c r="I47" i="30"/>
  <c r="J47" i="30" s="1"/>
  <c r="M47" i="30"/>
  <c r="O47" i="30" s="1"/>
  <c r="M48" i="30"/>
  <c r="O48" i="30" s="1"/>
  <c r="P48" i="30" s="1"/>
  <c r="Q48" i="30" s="1"/>
  <c r="R48" i="30" s="1"/>
  <c r="I48" i="30"/>
  <c r="J48" i="30" s="1"/>
  <c r="I57" i="30"/>
  <c r="J57" i="30" s="1"/>
  <c r="M57" i="30"/>
  <c r="O57" i="30" s="1"/>
  <c r="P57" i="30" s="1"/>
  <c r="M43" i="30"/>
  <c r="O43" i="30" s="1"/>
  <c r="I43" i="30"/>
  <c r="J43" i="30" s="1"/>
  <c r="M44" i="30"/>
  <c r="O44" i="30" s="1"/>
  <c r="P44" i="30" s="1"/>
  <c r="Q44" i="30" s="1"/>
  <c r="R44" i="30" s="1"/>
  <c r="I44" i="30"/>
  <c r="J44" i="30" s="1"/>
  <c r="M49" i="30"/>
  <c r="O49" i="30" s="1"/>
  <c r="I49" i="30"/>
  <c r="J49" i="30" s="1"/>
  <c r="I55" i="30"/>
  <c r="J55" i="30" s="1"/>
  <c r="M55" i="30"/>
  <c r="O55" i="30" s="1"/>
  <c r="P55" i="30" s="1"/>
  <c r="I56" i="30"/>
  <c r="J56" i="30" s="1"/>
  <c r="M56" i="30"/>
  <c r="O56" i="30" s="1"/>
  <c r="P56" i="30" s="1"/>
  <c r="M64" i="30"/>
  <c r="I64" i="30"/>
  <c r="J64" i="30" s="1"/>
  <c r="M65" i="30"/>
  <c r="O65" i="30" s="1"/>
  <c r="P65" i="30" s="1"/>
  <c r="Q65" i="30" s="1"/>
  <c r="R65" i="30" s="1"/>
  <c r="I65" i="30"/>
  <c r="J65" i="30" s="1"/>
  <c r="Q51" i="30"/>
  <c r="R51" i="30" s="1"/>
  <c r="S51" i="30" s="1"/>
  <c r="T51" i="30" s="1"/>
  <c r="O42" i="30"/>
  <c r="R46" i="30"/>
  <c r="S46" i="30" s="1"/>
  <c r="T46" i="30" s="1"/>
  <c r="Q50" i="30"/>
  <c r="Q54" i="30"/>
  <c r="R58" i="30"/>
  <c r="P41" i="30" l="1"/>
  <c r="Q41" i="30" s="1"/>
  <c r="R41" i="30" s="1"/>
  <c r="S41" i="30" s="1"/>
  <c r="T41" i="30" s="1"/>
  <c r="A657" i="30"/>
  <c r="A658" i="30" s="1"/>
  <c r="A660" i="30" s="1"/>
  <c r="A661" i="30" s="1"/>
  <c r="A662" i="30" s="1"/>
  <c r="A663" i="30" s="1"/>
  <c r="A667" i="30" s="1"/>
  <c r="A668" i="30" s="1"/>
  <c r="A669" i="30" s="1"/>
  <c r="A670" i="30" s="1"/>
  <c r="A671" i="30" s="1"/>
  <c r="A672" i="30" s="1"/>
  <c r="A673" i="30" s="1"/>
  <c r="A675" i="30" s="1"/>
  <c r="A676" i="30" s="1"/>
  <c r="A677" i="30" s="1"/>
  <c r="A678" i="30" s="1"/>
  <c r="A679" i="30" s="1"/>
  <c r="A680" i="30" s="1"/>
  <c r="A681" i="30" s="1"/>
  <c r="A683" i="30" s="1"/>
  <c r="A684" i="30" s="1"/>
  <c r="A685" i="30" s="1"/>
  <c r="A686" i="30" s="1"/>
  <c r="A687" i="30" s="1"/>
  <c r="A688" i="30" s="1"/>
  <c r="A689" i="30" s="1"/>
  <c r="A691" i="30" s="1"/>
  <c r="A692" i="30" s="1"/>
  <c r="A693" i="30" s="1"/>
  <c r="A694" i="30" s="1"/>
  <c r="A695" i="30" s="1"/>
  <c r="A696" i="30" s="1"/>
  <c r="A697" i="30" s="1"/>
  <c r="A699" i="30" s="1"/>
  <c r="A700" i="30" s="1"/>
  <c r="A701" i="30" s="1"/>
  <c r="A702" i="30" s="1"/>
  <c r="A703" i="30" s="1"/>
  <c r="A704" i="30" s="1"/>
  <c r="A705" i="30" s="1"/>
  <c r="A708" i="30" s="1"/>
  <c r="A709" i="30" s="1"/>
  <c r="A710" i="30" s="1"/>
  <c r="A711" i="30" s="1"/>
  <c r="A712" i="30" s="1"/>
  <c r="A713" i="30" s="1"/>
  <c r="A714" i="30" s="1"/>
  <c r="A716" i="30" s="1"/>
  <c r="A717" i="30" s="1"/>
  <c r="A718" i="30" s="1"/>
  <c r="A719" i="30" s="1"/>
  <c r="A720" i="30" s="1"/>
  <c r="A721" i="30" s="1"/>
  <c r="A722" i="30" s="1"/>
  <c r="A724" i="30" s="1"/>
  <c r="A725" i="30" s="1"/>
  <c r="A726" i="30" s="1"/>
  <c r="A727" i="30" s="1"/>
  <c r="A728" i="30" s="1"/>
  <c r="A729" i="30" s="1"/>
  <c r="A730" i="30" s="1"/>
  <c r="A732" i="30" s="1"/>
  <c r="A733" i="30" s="1"/>
  <c r="A734" i="30" s="1"/>
  <c r="A735" i="30" s="1"/>
  <c r="A736" i="30" s="1"/>
  <c r="A737" i="30" s="1"/>
  <c r="A738" i="30" s="1"/>
  <c r="A740" i="30" s="1"/>
  <c r="A741" i="30" s="1"/>
  <c r="A742" i="30" s="1"/>
  <c r="A743" i="30" s="1"/>
  <c r="A744" i="30" s="1"/>
  <c r="A745" i="30" s="1"/>
  <c r="A746" i="30" s="1"/>
  <c r="A747" i="30" s="1"/>
  <c r="A748" i="30" s="1"/>
  <c r="A750" i="30" s="1"/>
  <c r="A751" i="30" s="1"/>
  <c r="A752" i="30" s="1"/>
  <c r="A753" i="30" s="1"/>
  <c r="A754" i="30" s="1"/>
  <c r="A756" i="30" s="1"/>
  <c r="A757" i="30" s="1"/>
  <c r="A758" i="30" s="1"/>
  <c r="A759" i="30" s="1"/>
  <c r="A760" i="30" s="1"/>
  <c r="A762" i="30" s="1"/>
  <c r="A763" i="30" s="1"/>
  <c r="A764" i="30" s="1"/>
  <c r="A765" i="30" s="1"/>
  <c r="A766" i="30" s="1"/>
  <c r="A768" i="30" s="1"/>
  <c r="A769" i="30" s="1"/>
  <c r="A770" i="30" s="1"/>
  <c r="A771" i="30" s="1"/>
  <c r="A772" i="30" s="1"/>
  <c r="A774" i="30" s="1"/>
  <c r="A775" i="30" s="1"/>
  <c r="A776" i="30" s="1"/>
  <c r="A777" i="30" s="1"/>
  <c r="A778" i="30" s="1"/>
  <c r="A780" i="30" s="1"/>
  <c r="A781" i="30" s="1"/>
  <c r="A782" i="30" s="1"/>
  <c r="A783" i="30" s="1"/>
  <c r="A784" i="30" s="1"/>
  <c r="A786" i="30" s="1"/>
  <c r="A787" i="30" s="1"/>
  <c r="A788" i="30" s="1"/>
  <c r="A789" i="30" s="1"/>
  <c r="A790" i="30" s="1"/>
  <c r="A792" i="30" s="1"/>
  <c r="A793" i="30" s="1"/>
  <c r="A794" i="30" s="1"/>
  <c r="A795" i="30" s="1"/>
  <c r="A796" i="30" s="1"/>
  <c r="A798" i="30" s="1"/>
  <c r="A799" i="30" s="1"/>
  <c r="A800" i="30" s="1"/>
  <c r="A801" i="30" s="1"/>
  <c r="A802" i="30" s="1"/>
  <c r="A803" i="30" s="1"/>
  <c r="A804" i="30" s="1"/>
  <c r="A805" i="30" s="1"/>
  <c r="A806" i="30" s="1"/>
  <c r="A807" i="30" s="1"/>
  <c r="A809" i="30" s="1"/>
  <c r="A810" i="30" s="1"/>
  <c r="A811" i="30" s="1"/>
  <c r="A813" i="30" s="1"/>
  <c r="A814" i="30" s="1"/>
  <c r="A815" i="30" s="1"/>
  <c r="A816" i="30" s="1"/>
  <c r="U46" i="30"/>
  <c r="AE46" i="30"/>
  <c r="U51" i="30"/>
  <c r="AE51" i="30"/>
  <c r="U96" i="30"/>
  <c r="AE96" i="30"/>
  <c r="U79" i="30"/>
  <c r="AE79" i="30"/>
  <c r="U87" i="30"/>
  <c r="AE87" i="30"/>
  <c r="U82" i="30"/>
  <c r="AE82" i="30"/>
  <c r="U95" i="30"/>
  <c r="AE95" i="30"/>
  <c r="U81" i="30"/>
  <c r="AE81" i="30"/>
  <c r="U61" i="30"/>
  <c r="AE61" i="30"/>
  <c r="U100" i="30"/>
  <c r="AE100" i="30"/>
  <c r="U83" i="30"/>
  <c r="AE83" i="30"/>
  <c r="U41" i="30"/>
  <c r="AE41" i="30"/>
  <c r="U84" i="30"/>
  <c r="AE84" i="30"/>
  <c r="U76" i="30"/>
  <c r="AE76" i="30"/>
  <c r="U92" i="30"/>
  <c r="AE92" i="30"/>
  <c r="Q53" i="30"/>
  <c r="R53" i="30" s="1"/>
  <c r="P63" i="30"/>
  <c r="Q63" i="30" s="1"/>
  <c r="R63" i="30" s="1"/>
  <c r="S63" i="30" s="1"/>
  <c r="T63" i="30" s="1"/>
  <c r="S65" i="30"/>
  <c r="T65" i="30" s="1"/>
  <c r="P43" i="30"/>
  <c r="Q43" i="30" s="1"/>
  <c r="R90" i="30"/>
  <c r="S90" i="30" s="1"/>
  <c r="T90" i="30" s="1"/>
  <c r="R89" i="30"/>
  <c r="S89" i="30" s="1"/>
  <c r="T89" i="30" s="1"/>
  <c r="P47" i="30"/>
  <c r="Q47" i="30" s="1"/>
  <c r="Q57" i="30"/>
  <c r="R57" i="30" s="1"/>
  <c r="S88" i="30"/>
  <c r="T88" i="30" s="1"/>
  <c r="S91" i="30"/>
  <c r="T91" i="30" s="1"/>
  <c r="S78" i="30"/>
  <c r="T78" i="30" s="1"/>
  <c r="S86" i="30"/>
  <c r="T86" i="30" s="1"/>
  <c r="S80" i="30"/>
  <c r="T80" i="30" s="1"/>
  <c r="S93" i="30"/>
  <c r="T93" i="30" s="1"/>
  <c r="Q56" i="30"/>
  <c r="R56" i="30" s="1"/>
  <c r="S56" i="30" s="1"/>
  <c r="T56" i="30" s="1"/>
  <c r="Q55" i="30"/>
  <c r="R55" i="30" s="1"/>
  <c r="S55" i="30" s="1"/>
  <c r="T55" i="30" s="1"/>
  <c r="Q52" i="30"/>
  <c r="R52" i="30" s="1"/>
  <c r="P45" i="30"/>
  <c r="Q45" i="30" s="1"/>
  <c r="O40" i="30"/>
  <c r="P40" i="30" s="1"/>
  <c r="P49" i="30"/>
  <c r="Q49" i="30" s="1"/>
  <c r="R49" i="30" s="1"/>
  <c r="S49" i="30" s="1"/>
  <c r="T49" i="30" s="1"/>
  <c r="O59" i="30"/>
  <c r="P59" i="30" s="1"/>
  <c r="Q59" i="30" s="1"/>
  <c r="R59" i="30" s="1"/>
  <c r="S59" i="30" s="1"/>
  <c r="T59" i="30" s="1"/>
  <c r="O60" i="30"/>
  <c r="P60" i="30" s="1"/>
  <c r="Q60" i="30" s="1"/>
  <c r="R60" i="30" s="1"/>
  <c r="S60" i="30" s="1"/>
  <c r="T60" i="30" s="1"/>
  <c r="O64" i="30"/>
  <c r="P64" i="30" s="1"/>
  <c r="Q64" i="30" s="1"/>
  <c r="R43" i="30"/>
  <c r="P42" i="30"/>
  <c r="Q42" i="30" s="1"/>
  <c r="R45" i="30"/>
  <c r="R47" i="30"/>
  <c r="R54" i="30"/>
  <c r="S54" i="30" s="1"/>
  <c r="T54" i="30" s="1"/>
  <c r="R50" i="30"/>
  <c r="P39" i="30"/>
  <c r="Q39" i="30" s="1"/>
  <c r="S48" i="30"/>
  <c r="T48" i="30" s="1"/>
  <c r="S44" i="30"/>
  <c r="T44" i="30" s="1"/>
  <c r="S58" i="30"/>
  <c r="T58" i="30" s="1"/>
  <c r="U44" i="30" l="1"/>
  <c r="AE44" i="30"/>
  <c r="U54" i="30"/>
  <c r="AE54" i="30"/>
  <c r="U60" i="30"/>
  <c r="AE60" i="30"/>
  <c r="U49" i="30"/>
  <c r="AE49" i="30"/>
  <c r="U55" i="30"/>
  <c r="AE55" i="30"/>
  <c r="U93" i="30"/>
  <c r="AE93" i="30"/>
  <c r="U86" i="30"/>
  <c r="AE86" i="30"/>
  <c r="U91" i="30"/>
  <c r="AE91" i="30"/>
  <c r="U89" i="30"/>
  <c r="AE89" i="30"/>
  <c r="U63" i="30"/>
  <c r="AE63" i="30"/>
  <c r="U58" i="30"/>
  <c r="AE58" i="30"/>
  <c r="U48" i="30"/>
  <c r="AE48" i="30"/>
  <c r="U59" i="30"/>
  <c r="AE59" i="30"/>
  <c r="U56" i="30"/>
  <c r="AE56" i="30"/>
  <c r="U80" i="30"/>
  <c r="AE80" i="30"/>
  <c r="U78" i="30"/>
  <c r="AE78" i="30"/>
  <c r="U88" i="30"/>
  <c r="AE88" i="30"/>
  <c r="U90" i="30"/>
  <c r="AE90" i="30"/>
  <c r="U65" i="30"/>
  <c r="AE65" i="30"/>
  <c r="A817" i="30"/>
  <c r="A818" i="30" s="1"/>
  <c r="A820" i="30" s="1"/>
  <c r="S53" i="30"/>
  <c r="T53" i="30" s="1"/>
  <c r="S57" i="30"/>
  <c r="T57" i="30" s="1"/>
  <c r="Q40" i="30"/>
  <c r="R64" i="30"/>
  <c r="S64" i="30" s="1"/>
  <c r="T64" i="30" s="1"/>
  <c r="R42" i="30"/>
  <c r="S42" i="30" s="1"/>
  <c r="T42" i="30" s="1"/>
  <c r="S43" i="30"/>
  <c r="T43" i="30" s="1"/>
  <c r="R39" i="30"/>
  <c r="S39" i="30" s="1"/>
  <c r="T39" i="30" s="1"/>
  <c r="S52" i="30"/>
  <c r="T52" i="30" s="1"/>
  <c r="S50" i="30"/>
  <c r="T50" i="30" s="1"/>
  <c r="S47" i="30"/>
  <c r="T47" i="30" s="1"/>
  <c r="S45" i="30"/>
  <c r="T45" i="30" s="1"/>
  <c r="U50" i="30" l="1"/>
  <c r="AE50" i="30"/>
  <c r="U42" i="30"/>
  <c r="AE42" i="30"/>
  <c r="U53" i="30"/>
  <c r="AE53" i="30"/>
  <c r="U45" i="30"/>
  <c r="AE45" i="30"/>
  <c r="U39" i="30"/>
  <c r="AE39" i="30"/>
  <c r="U47" i="30"/>
  <c r="AE47" i="30"/>
  <c r="U52" i="30"/>
  <c r="AE52" i="30"/>
  <c r="U43" i="30"/>
  <c r="AE43" i="30"/>
  <c r="U64" i="30"/>
  <c r="AE64" i="30"/>
  <c r="U57" i="30"/>
  <c r="AE57" i="30"/>
  <c r="A821" i="30"/>
  <c r="A822" i="30" s="1"/>
  <c r="A823" i="30" s="1"/>
  <c r="R40" i="30"/>
  <c r="S40" i="30" s="1"/>
  <c r="T40" i="30" s="1"/>
  <c r="U40" i="30" l="1"/>
  <c r="AE40" i="30"/>
  <c r="A824" i="30"/>
  <c r="A825" i="30" s="1"/>
  <c r="M32" i="30"/>
  <c r="I32" i="30"/>
  <c r="J32" i="30" s="1"/>
  <c r="H33" i="30"/>
  <c r="M33" i="30" s="1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U19" i="30"/>
  <c r="A108" i="30" l="1"/>
  <c r="A109" i="30" s="1"/>
  <c r="A116" i="30"/>
  <c r="A827" i="30"/>
  <c r="I33" i="30"/>
  <c r="J33" i="30" s="1"/>
  <c r="O33" i="30"/>
  <c r="O32" i="30"/>
  <c r="P32" i="30" s="1"/>
  <c r="Q32" i="30" s="1"/>
  <c r="A117" i="30" l="1"/>
  <c r="A118" i="30" s="1"/>
  <c r="A119" i="30" s="1"/>
  <c r="A120" i="30" s="1"/>
  <c r="A121" i="30" s="1"/>
  <c r="A122" i="30" s="1"/>
  <c r="A124" i="30" s="1"/>
  <c r="A125" i="30" s="1"/>
  <c r="A126" i="30" s="1"/>
  <c r="A127" i="30" s="1"/>
  <c r="A110" i="30"/>
  <c r="A111" i="30" s="1"/>
  <c r="A829" i="30"/>
  <c r="A830" i="30" s="1"/>
  <c r="A831" i="30" s="1"/>
  <c r="A832" i="30" s="1"/>
  <c r="A833" i="30" s="1"/>
  <c r="A834" i="30" s="1"/>
  <c r="A835" i="30" s="1"/>
  <c r="A836" i="30" s="1"/>
  <c r="A837" i="30" s="1"/>
  <c r="A838" i="30" s="1"/>
  <c r="A839" i="30" s="1"/>
  <c r="B26" i="32"/>
  <c r="P33" i="30"/>
  <c r="Q33" i="30" s="1"/>
  <c r="R33" i="30" s="1"/>
  <c r="R32" i="30"/>
  <c r="S32" i="30" s="1"/>
  <c r="T32" i="30" s="1"/>
  <c r="A841" i="30" l="1"/>
  <c r="A842" i="30" s="1"/>
  <c r="A843" i="30" s="1"/>
  <c r="A844" i="30" s="1"/>
  <c r="A845" i="30" s="1"/>
  <c r="A846" i="30" s="1"/>
  <c r="U32" i="30"/>
  <c r="AE32" i="30"/>
  <c r="B35" i="32"/>
  <c r="S33" i="30"/>
  <c r="T33" i="30" s="1"/>
  <c r="U33" i="30" l="1"/>
  <c r="AE33" i="30"/>
  <c r="B36" i="32"/>
  <c r="B37" i="32" l="1"/>
  <c r="B38" i="32" l="1"/>
  <c r="E9" i="7"/>
  <c r="B59" i="32" l="1"/>
  <c r="J41" i="11"/>
  <c r="J40" i="11"/>
  <c r="B60" i="32" l="1"/>
  <c r="I59" i="16"/>
  <c r="I60" i="16"/>
  <c r="I61" i="16"/>
  <c r="I62" i="16"/>
  <c r="I58" i="16"/>
  <c r="I30" i="16"/>
  <c r="I29" i="16"/>
  <c r="I28" i="16"/>
  <c r="I27" i="16"/>
  <c r="I26" i="16"/>
  <c r="I25" i="16"/>
  <c r="I24" i="16"/>
  <c r="I18" i="16"/>
  <c r="I17" i="16"/>
  <c r="I13" i="16"/>
  <c r="I12" i="16"/>
  <c r="I11" i="16"/>
  <c r="I10" i="16"/>
  <c r="I9" i="16"/>
  <c r="I8" i="16"/>
  <c r="I6" i="16"/>
  <c r="I5" i="16"/>
  <c r="I229" i="16"/>
  <c r="I230" i="16"/>
  <c r="I231" i="16"/>
  <c r="I232" i="16"/>
  <c r="I226" i="16"/>
  <c r="I227" i="16"/>
  <c r="I228" i="16"/>
  <c r="I225" i="16"/>
  <c r="B61" i="32" l="1"/>
  <c r="I192" i="16"/>
  <c r="I193" i="16"/>
  <c r="I198" i="16"/>
  <c r="I199" i="16"/>
  <c r="I200" i="16"/>
  <c r="I201" i="16"/>
  <c r="I202" i="16"/>
  <c r="I203" i="16"/>
  <c r="I204" i="16"/>
  <c r="B62" i="32" l="1"/>
  <c r="DP27" i="17"/>
  <c r="DP26" i="17"/>
  <c r="DP25" i="17"/>
  <c r="DH27" i="17"/>
  <c r="DH26" i="17"/>
  <c r="DH25" i="17"/>
  <c r="B48" i="32" l="1"/>
  <c r="M78" i="35"/>
  <c r="M79" i="35"/>
  <c r="M80" i="35"/>
  <c r="M77" i="35"/>
  <c r="B49" i="32" l="1"/>
  <c r="B57" i="11"/>
  <c r="B50" i="32" l="1"/>
  <c r="B27" i="32" l="1"/>
  <c r="B28" i="32" l="1"/>
  <c r="II1" i="17"/>
  <c r="IH1" i="17" s="1"/>
  <c r="B29" i="32" l="1"/>
  <c r="M631" i="30"/>
  <c r="B30" i="32" l="1"/>
  <c r="O631" i="30"/>
  <c r="J631" i="30"/>
  <c r="M501" i="30"/>
  <c r="J501" i="30"/>
  <c r="M498" i="30"/>
  <c r="O498" i="30" s="1"/>
  <c r="J498" i="30"/>
  <c r="M409" i="30"/>
  <c r="J409" i="30"/>
  <c r="M408" i="30"/>
  <c r="J408" i="30"/>
  <c r="B31" i="32" l="1"/>
  <c r="P631" i="30"/>
  <c r="Q631" i="30" s="1"/>
  <c r="O501" i="30"/>
  <c r="P498" i="30"/>
  <c r="Q498" i="30" s="1"/>
  <c r="O408" i="30"/>
  <c r="P408" i="30" s="1"/>
  <c r="O409" i="30"/>
  <c r="P409" i="30" s="1"/>
  <c r="B32" i="32" l="1"/>
  <c r="R631" i="30"/>
  <c r="P501" i="30"/>
  <c r="Q501" i="30" s="1"/>
  <c r="R498" i="30"/>
  <c r="S498" i="30" s="1"/>
  <c r="T498" i="30" s="1"/>
  <c r="Q408" i="30"/>
  <c r="R408" i="30" s="1"/>
  <c r="Q409" i="30"/>
  <c r="U498" i="30" l="1"/>
  <c r="AE498" i="30"/>
  <c r="B33" i="32"/>
  <c r="S408" i="30"/>
  <c r="T408" i="30" s="1"/>
  <c r="S631" i="30"/>
  <c r="T631" i="30" s="1"/>
  <c r="R501" i="30"/>
  <c r="S501" i="30" s="1"/>
  <c r="T501" i="30" s="1"/>
  <c r="R409" i="30"/>
  <c r="S409" i="30" s="1"/>
  <c r="T409" i="30" s="1"/>
  <c r="A1" i="11"/>
  <c r="U631" i="30" l="1"/>
  <c r="AE631" i="30"/>
  <c r="U501" i="30"/>
  <c r="AE501" i="30"/>
  <c r="U408" i="30"/>
  <c r="AE408" i="30"/>
  <c r="U409" i="30"/>
  <c r="AE409" i="30"/>
  <c r="B39" i="32"/>
  <c r="M841" i="30"/>
  <c r="J841" i="30"/>
  <c r="B56" i="32" l="1"/>
  <c r="B40" i="32"/>
  <c r="O841" i="30"/>
  <c r="B57" i="32" l="1"/>
  <c r="B41" i="32"/>
  <c r="P841" i="30"/>
  <c r="Q841" i="30" s="1"/>
  <c r="AV1" i="32"/>
  <c r="B58" i="32" l="1"/>
  <c r="B42" i="32"/>
  <c r="R841" i="30"/>
  <c r="S841" i="30" s="1"/>
  <c r="B43" i="32" l="1"/>
  <c r="T841" i="30"/>
  <c r="AE841" i="30" s="1"/>
  <c r="E11" i="36"/>
  <c r="E12" i="36"/>
  <c r="E10" i="36"/>
  <c r="U841" i="30" l="1"/>
  <c r="B44" i="32"/>
  <c r="E9" i="36"/>
  <c r="E8" i="36"/>
  <c r="E7" i="36"/>
  <c r="E6" i="36"/>
  <c r="E4" i="36"/>
  <c r="E3" i="36"/>
  <c r="E2" i="36"/>
  <c r="B45" i="32" l="1"/>
  <c r="IL1" i="17"/>
  <c r="B46" i="32" l="1"/>
  <c r="C10" i="36"/>
  <c r="B63" i="32" l="1"/>
  <c r="C10" i="29"/>
  <c r="E5" i="36"/>
  <c r="B64" i="32" l="1"/>
  <c r="C16" i="11"/>
  <c r="C65" i="11" s="1"/>
  <c r="L2" i="18"/>
  <c r="L1" i="18"/>
  <c r="O2" i="18"/>
  <c r="N2" i="18"/>
  <c r="M2" i="18"/>
  <c r="P1" i="18" s="1"/>
  <c r="N1" i="30" s="1"/>
  <c r="O1" i="18"/>
  <c r="N1" i="18"/>
  <c r="M1" i="18"/>
  <c r="II21" i="17"/>
  <c r="IH21" i="17" s="1"/>
  <c r="IT1" i="17"/>
  <c r="IS1" i="17" s="1"/>
  <c r="IU1" i="17" s="1"/>
  <c r="IQ1" i="17"/>
  <c r="IM1" i="17"/>
  <c r="B65" i="32" l="1"/>
  <c r="D9" i="18"/>
  <c r="C15" i="11" s="1"/>
  <c r="IO1" i="17"/>
  <c r="B9" i="18" s="1"/>
  <c r="C14" i="11" s="1"/>
  <c r="IN1" i="17"/>
  <c r="IP1" i="17"/>
  <c r="IR1" i="17"/>
  <c r="G11" i="27"/>
  <c r="R2" i="31"/>
  <c r="E10" i="11"/>
  <c r="C64" i="11" s="1"/>
  <c r="E2" i="34"/>
  <c r="E2" i="28"/>
  <c r="C9" i="29"/>
  <c r="IF1" i="17"/>
  <c r="B66" i="32" l="1"/>
  <c r="Q2" i="35"/>
  <c r="K1" i="17"/>
  <c r="C10" i="18"/>
  <c r="E1" i="19"/>
  <c r="F1" i="7"/>
  <c r="S2" i="32"/>
  <c r="C14" i="32" s="1"/>
  <c r="IK1" i="17"/>
  <c r="B67" i="32" l="1"/>
  <c r="B51" i="32"/>
  <c r="H4" i="35"/>
  <c r="B68" i="32" l="1"/>
  <c r="B52" i="32"/>
  <c r="N84" i="16"/>
  <c r="N87" i="16"/>
  <c r="T94" i="16" s="1"/>
  <c r="M245" i="16"/>
  <c r="I245" i="16"/>
  <c r="M244" i="16"/>
  <c r="I244" i="16"/>
  <c r="M243" i="16"/>
  <c r="I243" i="16"/>
  <c r="M242" i="16"/>
  <c r="I242" i="16"/>
  <c r="M241" i="16"/>
  <c r="I241" i="16"/>
  <c r="M240" i="16"/>
  <c r="I240" i="16"/>
  <c r="M239" i="16"/>
  <c r="I239" i="16"/>
  <c r="T91" i="16" l="1"/>
  <c r="T93" i="16"/>
  <c r="B69" i="32"/>
  <c r="B53" i="32"/>
  <c r="R83" i="16"/>
  <c r="Q83" i="16"/>
  <c r="B70" i="32" l="1"/>
  <c r="B54" i="32"/>
  <c r="B20" i="18"/>
  <c r="C17" i="35" s="1"/>
  <c r="J96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0" i="29"/>
  <c r="A111" i="29"/>
  <c r="A112" i="29"/>
  <c r="A113" i="29"/>
  <c r="A114" i="29"/>
  <c r="A115" i="29"/>
  <c r="A116" i="29"/>
  <c r="A117" i="29"/>
  <c r="A118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B98" i="29"/>
  <c r="B99" i="29"/>
  <c r="B100" i="29"/>
  <c r="B101" i="29"/>
  <c r="B102" i="29"/>
  <c r="B103" i="29"/>
  <c r="B104" i="29"/>
  <c r="B105" i="29"/>
  <c r="B106" i="29"/>
  <c r="B107" i="29"/>
  <c r="B108" i="29"/>
  <c r="B109" i="29"/>
  <c r="B110" i="29"/>
  <c r="B111" i="29"/>
  <c r="B112" i="29"/>
  <c r="B113" i="29"/>
  <c r="B114" i="29"/>
  <c r="S94" i="16"/>
  <c r="S93" i="16"/>
  <c r="L93" i="16" s="1"/>
  <c r="S87" i="16"/>
  <c r="S88" i="16"/>
  <c r="S89" i="16"/>
  <c r="S90" i="16"/>
  <c r="S91" i="16"/>
  <c r="S92" i="16"/>
  <c r="T92" i="16" s="1"/>
  <c r="L92" i="16" s="1"/>
  <c r="S86" i="16"/>
  <c r="S85" i="16"/>
  <c r="T85" i="16" s="1"/>
  <c r="L85" i="16" s="1"/>
  <c r="I85" i="16" s="1"/>
  <c r="S84" i="16"/>
  <c r="G94" i="16"/>
  <c r="G93" i="16"/>
  <c r="G92" i="16"/>
  <c r="H92" i="16" s="1"/>
  <c r="J105" i="29" s="1"/>
  <c r="G91" i="16"/>
  <c r="H90" i="16"/>
  <c r="J103" i="29" s="1"/>
  <c r="H85" i="16"/>
  <c r="J98" i="29" s="1"/>
  <c r="B55" i="32" l="1"/>
  <c r="T90" i="16"/>
  <c r="L90" i="16" s="1"/>
  <c r="J90" i="16" s="1"/>
  <c r="K90" i="16" s="1"/>
  <c r="L94" i="16"/>
  <c r="I94" i="16" s="1"/>
  <c r="T87" i="16"/>
  <c r="L87" i="16" s="1"/>
  <c r="T88" i="16"/>
  <c r="L88" i="16" s="1"/>
  <c r="L91" i="16"/>
  <c r="J92" i="16"/>
  <c r="K92" i="16" s="1"/>
  <c r="T86" i="16"/>
  <c r="L86" i="16" s="1"/>
  <c r="T89" i="16"/>
  <c r="L89" i="16" s="1"/>
  <c r="T84" i="16"/>
  <c r="J85" i="16"/>
  <c r="K85" i="16" s="1"/>
  <c r="Y21" i="35"/>
  <c r="B79" i="32" l="1"/>
  <c r="B72" i="32"/>
  <c r="L84" i="16"/>
  <c r="AL58" i="35"/>
  <c r="A58" i="35" s="1"/>
  <c r="W8" i="35"/>
  <c r="W4" i="35"/>
  <c r="B80" i="32" l="1"/>
  <c r="B73" i="32"/>
  <c r="U83" i="35"/>
  <c r="AL59" i="35"/>
  <c r="A59" i="35" s="1"/>
  <c r="AL60" i="35"/>
  <c r="AL61" i="35"/>
  <c r="AL62" i="35"/>
  <c r="AL63" i="35"/>
  <c r="AL64" i="35"/>
  <c r="AL65" i="35"/>
  <c r="AL66" i="35"/>
  <c r="AL67" i="35"/>
  <c r="AL68" i="35"/>
  <c r="AL69" i="35"/>
  <c r="T59" i="35"/>
  <c r="T60" i="35"/>
  <c r="T61" i="35"/>
  <c r="T62" i="35"/>
  <c r="T63" i="35"/>
  <c r="T64" i="35"/>
  <c r="T65" i="35"/>
  <c r="T66" i="35"/>
  <c r="T67" i="35"/>
  <c r="T68" i="35"/>
  <c r="T69" i="35"/>
  <c r="T58" i="35"/>
  <c r="R60" i="35"/>
  <c r="R61" i="35"/>
  <c r="R62" i="35"/>
  <c r="R63" i="35"/>
  <c r="R64" i="35"/>
  <c r="R65" i="35"/>
  <c r="R66" i="35"/>
  <c r="R67" i="35"/>
  <c r="R68" i="35"/>
  <c r="R69" i="35"/>
  <c r="R59" i="35"/>
  <c r="R58" i="35"/>
  <c r="N60" i="35"/>
  <c r="N61" i="35"/>
  <c r="N62" i="35"/>
  <c r="N63" i="35"/>
  <c r="N64" i="35"/>
  <c r="N65" i="35"/>
  <c r="N66" i="35"/>
  <c r="N67" i="35"/>
  <c r="N68" i="35"/>
  <c r="N69" i="35"/>
  <c r="N59" i="35"/>
  <c r="N58" i="35"/>
  <c r="AH20" i="35"/>
  <c r="AH19" i="35"/>
  <c r="AH18" i="35"/>
  <c r="B74" i="32" l="1"/>
  <c r="B81" i="32"/>
  <c r="AE16" i="35"/>
  <c r="AE15" i="35"/>
  <c r="K4" i="35"/>
  <c r="B82" i="32" l="1"/>
  <c r="A60" i="35"/>
  <c r="A61" i="35"/>
  <c r="A62" i="35"/>
  <c r="A63" i="35"/>
  <c r="A64" i="35"/>
  <c r="A65" i="35"/>
  <c r="A66" i="35"/>
  <c r="A67" i="35"/>
  <c r="A68" i="35"/>
  <c r="A69" i="35"/>
  <c r="B83" i="32" l="1"/>
  <c r="E37" i="11"/>
  <c r="B84" i="32" l="1"/>
  <c r="M60" i="17"/>
  <c r="B2" i="35" l="1"/>
  <c r="DM32" i="17" l="1"/>
  <c r="DM33" i="17"/>
  <c r="DM34" i="17"/>
  <c r="DM35" i="17"/>
  <c r="DM36" i="17"/>
  <c r="DM37" i="17"/>
  <c r="DM38" i="17"/>
  <c r="DM39" i="17"/>
  <c r="DM40" i="17"/>
  <c r="DM41" i="17"/>
  <c r="DH32" i="17"/>
  <c r="DH33" i="17"/>
  <c r="DH34" i="17"/>
  <c r="DH35" i="17"/>
  <c r="DH36" i="17"/>
  <c r="DH37" i="17"/>
  <c r="DH38" i="17"/>
  <c r="DH39" i="17"/>
  <c r="DH40" i="17"/>
  <c r="DH41" i="17"/>
  <c r="H14" i="34" l="1"/>
  <c r="B14" i="34"/>
  <c r="J12" i="34"/>
  <c r="H12" i="34"/>
  <c r="D12" i="34"/>
  <c r="B12" i="34"/>
  <c r="H9" i="34"/>
  <c r="B9" i="34"/>
  <c r="B7" i="34"/>
  <c r="H15" i="34" s="1"/>
  <c r="H6" i="34"/>
  <c r="C4" i="34"/>
  <c r="I12" i="34" s="1"/>
  <c r="K10" i="34"/>
  <c r="B3" i="34"/>
  <c r="B11" i="34" s="1"/>
  <c r="B2" i="34"/>
  <c r="H10" i="34" s="1"/>
  <c r="H1" i="34"/>
  <c r="H2" i="34" l="1"/>
  <c r="B10" i="34"/>
  <c r="H3" i="34"/>
  <c r="H11" i="34" s="1"/>
  <c r="I4" i="34"/>
  <c r="H7" i="34"/>
  <c r="C12" i="34"/>
  <c r="K2" i="34"/>
  <c r="E10" i="34"/>
  <c r="B15" i="34"/>
  <c r="D1" i="18" l="1"/>
  <c r="C1" i="18"/>
  <c r="B218" i="29" s="1"/>
  <c r="D2" i="18"/>
  <c r="C2" i="18" l="1"/>
  <c r="E55" i="11"/>
  <c r="IV36" i="17" l="1"/>
  <c r="M573" i="30"/>
  <c r="O573" i="30" s="1"/>
  <c r="P573" i="30" s="1"/>
  <c r="Q573" i="30" s="1"/>
  <c r="J573" i="30"/>
  <c r="M571" i="30" l="1"/>
  <c r="O571" i="30" s="1"/>
  <c r="J572" i="30"/>
  <c r="M572" i="30"/>
  <c r="O572" i="30" s="1"/>
  <c r="P572" i="30" s="1"/>
  <c r="Q572" i="30" s="1"/>
  <c r="R573" i="30"/>
  <c r="P571" i="30" l="1"/>
  <c r="Q571" i="30" s="1"/>
  <c r="R571" i="30" s="1"/>
  <c r="S571" i="30" s="1"/>
  <c r="T571" i="30" s="1"/>
  <c r="J571" i="30"/>
  <c r="R572" i="30"/>
  <c r="S573" i="30"/>
  <c r="T573" i="30" s="1"/>
  <c r="Q42" i="17"/>
  <c r="U573" i="30" l="1"/>
  <c r="AE573" i="30"/>
  <c r="U571" i="30"/>
  <c r="AE571" i="30"/>
  <c r="S572" i="30"/>
  <c r="T572" i="30" s="1"/>
  <c r="U572" i="30" l="1"/>
  <c r="AE572" i="30"/>
  <c r="DE30" i="17"/>
  <c r="DE25" i="17" l="1"/>
  <c r="DR27" i="17"/>
  <c r="DQ27" i="17"/>
  <c r="DO27" i="17"/>
  <c r="DN27" i="17"/>
  <c r="DM27" i="17"/>
  <c r="DJ27" i="17"/>
  <c r="DI27" i="17"/>
  <c r="DG27" i="17"/>
  <c r="DF27" i="17"/>
  <c r="DE27" i="17"/>
  <c r="DR26" i="17"/>
  <c r="DQ26" i="17"/>
  <c r="DO26" i="17"/>
  <c r="DN26" i="17"/>
  <c r="DM26" i="17"/>
  <c r="DJ26" i="17"/>
  <c r="DI26" i="17"/>
  <c r="DG26" i="17"/>
  <c r="DF26" i="17"/>
  <c r="DE26" i="17"/>
  <c r="DR25" i="17"/>
  <c r="DQ25" i="17"/>
  <c r="DO25" i="17"/>
  <c r="DN25" i="17"/>
  <c r="DM25" i="17"/>
  <c r="DJ25" i="17"/>
  <c r="DI25" i="17"/>
  <c r="DG25" i="17"/>
  <c r="DF25" i="17"/>
  <c r="M288" i="16" l="1"/>
  <c r="I288" i="16" s="1"/>
  <c r="M548" i="30" l="1"/>
  <c r="J548" i="30"/>
  <c r="O548" i="30" l="1"/>
  <c r="P548" i="30" s="1"/>
  <c r="Q548" i="30" l="1"/>
  <c r="R548" i="30" s="1"/>
  <c r="S548" i="30" l="1"/>
  <c r="T548" i="30" s="1"/>
  <c r="U548" i="30" l="1"/>
  <c r="AE548" i="30"/>
  <c r="W19" i="32"/>
  <c r="B135" i="32"/>
  <c r="B134" i="32"/>
  <c r="B133" i="32"/>
  <c r="B132" i="32"/>
  <c r="B131" i="32"/>
  <c r="B130" i="32"/>
  <c r="B129" i="32"/>
  <c r="B128" i="32"/>
  <c r="B127" i="32"/>
  <c r="B126" i="32"/>
  <c r="B125" i="32"/>
  <c r="B124" i="32"/>
  <c r="M513" i="30" l="1"/>
  <c r="O513" i="30" s="1"/>
  <c r="J513" i="30"/>
  <c r="P513" i="30" l="1"/>
  <c r="Q513" i="30" s="1"/>
  <c r="R513" i="30" l="1"/>
  <c r="J617" i="30"/>
  <c r="M616" i="30"/>
  <c r="J615" i="30" l="1"/>
  <c r="M542" i="30"/>
  <c r="O542" i="30" s="1"/>
  <c r="J542" i="30"/>
  <c r="J616" i="30"/>
  <c r="S513" i="30"/>
  <c r="T513" i="30" s="1"/>
  <c r="M615" i="30"/>
  <c r="O615" i="30" s="1"/>
  <c r="P615" i="30" s="1"/>
  <c r="Q615" i="30" s="1"/>
  <c r="O616" i="30"/>
  <c r="U513" i="30" l="1"/>
  <c r="AE513" i="30"/>
  <c r="J543" i="30"/>
  <c r="R615" i="30"/>
  <c r="P616" i="30"/>
  <c r="Q616" i="30" s="1"/>
  <c r="P542" i="30"/>
  <c r="Q542" i="30" s="1"/>
  <c r="S615" i="30" l="1"/>
  <c r="T615" i="30" s="1"/>
  <c r="R616" i="30"/>
  <c r="S616" i="30" s="1"/>
  <c r="T616" i="30" s="1"/>
  <c r="R542" i="30"/>
  <c r="S542" i="30" s="1"/>
  <c r="T542" i="30" s="1"/>
  <c r="U616" i="30" l="1"/>
  <c r="AE616" i="30"/>
  <c r="U542" i="30"/>
  <c r="AE542" i="30"/>
  <c r="U615" i="30"/>
  <c r="AE615" i="30"/>
  <c r="DF32" i="17"/>
  <c r="DF33" i="17"/>
  <c r="DF34" i="17"/>
  <c r="DF35" i="17"/>
  <c r="DF36" i="17"/>
  <c r="DF37" i="17"/>
  <c r="DF38" i="17"/>
  <c r="DF39" i="17"/>
  <c r="DF40" i="17"/>
  <c r="DF41" i="17"/>
  <c r="DO22" i="17"/>
  <c r="S308" i="16"/>
  <c r="DC32" i="17"/>
  <c r="DC33" i="17"/>
  <c r="DC34" i="17"/>
  <c r="DC35" i="17"/>
  <c r="DC36" i="17"/>
  <c r="DC37" i="17"/>
  <c r="DC38" i="17"/>
  <c r="DC39" i="17"/>
  <c r="DC40" i="17"/>
  <c r="DC41" i="17"/>
  <c r="DR24" i="17"/>
  <c r="DR23" i="17"/>
  <c r="DR22" i="17"/>
  <c r="DQ24" i="17"/>
  <c r="DQ23" i="17"/>
  <c r="DQ22" i="17"/>
  <c r="DN23" i="17"/>
  <c r="DN24" i="17"/>
  <c r="DN22" i="17"/>
  <c r="DM23" i="17"/>
  <c r="DM24" i="17"/>
  <c r="DM22" i="17"/>
  <c r="DJ24" i="17"/>
  <c r="DJ23" i="17"/>
  <c r="DJ22" i="17"/>
  <c r="DI24" i="17"/>
  <c r="DI23" i="17"/>
  <c r="DI22" i="17"/>
  <c r="DG24" i="17"/>
  <c r="DG23" i="17"/>
  <c r="DG22" i="17"/>
  <c r="DF24" i="17"/>
  <c r="DF23" i="17"/>
  <c r="DF22" i="17"/>
  <c r="DE24" i="17"/>
  <c r="DE23" i="17"/>
  <c r="DE22" i="17"/>
  <c r="DE31" i="17"/>
  <c r="DE32" i="17"/>
  <c r="DE33" i="17"/>
  <c r="DE34" i="17"/>
  <c r="DE35" i="17"/>
  <c r="DE36" i="17"/>
  <c r="DE37" i="17"/>
  <c r="DE38" i="17"/>
  <c r="DE39" i="17"/>
  <c r="DE40" i="17"/>
  <c r="DE41" i="17"/>
  <c r="DD31" i="17"/>
  <c r="DD32" i="17"/>
  <c r="DD33" i="17"/>
  <c r="DD34" i="17"/>
  <c r="DD35" i="17"/>
  <c r="DD36" i="17"/>
  <c r="DD37" i="17"/>
  <c r="DD38" i="17"/>
  <c r="DD39" i="17"/>
  <c r="DD40" i="17"/>
  <c r="DD41" i="17"/>
  <c r="DD30" i="17"/>
  <c r="DO24" i="17"/>
  <c r="DO23" i="17"/>
  <c r="DW41" i="17" l="1"/>
  <c r="DV41" i="17"/>
  <c r="DW39" i="17"/>
  <c r="DV39" i="17"/>
  <c r="DW37" i="17"/>
  <c r="DV37" i="17"/>
  <c r="DW35" i="17"/>
  <c r="DV35" i="17"/>
  <c r="DW33" i="17"/>
  <c r="DV33" i="17"/>
  <c r="DV40" i="17"/>
  <c r="DW40" i="17"/>
  <c r="DV38" i="17"/>
  <c r="DW38" i="17"/>
  <c r="DV36" i="17"/>
  <c r="DW36" i="17"/>
  <c r="DV34" i="17"/>
  <c r="DW34" i="17"/>
  <c r="DV32" i="17"/>
  <c r="DW32" i="17"/>
  <c r="DS41" i="17"/>
  <c r="DR41" i="17"/>
  <c r="DS39" i="17"/>
  <c r="DR39" i="17"/>
  <c r="DS37" i="17"/>
  <c r="DR37" i="17"/>
  <c r="DS35" i="17"/>
  <c r="DR35" i="17"/>
  <c r="DS33" i="17"/>
  <c r="DR33" i="17"/>
  <c r="DR40" i="17"/>
  <c r="DS40" i="17"/>
  <c r="DR38" i="17"/>
  <c r="DS38" i="17"/>
  <c r="DR36" i="17"/>
  <c r="DS36" i="17"/>
  <c r="DR34" i="17"/>
  <c r="DS34" i="17"/>
  <c r="DR32" i="17"/>
  <c r="DS32" i="17"/>
  <c r="K92" i="32" l="1"/>
  <c r="W92" i="32"/>
  <c r="K56" i="18" l="1"/>
  <c r="U840" i="30" l="1"/>
  <c r="M838" i="30"/>
  <c r="O838" i="30" s="1"/>
  <c r="J838" i="30"/>
  <c r="U828" i="30"/>
  <c r="U826" i="30"/>
  <c r="M825" i="30"/>
  <c r="O825" i="30" s="1"/>
  <c r="J825" i="30"/>
  <c r="M824" i="30"/>
  <c r="J824" i="30"/>
  <c r="U819" i="30"/>
  <c r="M818" i="30"/>
  <c r="J818" i="30"/>
  <c r="M817" i="30"/>
  <c r="O817" i="30" s="1"/>
  <c r="J817" i="30"/>
  <c r="M816" i="30"/>
  <c r="J816" i="30"/>
  <c r="M815" i="30"/>
  <c r="O815" i="30" s="1"/>
  <c r="J815" i="30"/>
  <c r="M814" i="30"/>
  <c r="J814" i="30"/>
  <c r="M813" i="30"/>
  <c r="O813" i="30" s="1"/>
  <c r="J813" i="30"/>
  <c r="U812" i="30"/>
  <c r="M748" i="30"/>
  <c r="O748" i="30" s="1"/>
  <c r="J748" i="30"/>
  <c r="M746" i="30"/>
  <c r="J746" i="30"/>
  <c r="M745" i="30"/>
  <c r="O745" i="30" s="1"/>
  <c r="J745" i="30"/>
  <c r="M744" i="30"/>
  <c r="J744" i="30"/>
  <c r="M742" i="30"/>
  <c r="O742" i="30" s="1"/>
  <c r="J742" i="30"/>
  <c r="M741" i="30"/>
  <c r="J741" i="30"/>
  <c r="M740" i="30"/>
  <c r="O740" i="30" s="1"/>
  <c r="J740" i="30"/>
  <c r="U739" i="30"/>
  <c r="M738" i="30"/>
  <c r="O738" i="30" s="1"/>
  <c r="J738" i="30"/>
  <c r="M737" i="30"/>
  <c r="J737" i="30"/>
  <c r="M735" i="30"/>
  <c r="O735" i="30" s="1"/>
  <c r="J735" i="30"/>
  <c r="M734" i="30"/>
  <c r="J734" i="30"/>
  <c r="M733" i="30"/>
  <c r="O733" i="30" s="1"/>
  <c r="J733" i="30"/>
  <c r="M732" i="30"/>
  <c r="J732" i="30"/>
  <c r="U731" i="30"/>
  <c r="M730" i="30"/>
  <c r="O730" i="30" s="1"/>
  <c r="J730" i="30"/>
  <c r="M729" i="30"/>
  <c r="J729" i="30"/>
  <c r="M728" i="30"/>
  <c r="O728" i="30" s="1"/>
  <c r="J728" i="30"/>
  <c r="M726" i="30"/>
  <c r="J726" i="30"/>
  <c r="M725" i="30"/>
  <c r="O725" i="30" s="1"/>
  <c r="J725" i="30"/>
  <c r="M724" i="30"/>
  <c r="J724" i="30"/>
  <c r="U723" i="30"/>
  <c r="M722" i="30"/>
  <c r="J722" i="30"/>
  <c r="M721" i="30"/>
  <c r="O721" i="30" s="1"/>
  <c r="J721" i="30"/>
  <c r="M720" i="30"/>
  <c r="J720" i="30"/>
  <c r="M718" i="30"/>
  <c r="O718" i="30" s="1"/>
  <c r="J718" i="30"/>
  <c r="M717" i="30"/>
  <c r="J717" i="30"/>
  <c r="M716" i="30"/>
  <c r="O716" i="30" s="1"/>
  <c r="J716" i="30"/>
  <c r="U715" i="30"/>
  <c r="M714" i="30"/>
  <c r="O714" i="30" s="1"/>
  <c r="J714" i="30"/>
  <c r="M713" i="30"/>
  <c r="J713" i="30"/>
  <c r="M712" i="30"/>
  <c r="O712" i="30" s="1"/>
  <c r="J712" i="30"/>
  <c r="M710" i="30"/>
  <c r="J710" i="30"/>
  <c r="M709" i="30"/>
  <c r="O709" i="30" s="1"/>
  <c r="J709" i="30"/>
  <c r="M708" i="30"/>
  <c r="J708" i="30"/>
  <c r="U707" i="30"/>
  <c r="U706" i="30"/>
  <c r="M705" i="30"/>
  <c r="O705" i="30" s="1"/>
  <c r="J705" i="30"/>
  <c r="M704" i="30"/>
  <c r="J704" i="30"/>
  <c r="M703" i="30"/>
  <c r="O703" i="30" s="1"/>
  <c r="J703" i="30"/>
  <c r="M701" i="30"/>
  <c r="J701" i="30"/>
  <c r="M700" i="30"/>
  <c r="J700" i="30"/>
  <c r="M699" i="30"/>
  <c r="J699" i="30"/>
  <c r="U698" i="30"/>
  <c r="M697" i="30"/>
  <c r="J697" i="30"/>
  <c r="M696" i="30"/>
  <c r="O696" i="30" s="1"/>
  <c r="J696" i="30"/>
  <c r="M695" i="30"/>
  <c r="J695" i="30"/>
  <c r="M693" i="30"/>
  <c r="O693" i="30" s="1"/>
  <c r="J693" i="30"/>
  <c r="M692" i="30"/>
  <c r="J692" i="30"/>
  <c r="M691" i="30"/>
  <c r="O691" i="30" s="1"/>
  <c r="J691" i="30"/>
  <c r="U690" i="30"/>
  <c r="M689" i="30"/>
  <c r="O689" i="30" s="1"/>
  <c r="J689" i="30"/>
  <c r="M688" i="30"/>
  <c r="J688" i="30"/>
  <c r="M687" i="30"/>
  <c r="J687" i="30"/>
  <c r="M686" i="30"/>
  <c r="J686" i="30"/>
  <c r="M684" i="30"/>
  <c r="O684" i="30" s="1"/>
  <c r="J684" i="30"/>
  <c r="M683" i="30"/>
  <c r="J683" i="30"/>
  <c r="U682" i="30"/>
  <c r="M681" i="30"/>
  <c r="J681" i="30"/>
  <c r="M680" i="30"/>
  <c r="O680" i="30" s="1"/>
  <c r="J680" i="30"/>
  <c r="M679" i="30"/>
  <c r="J679" i="30"/>
  <c r="M678" i="30"/>
  <c r="O678" i="30" s="1"/>
  <c r="J678" i="30"/>
  <c r="M676" i="30"/>
  <c r="J676" i="30"/>
  <c r="M675" i="30"/>
  <c r="O675" i="30" s="1"/>
  <c r="J675" i="30"/>
  <c r="U674" i="30"/>
  <c r="M673" i="30"/>
  <c r="O673" i="30" s="1"/>
  <c r="J673" i="30"/>
  <c r="M672" i="30"/>
  <c r="J672" i="30"/>
  <c r="M671" i="30"/>
  <c r="O671" i="30" s="1"/>
  <c r="J671" i="30"/>
  <c r="M670" i="30"/>
  <c r="J670" i="30"/>
  <c r="M668" i="30"/>
  <c r="J668" i="30"/>
  <c r="M667" i="30"/>
  <c r="J667" i="30"/>
  <c r="U666" i="30"/>
  <c r="U665" i="30"/>
  <c r="U664" i="30"/>
  <c r="M654" i="30"/>
  <c r="J654" i="30"/>
  <c r="M653" i="30"/>
  <c r="O653" i="30" s="1"/>
  <c r="J653" i="30"/>
  <c r="M652" i="30"/>
  <c r="J652" i="30"/>
  <c r="M651" i="30"/>
  <c r="O651" i="30" s="1"/>
  <c r="J651" i="30"/>
  <c r="M647" i="30"/>
  <c r="J647" i="30"/>
  <c r="M646" i="30"/>
  <c r="O646" i="30" s="1"/>
  <c r="J646" i="30"/>
  <c r="M645" i="30"/>
  <c r="J645" i="30"/>
  <c r="U644" i="30"/>
  <c r="M628" i="30"/>
  <c r="O628" i="30" s="1"/>
  <c r="J628" i="30"/>
  <c r="U627" i="30"/>
  <c r="M624" i="30"/>
  <c r="J624" i="30"/>
  <c r="U623" i="30"/>
  <c r="U618" i="30"/>
  <c r="M617" i="30"/>
  <c r="M613" i="30"/>
  <c r="J613" i="30"/>
  <c r="U612" i="30"/>
  <c r="M610" i="30"/>
  <c r="O610" i="30" s="1"/>
  <c r="J610" i="30"/>
  <c r="U609" i="30"/>
  <c r="U608" i="30"/>
  <c r="M606" i="30"/>
  <c r="J606" i="30"/>
  <c r="U605" i="30"/>
  <c r="M604" i="30"/>
  <c r="J604" i="30"/>
  <c r="U603" i="30"/>
  <c r="U602" i="30"/>
  <c r="M580" i="30"/>
  <c r="J580" i="30"/>
  <c r="M579" i="30"/>
  <c r="O579" i="30" s="1"/>
  <c r="J579" i="30"/>
  <c r="U578" i="30"/>
  <c r="IV37" i="17"/>
  <c r="M575" i="30"/>
  <c r="O575" i="30" s="1"/>
  <c r="J575" i="30"/>
  <c r="U574" i="30"/>
  <c r="M567" i="30"/>
  <c r="J567" i="30"/>
  <c r="M564" i="30"/>
  <c r="O564" i="30" s="1"/>
  <c r="J564" i="30"/>
  <c r="U563" i="30"/>
  <c r="M559" i="30"/>
  <c r="J559" i="30"/>
  <c r="M556" i="30"/>
  <c r="J556" i="30"/>
  <c r="U555" i="30"/>
  <c r="U554" i="30"/>
  <c r="M553" i="30"/>
  <c r="O553" i="30" s="1"/>
  <c r="J553" i="30"/>
  <c r="M552" i="30"/>
  <c r="J552" i="30"/>
  <c r="M551" i="30"/>
  <c r="J551" i="30"/>
  <c r="U550" i="30"/>
  <c r="M549" i="30"/>
  <c r="O549" i="30" s="1"/>
  <c r="J549" i="30"/>
  <c r="M545" i="30"/>
  <c r="J545" i="30"/>
  <c r="U544" i="30"/>
  <c r="M543" i="30"/>
  <c r="M539" i="30"/>
  <c r="J539" i="30"/>
  <c r="M536" i="30"/>
  <c r="O536" i="30" s="1"/>
  <c r="J536" i="30"/>
  <c r="U535" i="30"/>
  <c r="M531" i="30"/>
  <c r="J531" i="30"/>
  <c r="M528" i="30"/>
  <c r="O528" i="30" s="1"/>
  <c r="J528" i="30"/>
  <c r="U527" i="30"/>
  <c r="U526" i="30"/>
  <c r="M525" i="30"/>
  <c r="O525" i="30" s="1"/>
  <c r="J525" i="30"/>
  <c r="U524" i="30"/>
  <c r="M518" i="30"/>
  <c r="J518" i="30"/>
  <c r="U515" i="30"/>
  <c r="M514" i="30"/>
  <c r="O514" i="30" s="1"/>
  <c r="J514" i="30"/>
  <c r="M512" i="30"/>
  <c r="J512" i="30"/>
  <c r="U511" i="30"/>
  <c r="M510" i="30"/>
  <c r="J510" i="30"/>
  <c r="M509" i="30"/>
  <c r="O509" i="30" s="1"/>
  <c r="J509" i="30"/>
  <c r="M508" i="30"/>
  <c r="J508" i="30"/>
  <c r="M507" i="30"/>
  <c r="J507" i="30"/>
  <c r="M506" i="30"/>
  <c r="J506" i="30"/>
  <c r="M505" i="30"/>
  <c r="O505" i="30" s="1"/>
  <c r="J505" i="30"/>
  <c r="M504" i="30"/>
  <c r="J504" i="30"/>
  <c r="U503" i="30"/>
  <c r="M500" i="30"/>
  <c r="J500" i="30"/>
  <c r="M499" i="30"/>
  <c r="O499" i="30" s="1"/>
  <c r="J499" i="30"/>
  <c r="M497" i="30"/>
  <c r="J497" i="30"/>
  <c r="U496" i="30"/>
  <c r="M490" i="30"/>
  <c r="O490" i="30" s="1"/>
  <c r="J490" i="30"/>
  <c r="U477" i="30"/>
  <c r="M450" i="30"/>
  <c r="O450" i="30" s="1"/>
  <c r="J450" i="30"/>
  <c r="U449" i="30"/>
  <c r="M442" i="30"/>
  <c r="O442" i="30" s="1"/>
  <c r="J442" i="30"/>
  <c r="M441" i="30"/>
  <c r="J441" i="30"/>
  <c r="M440" i="30"/>
  <c r="O440" i="30" s="1"/>
  <c r="J440" i="30"/>
  <c r="U439" i="30"/>
  <c r="M438" i="30"/>
  <c r="J438" i="30"/>
  <c r="M437" i="30"/>
  <c r="J437" i="30"/>
  <c r="M436" i="30"/>
  <c r="O436" i="30" s="1"/>
  <c r="J436" i="30"/>
  <c r="M435" i="30"/>
  <c r="J435" i="30"/>
  <c r="V434" i="30"/>
  <c r="M434" i="30"/>
  <c r="J434" i="30"/>
  <c r="V433" i="30"/>
  <c r="M433" i="30"/>
  <c r="J433" i="30"/>
  <c r="V432" i="30"/>
  <c r="M432" i="30"/>
  <c r="J432" i="30"/>
  <c r="V431" i="30"/>
  <c r="M431" i="30"/>
  <c r="J431" i="30"/>
  <c r="U430" i="30"/>
  <c r="M429" i="30"/>
  <c r="J429" i="30"/>
  <c r="U428" i="30"/>
  <c r="M427" i="30"/>
  <c r="J427" i="30"/>
  <c r="M426" i="30"/>
  <c r="J426" i="30"/>
  <c r="M425" i="30"/>
  <c r="J425" i="30"/>
  <c r="U424" i="30"/>
  <c r="M423" i="30"/>
  <c r="J423" i="30"/>
  <c r="U422" i="30"/>
  <c r="M421" i="30"/>
  <c r="O421" i="30" s="1"/>
  <c r="J421" i="30"/>
  <c r="M420" i="30"/>
  <c r="J420" i="30"/>
  <c r="M419" i="30"/>
  <c r="J419" i="30"/>
  <c r="M418" i="30"/>
  <c r="J418" i="30"/>
  <c r="U417" i="30"/>
  <c r="M416" i="30"/>
  <c r="J416" i="30"/>
  <c r="U412" i="30"/>
  <c r="M410" i="30"/>
  <c r="M407" i="30"/>
  <c r="J407" i="30"/>
  <c r="M402" i="30"/>
  <c r="O402" i="30" s="1"/>
  <c r="J402" i="30"/>
  <c r="M401" i="30"/>
  <c r="J401" i="30"/>
  <c r="M400" i="30"/>
  <c r="O400" i="30" s="1"/>
  <c r="J400" i="30"/>
  <c r="M399" i="30"/>
  <c r="J399" i="30"/>
  <c r="M398" i="30"/>
  <c r="O398" i="30" s="1"/>
  <c r="J398" i="30"/>
  <c r="U397" i="30"/>
  <c r="U389" i="30"/>
  <c r="M387" i="30"/>
  <c r="M385" i="30"/>
  <c r="M382" i="30"/>
  <c r="U381" i="30"/>
  <c r="M380" i="30"/>
  <c r="M378" i="30"/>
  <c r="M376" i="30"/>
  <c r="J374" i="30"/>
  <c r="U373" i="30"/>
  <c r="J372" i="30"/>
  <c r="M371" i="30"/>
  <c r="J370" i="30"/>
  <c r="M369" i="30"/>
  <c r="J368" i="30"/>
  <c r="M366" i="30"/>
  <c r="U365" i="30"/>
  <c r="M364" i="30"/>
  <c r="J363" i="30"/>
  <c r="M362" i="30"/>
  <c r="J361" i="30"/>
  <c r="M360" i="30"/>
  <c r="U357" i="30"/>
  <c r="M355" i="30"/>
  <c r="M353" i="30"/>
  <c r="M350" i="30"/>
  <c r="U349" i="30"/>
  <c r="U347" i="30"/>
  <c r="M345" i="30"/>
  <c r="M343" i="30"/>
  <c r="M341" i="30"/>
  <c r="M338" i="30"/>
  <c r="U337" i="30"/>
  <c r="M336" i="30"/>
  <c r="M334" i="30"/>
  <c r="M332" i="30"/>
  <c r="M330" i="30"/>
  <c r="J328" i="30"/>
  <c r="U327" i="30"/>
  <c r="J326" i="30"/>
  <c r="M325" i="30"/>
  <c r="J324" i="30"/>
  <c r="M323" i="30"/>
  <c r="J322" i="30"/>
  <c r="M321" i="30"/>
  <c r="J320" i="30"/>
  <c r="M318" i="30"/>
  <c r="U317" i="30"/>
  <c r="M316" i="30"/>
  <c r="J315" i="30"/>
  <c r="M314" i="30"/>
  <c r="J313" i="30"/>
  <c r="M312" i="30"/>
  <c r="J311" i="30"/>
  <c r="M310" i="30"/>
  <c r="U307" i="30"/>
  <c r="M305" i="30"/>
  <c r="M303" i="30"/>
  <c r="M301" i="30"/>
  <c r="M298" i="30"/>
  <c r="U297" i="30"/>
  <c r="U295" i="30"/>
  <c r="M293" i="30"/>
  <c r="M291" i="30"/>
  <c r="M289" i="30"/>
  <c r="M287" i="30"/>
  <c r="M285" i="30"/>
  <c r="M282" i="30"/>
  <c r="U281" i="30"/>
  <c r="M280" i="30"/>
  <c r="M278" i="30"/>
  <c r="M276" i="30"/>
  <c r="M274" i="30"/>
  <c r="M272" i="30"/>
  <c r="M270" i="30"/>
  <c r="J268" i="30"/>
  <c r="U267" i="30"/>
  <c r="J266" i="30"/>
  <c r="M265" i="30"/>
  <c r="J264" i="30"/>
  <c r="M263" i="30"/>
  <c r="J262" i="30"/>
  <c r="M261" i="30"/>
  <c r="J260" i="30"/>
  <c r="M259" i="30"/>
  <c r="J258" i="30"/>
  <c r="M257" i="30"/>
  <c r="J256" i="30"/>
  <c r="M254" i="30"/>
  <c r="U253" i="30"/>
  <c r="M252" i="30"/>
  <c r="J251" i="30"/>
  <c r="M250" i="30"/>
  <c r="J249" i="30"/>
  <c r="M248" i="30"/>
  <c r="J247" i="30"/>
  <c r="M246" i="30"/>
  <c r="J245" i="30"/>
  <c r="M244" i="30"/>
  <c r="J243" i="30"/>
  <c r="M242" i="30"/>
  <c r="U239" i="30"/>
  <c r="M237" i="30"/>
  <c r="M235" i="30"/>
  <c r="M233" i="30"/>
  <c r="M231" i="30"/>
  <c r="M229" i="30"/>
  <c r="M226" i="30"/>
  <c r="U225" i="30"/>
  <c r="U223" i="30"/>
  <c r="M222" i="30"/>
  <c r="M220" i="30"/>
  <c r="M218" i="30"/>
  <c r="M216" i="30"/>
  <c r="M214" i="30"/>
  <c r="M212" i="30"/>
  <c r="M210" i="30"/>
  <c r="U204" i="30"/>
  <c r="M202" i="30"/>
  <c r="M200" i="30"/>
  <c r="M198" i="30"/>
  <c r="M196" i="30"/>
  <c r="M194" i="30"/>
  <c r="M191" i="30"/>
  <c r="U185" i="30"/>
  <c r="M183" i="30"/>
  <c r="M181" i="30"/>
  <c r="M179" i="30"/>
  <c r="J178" i="30"/>
  <c r="M177" i="30"/>
  <c r="J176" i="30"/>
  <c r="M175" i="30"/>
  <c r="J174" i="30"/>
  <c r="M172" i="30"/>
  <c r="U166" i="30"/>
  <c r="J165" i="30"/>
  <c r="M164" i="30"/>
  <c r="J163" i="30"/>
  <c r="M162" i="30"/>
  <c r="J161" i="30"/>
  <c r="M160" i="30"/>
  <c r="J159" i="30"/>
  <c r="M158" i="30"/>
  <c r="J157" i="30"/>
  <c r="M156" i="30"/>
  <c r="J155" i="30"/>
  <c r="M154" i="30"/>
  <c r="J153" i="30"/>
  <c r="U147" i="30"/>
  <c r="M146" i="30"/>
  <c r="J145" i="30"/>
  <c r="M144" i="30"/>
  <c r="J143" i="30"/>
  <c r="M142" i="30"/>
  <c r="J141" i="30"/>
  <c r="M140" i="30"/>
  <c r="J139" i="30"/>
  <c r="M138" i="30"/>
  <c r="J137" i="30"/>
  <c r="M136" i="30"/>
  <c r="U129" i="30"/>
  <c r="M411" i="30" l="1"/>
  <c r="O411" i="30" s="1"/>
  <c r="P411" i="30" s="1"/>
  <c r="J411" i="30"/>
  <c r="J135" i="30"/>
  <c r="M367" i="30"/>
  <c r="O367" i="30" s="1"/>
  <c r="P367" i="30" s="1"/>
  <c r="J533" i="30"/>
  <c r="J541" i="30"/>
  <c r="J561" i="30"/>
  <c r="J569" i="30"/>
  <c r="M626" i="30"/>
  <c r="O626" i="30" s="1"/>
  <c r="P626" i="30" s="1"/>
  <c r="Q626" i="30" s="1"/>
  <c r="J626" i="30"/>
  <c r="M173" i="30"/>
  <c r="O173" i="30" s="1"/>
  <c r="P173" i="30" s="1"/>
  <c r="M255" i="30"/>
  <c r="O255" i="30" s="1"/>
  <c r="P255" i="30" s="1"/>
  <c r="M319" i="30"/>
  <c r="O319" i="30" s="1"/>
  <c r="P319" i="30" s="1"/>
  <c r="J359" i="30"/>
  <c r="M532" i="30"/>
  <c r="O532" i="30" s="1"/>
  <c r="P532" i="30" s="1"/>
  <c r="J532" i="30"/>
  <c r="M534" i="30"/>
  <c r="O534" i="30" s="1"/>
  <c r="P534" i="30" s="1"/>
  <c r="J534" i="30"/>
  <c r="M540" i="30"/>
  <c r="O540" i="30" s="1"/>
  <c r="P540" i="30" s="1"/>
  <c r="J540" i="30"/>
  <c r="M560" i="30"/>
  <c r="O560" i="30" s="1"/>
  <c r="P560" i="30" s="1"/>
  <c r="M562" i="30"/>
  <c r="O562" i="30" s="1"/>
  <c r="P562" i="30" s="1"/>
  <c r="M568" i="30"/>
  <c r="O568" i="30" s="1"/>
  <c r="P568" i="30" s="1"/>
  <c r="J568" i="30"/>
  <c r="M570" i="30"/>
  <c r="O570" i="30" s="1"/>
  <c r="P570" i="30" s="1"/>
  <c r="J570" i="30"/>
  <c r="M614" i="30"/>
  <c r="O614" i="30" s="1"/>
  <c r="P614" i="30" s="1"/>
  <c r="Q614" i="30" s="1"/>
  <c r="J614" i="30"/>
  <c r="M625" i="30"/>
  <c r="O625" i="30" s="1"/>
  <c r="P625" i="30" s="1"/>
  <c r="J625" i="30"/>
  <c r="J633" i="30"/>
  <c r="J410" i="30"/>
  <c r="M502" i="30"/>
  <c r="O502" i="30" s="1"/>
  <c r="P502" i="30" s="1"/>
  <c r="Q502" i="30" s="1"/>
  <c r="J502" i="30"/>
  <c r="J488" i="30"/>
  <c r="J478" i="30"/>
  <c r="J562" i="30"/>
  <c r="M581" i="30"/>
  <c r="O581" i="30" s="1"/>
  <c r="P581" i="30" s="1"/>
  <c r="IV35" i="17"/>
  <c r="IT34" i="17" s="1"/>
  <c r="IU34" i="17" s="1"/>
  <c r="J158" i="30"/>
  <c r="J183" i="30"/>
  <c r="J196" i="30"/>
  <c r="J287" i="30"/>
  <c r="J218" i="30"/>
  <c r="J235" i="30"/>
  <c r="J355" i="30"/>
  <c r="J387" i="30"/>
  <c r="J172" i="30"/>
  <c r="J175" i="30"/>
  <c r="J210" i="30"/>
  <c r="J274" i="30"/>
  <c r="J303" i="30"/>
  <c r="J560" i="30"/>
  <c r="J581" i="30"/>
  <c r="J154" i="30"/>
  <c r="J162" i="30"/>
  <c r="J179" i="30"/>
  <c r="J200" i="30"/>
  <c r="J214" i="30"/>
  <c r="J222" i="30"/>
  <c r="J231" i="30"/>
  <c r="J242" i="30"/>
  <c r="M243" i="30"/>
  <c r="O243" i="30" s="1"/>
  <c r="P243" i="30" s="1"/>
  <c r="Q243" i="30" s="1"/>
  <c r="J244" i="30"/>
  <c r="M245" i="30"/>
  <c r="O245" i="30" s="1"/>
  <c r="J246" i="30"/>
  <c r="M247" i="30"/>
  <c r="O247" i="30" s="1"/>
  <c r="P247" i="30" s="1"/>
  <c r="Q247" i="30" s="1"/>
  <c r="J248" i="30"/>
  <c r="M249" i="30"/>
  <c r="O249" i="30" s="1"/>
  <c r="J250" i="30"/>
  <c r="M251" i="30"/>
  <c r="O251" i="30" s="1"/>
  <c r="P251" i="30" s="1"/>
  <c r="Q251" i="30" s="1"/>
  <c r="J252" i="30"/>
  <c r="J334" i="30"/>
  <c r="J378" i="30"/>
  <c r="M268" i="30"/>
  <c r="O268" i="30" s="1"/>
  <c r="P268" i="30" s="1"/>
  <c r="Q268" i="30" s="1"/>
  <c r="J270" i="30"/>
  <c r="J278" i="30"/>
  <c r="J291" i="30"/>
  <c r="J310" i="30"/>
  <c r="M311" i="30"/>
  <c r="O311" i="30" s="1"/>
  <c r="P311" i="30" s="1"/>
  <c r="Q311" i="30" s="1"/>
  <c r="J312" i="30"/>
  <c r="M313" i="30"/>
  <c r="O313" i="30" s="1"/>
  <c r="J314" i="30"/>
  <c r="M315" i="30"/>
  <c r="O315" i="30" s="1"/>
  <c r="P315" i="30" s="1"/>
  <c r="Q315" i="30" s="1"/>
  <c r="J316" i="30"/>
  <c r="J318" i="30"/>
  <c r="M320" i="30"/>
  <c r="O320" i="30" s="1"/>
  <c r="J321" i="30"/>
  <c r="M322" i="30"/>
  <c r="O322" i="30" s="1"/>
  <c r="P322" i="30" s="1"/>
  <c r="Q322" i="30" s="1"/>
  <c r="J323" i="30"/>
  <c r="M324" i="30"/>
  <c r="O324" i="30" s="1"/>
  <c r="J325" i="30"/>
  <c r="M326" i="30"/>
  <c r="M328" i="30"/>
  <c r="O328" i="30" s="1"/>
  <c r="J330" i="30"/>
  <c r="J343" i="30"/>
  <c r="P400" i="30"/>
  <c r="Q400" i="30" s="1"/>
  <c r="R400" i="30" s="1"/>
  <c r="S400" i="30" s="1"/>
  <c r="T400" i="30" s="1"/>
  <c r="O419" i="30"/>
  <c r="P419" i="30" s="1"/>
  <c r="Q419" i="30" s="1"/>
  <c r="O426" i="30"/>
  <c r="P426" i="30" s="1"/>
  <c r="Q426" i="30" s="1"/>
  <c r="R426" i="30" s="1"/>
  <c r="O438" i="30"/>
  <c r="P438" i="30" s="1"/>
  <c r="Q438" i="30" s="1"/>
  <c r="P442" i="30"/>
  <c r="Q442" i="30" s="1"/>
  <c r="R442" i="30" s="1"/>
  <c r="M478" i="30"/>
  <c r="O478" i="30" s="1"/>
  <c r="P478" i="30" s="1"/>
  <c r="Q478" i="30" s="1"/>
  <c r="M533" i="30"/>
  <c r="O533" i="30" s="1"/>
  <c r="P533" i="30" s="1"/>
  <c r="Q533" i="30" s="1"/>
  <c r="M541" i="30"/>
  <c r="O541" i="30" s="1"/>
  <c r="M561" i="30"/>
  <c r="O561" i="30" s="1"/>
  <c r="P561" i="30" s="1"/>
  <c r="Q561" i="30" s="1"/>
  <c r="M569" i="30"/>
  <c r="O569" i="30" s="1"/>
  <c r="P673" i="30"/>
  <c r="Q673" i="30" s="1"/>
  <c r="P705" i="30"/>
  <c r="Q705" i="30" s="1"/>
  <c r="R705" i="30" s="1"/>
  <c r="P709" i="30"/>
  <c r="Q709" i="30" s="1"/>
  <c r="R709" i="30" s="1"/>
  <c r="P714" i="30"/>
  <c r="Q714" i="30" s="1"/>
  <c r="R714" i="30" s="1"/>
  <c r="S714" i="30" s="1"/>
  <c r="T714" i="30" s="1"/>
  <c r="P728" i="30"/>
  <c r="Q728" i="30" s="1"/>
  <c r="R728" i="30" s="1"/>
  <c r="P742" i="30"/>
  <c r="Q742" i="30" s="1"/>
  <c r="R742" i="30" s="1"/>
  <c r="P748" i="30"/>
  <c r="Q748" i="30" s="1"/>
  <c r="R748" i="30" s="1"/>
  <c r="O507" i="30"/>
  <c r="P507" i="30" s="1"/>
  <c r="Q507" i="30" s="1"/>
  <c r="O518" i="30"/>
  <c r="P518" i="30" s="1"/>
  <c r="Q518" i="30" s="1"/>
  <c r="R518" i="30" s="1"/>
  <c r="P528" i="30"/>
  <c r="Q528" i="30" s="1"/>
  <c r="R528" i="30" s="1"/>
  <c r="S528" i="30" s="1"/>
  <c r="T528" i="30" s="1"/>
  <c r="AE528" i="30" s="1"/>
  <c r="P536" i="30"/>
  <c r="Q536" i="30" s="1"/>
  <c r="R536" i="30" s="1"/>
  <c r="O551" i="30"/>
  <c r="P551" i="30" s="1"/>
  <c r="Q551" i="30" s="1"/>
  <c r="R551" i="30" s="1"/>
  <c r="O556" i="30"/>
  <c r="P556" i="30" s="1"/>
  <c r="Q556" i="30" s="1"/>
  <c r="P564" i="30"/>
  <c r="Q564" i="30" s="1"/>
  <c r="R564" i="30" s="1"/>
  <c r="P579" i="30"/>
  <c r="Q579" i="30" s="1"/>
  <c r="R579" i="30" s="1"/>
  <c r="S579" i="30" s="1"/>
  <c r="T579" i="30" s="1"/>
  <c r="AE579" i="30" s="1"/>
  <c r="O606" i="30"/>
  <c r="P606" i="30" s="1"/>
  <c r="Q606" i="30" s="1"/>
  <c r="R606" i="30" s="1"/>
  <c r="P646" i="30"/>
  <c r="Q646" i="30" s="1"/>
  <c r="R646" i="30" s="1"/>
  <c r="P651" i="30"/>
  <c r="Q651" i="30" s="1"/>
  <c r="O668" i="30"/>
  <c r="P668" i="30" s="1"/>
  <c r="Q668" i="30" s="1"/>
  <c r="R668" i="30" s="1"/>
  <c r="P678" i="30"/>
  <c r="Q678" i="30" s="1"/>
  <c r="R678" i="30" s="1"/>
  <c r="S678" i="30" s="1"/>
  <c r="T678" i="30" s="1"/>
  <c r="O687" i="30"/>
  <c r="P687" i="30" s="1"/>
  <c r="Q687" i="30" s="1"/>
  <c r="R687" i="30" s="1"/>
  <c r="P691" i="30"/>
  <c r="Q691" i="30" s="1"/>
  <c r="R691" i="30" s="1"/>
  <c r="S691" i="30" s="1"/>
  <c r="T691" i="30" s="1"/>
  <c r="AE691" i="30" s="1"/>
  <c r="P696" i="30"/>
  <c r="Q696" i="30" s="1"/>
  <c r="R696" i="30" s="1"/>
  <c r="S696" i="30" s="1"/>
  <c r="T696" i="30" s="1"/>
  <c r="O700" i="30"/>
  <c r="P700" i="30" s="1"/>
  <c r="Q700" i="30" s="1"/>
  <c r="P718" i="30"/>
  <c r="Q718" i="30" s="1"/>
  <c r="R718" i="30" s="1"/>
  <c r="P733" i="30"/>
  <c r="Q733" i="30" s="1"/>
  <c r="R733" i="30" s="1"/>
  <c r="S733" i="30" s="1"/>
  <c r="T733" i="30" s="1"/>
  <c r="P738" i="30"/>
  <c r="Q738" i="30" s="1"/>
  <c r="R738" i="30" s="1"/>
  <c r="P813" i="30"/>
  <c r="Q813" i="30" s="1"/>
  <c r="R813" i="30" s="1"/>
  <c r="P817" i="30"/>
  <c r="Q817" i="30" s="1"/>
  <c r="R817" i="30" s="1"/>
  <c r="S817" i="30" s="1"/>
  <c r="T817" i="30" s="1"/>
  <c r="J309" i="30"/>
  <c r="M309" i="30"/>
  <c r="O309" i="30" s="1"/>
  <c r="J298" i="30"/>
  <c r="J301" i="30"/>
  <c r="J305" i="30"/>
  <c r="J282" i="30"/>
  <c r="J285" i="30"/>
  <c r="J289" i="30"/>
  <c r="J293" i="30"/>
  <c r="J272" i="30"/>
  <c r="J276" i="30"/>
  <c r="J280" i="30"/>
  <c r="J254" i="30"/>
  <c r="M256" i="30"/>
  <c r="O256" i="30" s="1"/>
  <c r="J257" i="30"/>
  <c r="M258" i="30"/>
  <c r="O258" i="30" s="1"/>
  <c r="P258" i="30" s="1"/>
  <c r="Q258" i="30" s="1"/>
  <c r="J259" i="30"/>
  <c r="M260" i="30"/>
  <c r="O260" i="30" s="1"/>
  <c r="J261" i="30"/>
  <c r="M262" i="30"/>
  <c r="O262" i="30" s="1"/>
  <c r="J263" i="30"/>
  <c r="M264" i="30"/>
  <c r="O264" i="30" s="1"/>
  <c r="J265" i="30"/>
  <c r="M266" i="30"/>
  <c r="O266" i="30" s="1"/>
  <c r="P266" i="30" s="1"/>
  <c r="Q266" i="30" s="1"/>
  <c r="J241" i="30"/>
  <c r="M241" i="30"/>
  <c r="O241" i="30" s="1"/>
  <c r="J226" i="30"/>
  <c r="J229" i="30"/>
  <c r="J233" i="30"/>
  <c r="J237" i="30"/>
  <c r="J212" i="30"/>
  <c r="J216" i="30"/>
  <c r="J220" i="30"/>
  <c r="J191" i="30"/>
  <c r="J194" i="30"/>
  <c r="J198" i="30"/>
  <c r="J202" i="30"/>
  <c r="J177" i="30"/>
  <c r="J181" i="30"/>
  <c r="J156" i="30"/>
  <c r="J160" i="30"/>
  <c r="J164" i="30"/>
  <c r="J136" i="30"/>
  <c r="M137" i="30"/>
  <c r="O137" i="30" s="1"/>
  <c r="J138" i="30"/>
  <c r="M139" i="30"/>
  <c r="O139" i="30" s="1"/>
  <c r="P139" i="30" s="1"/>
  <c r="J140" i="30"/>
  <c r="M141" i="30"/>
  <c r="O141" i="30" s="1"/>
  <c r="P141" i="30" s="1"/>
  <c r="J142" i="30"/>
  <c r="M143" i="30"/>
  <c r="O143" i="30" s="1"/>
  <c r="P143" i="30" s="1"/>
  <c r="J144" i="30"/>
  <c r="M145" i="30"/>
  <c r="O145" i="30" s="1"/>
  <c r="P145" i="30" s="1"/>
  <c r="J146" i="30"/>
  <c r="J332" i="30"/>
  <c r="J336" i="30"/>
  <c r="J382" i="30"/>
  <c r="J385" i="30"/>
  <c r="M374" i="30"/>
  <c r="O374" i="30" s="1"/>
  <c r="P374" i="30" s="1"/>
  <c r="Q374" i="30" s="1"/>
  <c r="J376" i="30"/>
  <c r="J380" i="30"/>
  <c r="J366" i="30"/>
  <c r="M368" i="30"/>
  <c r="O368" i="30" s="1"/>
  <c r="J369" i="30"/>
  <c r="M370" i="30"/>
  <c r="O370" i="30" s="1"/>
  <c r="P370" i="30" s="1"/>
  <c r="Q370" i="30" s="1"/>
  <c r="J371" i="30"/>
  <c r="M372" i="30"/>
  <c r="O372" i="30" s="1"/>
  <c r="J360" i="30"/>
  <c r="M361" i="30"/>
  <c r="O361" i="30" s="1"/>
  <c r="J362" i="30"/>
  <c r="M363" i="30"/>
  <c r="O363" i="30" s="1"/>
  <c r="P363" i="30" s="1"/>
  <c r="Q363" i="30" s="1"/>
  <c r="J364" i="30"/>
  <c r="J338" i="30"/>
  <c r="J341" i="30"/>
  <c r="J345" i="30"/>
  <c r="J350" i="30"/>
  <c r="J353" i="30"/>
  <c r="O136" i="30"/>
  <c r="P136" i="30" s="1"/>
  <c r="O138" i="30"/>
  <c r="P138" i="30" s="1"/>
  <c r="O140" i="30"/>
  <c r="P140" i="30" s="1"/>
  <c r="O142" i="30"/>
  <c r="P142" i="30" s="1"/>
  <c r="O144" i="30"/>
  <c r="P144" i="30" s="1"/>
  <c r="O146" i="30"/>
  <c r="P146" i="30" s="1"/>
  <c r="M153" i="30"/>
  <c r="M155" i="30"/>
  <c r="M157" i="30"/>
  <c r="M159" i="30"/>
  <c r="M161" i="30"/>
  <c r="M163" i="30"/>
  <c r="M165" i="30"/>
  <c r="M174" i="30"/>
  <c r="M176" i="30"/>
  <c r="M178" i="30"/>
  <c r="O181" i="30"/>
  <c r="P181" i="30" s="1"/>
  <c r="J182" i="30"/>
  <c r="M182" i="30"/>
  <c r="J193" i="30"/>
  <c r="M193" i="30"/>
  <c r="O196" i="30"/>
  <c r="P196" i="30" s="1"/>
  <c r="J197" i="30"/>
  <c r="M197" i="30"/>
  <c r="O200" i="30"/>
  <c r="P200" i="30" s="1"/>
  <c r="Q200" i="30" s="1"/>
  <c r="J201" i="30"/>
  <c r="M201" i="30"/>
  <c r="O212" i="30"/>
  <c r="P212" i="30" s="1"/>
  <c r="Q212" i="30" s="1"/>
  <c r="J213" i="30"/>
  <c r="M213" i="30"/>
  <c r="O216" i="30"/>
  <c r="P216" i="30" s="1"/>
  <c r="J217" i="30"/>
  <c r="M217" i="30"/>
  <c r="O220" i="30"/>
  <c r="P220" i="30" s="1"/>
  <c r="Q220" i="30" s="1"/>
  <c r="J221" i="30"/>
  <c r="M221" i="30"/>
  <c r="O231" i="30"/>
  <c r="P231" i="30" s="1"/>
  <c r="O235" i="30"/>
  <c r="P235" i="30" s="1"/>
  <c r="Q235" i="30" s="1"/>
  <c r="O272" i="30"/>
  <c r="P272" i="30" s="1"/>
  <c r="Q272" i="30" s="1"/>
  <c r="O276" i="30"/>
  <c r="P276" i="30" s="1"/>
  <c r="O280" i="30"/>
  <c r="P280" i="30" s="1"/>
  <c r="Q280" i="30" s="1"/>
  <c r="O287" i="30"/>
  <c r="P287" i="30" s="1"/>
  <c r="O291" i="30"/>
  <c r="P291" i="30" s="1"/>
  <c r="Q291" i="30" s="1"/>
  <c r="O298" i="30"/>
  <c r="P298" i="30" s="1"/>
  <c r="J302" i="30"/>
  <c r="M302" i="30"/>
  <c r="J306" i="30"/>
  <c r="M306" i="30"/>
  <c r="J331" i="30"/>
  <c r="M331" i="30"/>
  <c r="J335" i="30"/>
  <c r="M335" i="30"/>
  <c r="O338" i="30"/>
  <c r="P338" i="30" s="1"/>
  <c r="Q338" i="30" s="1"/>
  <c r="J342" i="30"/>
  <c r="M342" i="30"/>
  <c r="J346" i="30"/>
  <c r="M346" i="30"/>
  <c r="J352" i="30"/>
  <c r="M352" i="30"/>
  <c r="J356" i="30"/>
  <c r="M356" i="30"/>
  <c r="J377" i="30"/>
  <c r="M377" i="30"/>
  <c r="J384" i="30"/>
  <c r="M384" i="30"/>
  <c r="J388" i="30"/>
  <c r="M388" i="30"/>
  <c r="O154" i="30"/>
  <c r="O156" i="30"/>
  <c r="O158" i="30"/>
  <c r="O160" i="30"/>
  <c r="O162" i="30"/>
  <c r="O164" i="30"/>
  <c r="O172" i="30"/>
  <c r="P172" i="30" s="1"/>
  <c r="O175" i="30"/>
  <c r="P175" i="30" s="1"/>
  <c r="O177" i="30"/>
  <c r="P177" i="30" s="1"/>
  <c r="O179" i="30"/>
  <c r="P179" i="30" s="1"/>
  <c r="J180" i="30"/>
  <c r="M180" i="30"/>
  <c r="O183" i="30"/>
  <c r="P183" i="30" s="1"/>
  <c r="Q183" i="30" s="1"/>
  <c r="J184" i="30"/>
  <c r="M184" i="30"/>
  <c r="O191" i="30"/>
  <c r="P191" i="30" s="1"/>
  <c r="Q191" i="30" s="1"/>
  <c r="M192" i="30"/>
  <c r="J192" i="30"/>
  <c r="O194" i="30"/>
  <c r="P194" i="30" s="1"/>
  <c r="J195" i="30"/>
  <c r="M195" i="30"/>
  <c r="O198" i="30"/>
  <c r="P198" i="30" s="1"/>
  <c r="Q198" i="30" s="1"/>
  <c r="J199" i="30"/>
  <c r="M199" i="30"/>
  <c r="O202" i="30"/>
  <c r="P202" i="30" s="1"/>
  <c r="J203" i="30"/>
  <c r="M203" i="30"/>
  <c r="O210" i="30"/>
  <c r="P210" i="30" s="1"/>
  <c r="J211" i="30"/>
  <c r="M211" i="30"/>
  <c r="O214" i="30"/>
  <c r="P214" i="30" s="1"/>
  <c r="Q214" i="30" s="1"/>
  <c r="J215" i="30"/>
  <c r="M215" i="30"/>
  <c r="O218" i="30"/>
  <c r="P218" i="30" s="1"/>
  <c r="J219" i="30"/>
  <c r="M219" i="30"/>
  <c r="O222" i="30"/>
  <c r="P222" i="30" s="1"/>
  <c r="Q222" i="30" s="1"/>
  <c r="O226" i="30"/>
  <c r="P226" i="30" s="1"/>
  <c r="M227" i="30"/>
  <c r="J227" i="30"/>
  <c r="J228" i="30"/>
  <c r="M228" i="30"/>
  <c r="J232" i="30"/>
  <c r="M232" i="30"/>
  <c r="J236" i="30"/>
  <c r="M236" i="30"/>
  <c r="J269" i="30"/>
  <c r="M269" i="30"/>
  <c r="J273" i="30"/>
  <c r="M273" i="30"/>
  <c r="J277" i="30"/>
  <c r="M277" i="30"/>
  <c r="J284" i="30"/>
  <c r="M284" i="30"/>
  <c r="J288" i="30"/>
  <c r="M288" i="30"/>
  <c r="J292" i="30"/>
  <c r="M292" i="30"/>
  <c r="M299" i="30"/>
  <c r="J299" i="30"/>
  <c r="O301" i="30"/>
  <c r="O305" i="30"/>
  <c r="P305" i="30" s="1"/>
  <c r="Q305" i="30" s="1"/>
  <c r="J308" i="30"/>
  <c r="M308" i="30"/>
  <c r="O330" i="30"/>
  <c r="O334" i="30"/>
  <c r="P334" i="30" s="1"/>
  <c r="Q334" i="30" s="1"/>
  <c r="M339" i="30"/>
  <c r="J339" i="30"/>
  <c r="O341" i="30"/>
  <c r="O345" i="30"/>
  <c r="P345" i="30" s="1"/>
  <c r="O355" i="30"/>
  <c r="J358" i="30"/>
  <c r="M358" i="30"/>
  <c r="O376" i="30"/>
  <c r="P376" i="30" s="1"/>
  <c r="O380" i="30"/>
  <c r="P380" i="30" s="1"/>
  <c r="Q380" i="30" s="1"/>
  <c r="O387" i="30"/>
  <c r="P387" i="30" s="1"/>
  <c r="O229" i="30"/>
  <c r="P229" i="30" s="1"/>
  <c r="Q229" i="30" s="1"/>
  <c r="J230" i="30"/>
  <c r="M230" i="30"/>
  <c r="O233" i="30"/>
  <c r="P233" i="30" s="1"/>
  <c r="J234" i="30"/>
  <c r="M234" i="30"/>
  <c r="O237" i="30"/>
  <c r="P237" i="30" s="1"/>
  <c r="Q237" i="30" s="1"/>
  <c r="J238" i="30"/>
  <c r="M238" i="30"/>
  <c r="J240" i="30"/>
  <c r="M240" i="30"/>
  <c r="O270" i="30"/>
  <c r="P270" i="30" s="1"/>
  <c r="J271" i="30"/>
  <c r="M271" i="30"/>
  <c r="O274" i="30"/>
  <c r="P274" i="30" s="1"/>
  <c r="Q274" i="30" s="1"/>
  <c r="J275" i="30"/>
  <c r="M275" i="30"/>
  <c r="O278" i="30"/>
  <c r="P278" i="30" s="1"/>
  <c r="J279" i="30"/>
  <c r="M279" i="30"/>
  <c r="O282" i="30"/>
  <c r="P282" i="30" s="1"/>
  <c r="Q282" i="30" s="1"/>
  <c r="M283" i="30"/>
  <c r="J283" i="30"/>
  <c r="O285" i="30"/>
  <c r="P285" i="30" s="1"/>
  <c r="Q285" i="30" s="1"/>
  <c r="J286" i="30"/>
  <c r="M286" i="30"/>
  <c r="O289" i="30"/>
  <c r="J290" i="30"/>
  <c r="M290" i="30"/>
  <c r="O293" i="30"/>
  <c r="P293" i="30" s="1"/>
  <c r="J294" i="30"/>
  <c r="M294" i="30"/>
  <c r="J300" i="30"/>
  <c r="M300" i="30"/>
  <c r="O303" i="30"/>
  <c r="J304" i="30"/>
  <c r="M304" i="30"/>
  <c r="J329" i="30"/>
  <c r="M329" i="30"/>
  <c r="O332" i="30"/>
  <c r="J333" i="30"/>
  <c r="M333" i="30"/>
  <c r="O336" i="30"/>
  <c r="P336" i="30" s="1"/>
  <c r="J340" i="30"/>
  <c r="M340" i="30"/>
  <c r="O343" i="30"/>
  <c r="J344" i="30"/>
  <c r="M344" i="30"/>
  <c r="O350" i="30"/>
  <c r="P350" i="30" s="1"/>
  <c r="M351" i="30"/>
  <c r="J351" i="30"/>
  <c r="O353" i="30"/>
  <c r="P353" i="30" s="1"/>
  <c r="Q353" i="30" s="1"/>
  <c r="J354" i="30"/>
  <c r="M354" i="30"/>
  <c r="J375" i="30"/>
  <c r="M375" i="30"/>
  <c r="O378" i="30"/>
  <c r="P378" i="30" s="1"/>
  <c r="Q378" i="30" s="1"/>
  <c r="J379" i="30"/>
  <c r="M379" i="30"/>
  <c r="O382" i="30"/>
  <c r="P382" i="30" s="1"/>
  <c r="M383" i="30"/>
  <c r="J383" i="30"/>
  <c r="O385" i="30"/>
  <c r="P385" i="30" s="1"/>
  <c r="Q385" i="30" s="1"/>
  <c r="J386" i="30"/>
  <c r="M386" i="30"/>
  <c r="O545" i="30"/>
  <c r="O559" i="30"/>
  <c r="M576" i="30"/>
  <c r="J576" i="30"/>
  <c r="O604" i="30"/>
  <c r="P604" i="30" s="1"/>
  <c r="Q604" i="30" s="1"/>
  <c r="O624" i="30"/>
  <c r="M629" i="30"/>
  <c r="J629" i="30"/>
  <c r="M632" i="30"/>
  <c r="J632" i="30"/>
  <c r="O647" i="30"/>
  <c r="P647" i="30" s="1"/>
  <c r="Q647" i="30" s="1"/>
  <c r="O683" i="30"/>
  <c r="O692" i="30"/>
  <c r="O701" i="30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1" i="30"/>
  <c r="P321" i="30" s="1"/>
  <c r="O323" i="30"/>
  <c r="P323" i="30" s="1"/>
  <c r="O325" i="30"/>
  <c r="P325" i="30" s="1"/>
  <c r="O360" i="30"/>
  <c r="P360" i="30" s="1"/>
  <c r="O362" i="30"/>
  <c r="P362" i="30" s="1"/>
  <c r="O364" i="30"/>
  <c r="P364" i="30" s="1"/>
  <c r="O366" i="30"/>
  <c r="P366" i="30" s="1"/>
  <c r="O369" i="30"/>
  <c r="P369" i="30" s="1"/>
  <c r="O371" i="30"/>
  <c r="P371" i="30" s="1"/>
  <c r="P398" i="30"/>
  <c r="Q398" i="30" s="1"/>
  <c r="O399" i="30"/>
  <c r="P399" i="30" s="1"/>
  <c r="P402" i="30"/>
  <c r="Q402" i="30" s="1"/>
  <c r="O407" i="30"/>
  <c r="P407" i="30" s="1"/>
  <c r="O418" i="30"/>
  <c r="P418" i="30" s="1"/>
  <c r="P421" i="30"/>
  <c r="Q421" i="30" s="1"/>
  <c r="O427" i="30"/>
  <c r="P427" i="30" s="1"/>
  <c r="Q427" i="30" s="1"/>
  <c r="O497" i="30"/>
  <c r="P497" i="30" s="1"/>
  <c r="Q497" i="30" s="1"/>
  <c r="O508" i="30"/>
  <c r="O539" i="30"/>
  <c r="P539" i="30" s="1"/>
  <c r="Q539" i="30" s="1"/>
  <c r="O552" i="30"/>
  <c r="P552" i="30" s="1"/>
  <c r="Q552" i="30" s="1"/>
  <c r="O567" i="30"/>
  <c r="P567" i="30" s="1"/>
  <c r="Q567" i="30" s="1"/>
  <c r="M577" i="30"/>
  <c r="J577" i="30"/>
  <c r="O580" i="30"/>
  <c r="P580" i="30" s="1"/>
  <c r="Q580" i="30" s="1"/>
  <c r="M611" i="30"/>
  <c r="J611" i="30"/>
  <c r="M630" i="30"/>
  <c r="J630" i="30"/>
  <c r="M633" i="30"/>
  <c r="O710" i="30"/>
  <c r="P710" i="30" s="1"/>
  <c r="Q710" i="30" s="1"/>
  <c r="O720" i="30"/>
  <c r="P720" i="30" s="1"/>
  <c r="Q720" i="30" s="1"/>
  <c r="O729" i="30"/>
  <c r="P729" i="30" s="1"/>
  <c r="Q729" i="30" s="1"/>
  <c r="O824" i="30"/>
  <c r="O401" i="30"/>
  <c r="P401" i="30" s="1"/>
  <c r="Q401" i="30" s="1"/>
  <c r="O410" i="30"/>
  <c r="P410" i="30" s="1"/>
  <c r="Q410" i="30" s="1"/>
  <c r="O416" i="30"/>
  <c r="P416" i="30" s="1"/>
  <c r="Q416" i="30" s="1"/>
  <c r="O420" i="30"/>
  <c r="P420" i="30" s="1"/>
  <c r="Q420" i="30" s="1"/>
  <c r="O423" i="30"/>
  <c r="P423" i="30" s="1"/>
  <c r="Q423" i="30" s="1"/>
  <c r="O431" i="30"/>
  <c r="O432" i="30"/>
  <c r="P432" i="30" s="1"/>
  <c r="Q432" i="30" s="1"/>
  <c r="O433" i="30"/>
  <c r="O434" i="30"/>
  <c r="P434" i="30" s="1"/>
  <c r="Q434" i="30" s="1"/>
  <c r="O435" i="30"/>
  <c r="M453" i="30"/>
  <c r="J453" i="30"/>
  <c r="O504" i="30"/>
  <c r="P504" i="30" s="1"/>
  <c r="Q504" i="30" s="1"/>
  <c r="O512" i="30"/>
  <c r="P512" i="30" s="1"/>
  <c r="Q512" i="30" s="1"/>
  <c r="O531" i="30"/>
  <c r="P531" i="30" s="1"/>
  <c r="O425" i="30"/>
  <c r="P425" i="30" s="1"/>
  <c r="O429" i="30"/>
  <c r="P429" i="30" s="1"/>
  <c r="P436" i="30"/>
  <c r="Q436" i="30" s="1"/>
  <c r="O437" i="30"/>
  <c r="P437" i="30" s="1"/>
  <c r="P440" i="30"/>
  <c r="Q440" i="30" s="1"/>
  <c r="O441" i="30"/>
  <c r="P441" i="30" s="1"/>
  <c r="P450" i="30"/>
  <c r="Q450" i="30" s="1"/>
  <c r="M488" i="30"/>
  <c r="P490" i="30"/>
  <c r="Q490" i="30" s="1"/>
  <c r="P499" i="30"/>
  <c r="Q499" i="30" s="1"/>
  <c r="O500" i="30"/>
  <c r="P500" i="30" s="1"/>
  <c r="P505" i="30"/>
  <c r="Q505" i="30" s="1"/>
  <c r="O506" i="30"/>
  <c r="P506" i="30" s="1"/>
  <c r="P509" i="30"/>
  <c r="Q509" i="30" s="1"/>
  <c r="O510" i="30"/>
  <c r="P510" i="30" s="1"/>
  <c r="P514" i="30"/>
  <c r="Q514" i="30" s="1"/>
  <c r="P525" i="30"/>
  <c r="Q525" i="30" s="1"/>
  <c r="M529" i="30"/>
  <c r="J529" i="30"/>
  <c r="M530" i="30"/>
  <c r="J530" i="30"/>
  <c r="M537" i="30"/>
  <c r="J537" i="30"/>
  <c r="M538" i="30"/>
  <c r="J538" i="30"/>
  <c r="O543" i="30"/>
  <c r="P543" i="30" s="1"/>
  <c r="P549" i="30"/>
  <c r="Q549" i="30" s="1"/>
  <c r="P553" i="30"/>
  <c r="Q553" i="30" s="1"/>
  <c r="M557" i="30"/>
  <c r="J557" i="30"/>
  <c r="M558" i="30"/>
  <c r="J558" i="30"/>
  <c r="M565" i="30"/>
  <c r="J565" i="30"/>
  <c r="M566" i="30"/>
  <c r="J566" i="30"/>
  <c r="P575" i="30"/>
  <c r="Q575" i="30" s="1"/>
  <c r="M607" i="30"/>
  <c r="J607" i="30"/>
  <c r="P610" i="30"/>
  <c r="Q610" i="30" s="1"/>
  <c r="O613" i="30"/>
  <c r="P613" i="30" s="1"/>
  <c r="O617" i="30"/>
  <c r="P617" i="30" s="1"/>
  <c r="P628" i="30"/>
  <c r="Q628" i="30" s="1"/>
  <c r="O652" i="30"/>
  <c r="P652" i="30" s="1"/>
  <c r="Q652" i="30" s="1"/>
  <c r="O670" i="30"/>
  <c r="P670" i="30" s="1"/>
  <c r="Q670" i="30" s="1"/>
  <c r="O679" i="30"/>
  <c r="P679" i="30" s="1"/>
  <c r="Q679" i="30" s="1"/>
  <c r="O688" i="30"/>
  <c r="P688" i="30" s="1"/>
  <c r="Q688" i="30" s="1"/>
  <c r="O697" i="30"/>
  <c r="P697" i="30" s="1"/>
  <c r="Q697" i="30" s="1"/>
  <c r="O724" i="30"/>
  <c r="P724" i="30" s="1"/>
  <c r="Q724" i="30" s="1"/>
  <c r="O734" i="30"/>
  <c r="O744" i="30"/>
  <c r="O645" i="30"/>
  <c r="P645" i="30" s="1"/>
  <c r="P653" i="30"/>
  <c r="Q653" i="30" s="1"/>
  <c r="O654" i="30"/>
  <c r="P654" i="30" s="1"/>
  <c r="O667" i="30"/>
  <c r="P667" i="30" s="1"/>
  <c r="P671" i="30"/>
  <c r="Q671" i="30" s="1"/>
  <c r="O672" i="30"/>
  <c r="P672" i="30" s="1"/>
  <c r="P675" i="30"/>
  <c r="Q675" i="30" s="1"/>
  <c r="O676" i="30"/>
  <c r="P676" i="30" s="1"/>
  <c r="P680" i="30"/>
  <c r="Q680" i="30" s="1"/>
  <c r="O681" i="30"/>
  <c r="P681" i="30" s="1"/>
  <c r="P684" i="30"/>
  <c r="Q684" i="30" s="1"/>
  <c r="O686" i="30"/>
  <c r="P686" i="30" s="1"/>
  <c r="P689" i="30"/>
  <c r="Q689" i="30" s="1"/>
  <c r="P693" i="30"/>
  <c r="Q693" i="30" s="1"/>
  <c r="O695" i="30"/>
  <c r="P695" i="30" s="1"/>
  <c r="O699" i="30"/>
  <c r="P699" i="30" s="1"/>
  <c r="P703" i="30"/>
  <c r="Q703" i="30" s="1"/>
  <c r="O704" i="30"/>
  <c r="P704" i="30" s="1"/>
  <c r="O708" i="30"/>
  <c r="P708" i="30" s="1"/>
  <c r="P712" i="30"/>
  <c r="Q712" i="30" s="1"/>
  <c r="O713" i="30"/>
  <c r="P713" i="30" s="1"/>
  <c r="P716" i="30"/>
  <c r="Q716" i="30" s="1"/>
  <c r="O717" i="30"/>
  <c r="P717" i="30" s="1"/>
  <c r="P721" i="30"/>
  <c r="Q721" i="30" s="1"/>
  <c r="O722" i="30"/>
  <c r="P722" i="30" s="1"/>
  <c r="P725" i="30"/>
  <c r="Q725" i="30" s="1"/>
  <c r="O726" i="30"/>
  <c r="P726" i="30" s="1"/>
  <c r="P730" i="30"/>
  <c r="Q730" i="30" s="1"/>
  <c r="O814" i="30"/>
  <c r="P814" i="30" s="1"/>
  <c r="Q814" i="30" s="1"/>
  <c r="O732" i="30"/>
  <c r="P732" i="30" s="1"/>
  <c r="P735" i="30"/>
  <c r="Q735" i="30" s="1"/>
  <c r="O737" i="30"/>
  <c r="P737" i="30" s="1"/>
  <c r="P740" i="30"/>
  <c r="Q740" i="30" s="1"/>
  <c r="O741" i="30"/>
  <c r="P741" i="30" s="1"/>
  <c r="P745" i="30"/>
  <c r="Q745" i="30" s="1"/>
  <c r="O746" i="30"/>
  <c r="P746" i="30" s="1"/>
  <c r="O818" i="30"/>
  <c r="P815" i="30"/>
  <c r="Q815" i="30" s="1"/>
  <c r="O816" i="30"/>
  <c r="P816" i="30" s="1"/>
  <c r="P825" i="30"/>
  <c r="Q825" i="30" s="1"/>
  <c r="P838" i="30"/>
  <c r="Q838" i="30" s="1"/>
  <c r="U733" i="30" l="1"/>
  <c r="AE733" i="30"/>
  <c r="U678" i="30"/>
  <c r="AE678" i="30"/>
  <c r="U714" i="30"/>
  <c r="AE714" i="30"/>
  <c r="U817" i="30"/>
  <c r="AE817" i="30"/>
  <c r="U696" i="30"/>
  <c r="AE696" i="30"/>
  <c r="U400" i="30"/>
  <c r="AE400" i="30"/>
  <c r="M135" i="30"/>
  <c r="O135" i="30" s="1"/>
  <c r="P135" i="30" s="1"/>
  <c r="M359" i="30"/>
  <c r="O359" i="30" s="1"/>
  <c r="P359" i="30" s="1"/>
  <c r="Q359" i="30" s="1"/>
  <c r="R359" i="30" s="1"/>
  <c r="S359" i="30" s="1"/>
  <c r="J367" i="30"/>
  <c r="J255" i="30"/>
  <c r="M224" i="30"/>
  <c r="O224" i="30" s="1"/>
  <c r="P224" i="30" s="1"/>
  <c r="Q224" i="30" s="1"/>
  <c r="J173" i="30"/>
  <c r="J390" i="30"/>
  <c r="M348" i="30"/>
  <c r="J319" i="30"/>
  <c r="M296" i="30"/>
  <c r="S742" i="30"/>
  <c r="T742" i="30" s="1"/>
  <c r="Q667" i="30"/>
  <c r="R667" i="30" s="1"/>
  <c r="S667" i="30" s="1"/>
  <c r="Q654" i="30"/>
  <c r="R654" i="30" s="1"/>
  <c r="S536" i="30"/>
  <c r="T536" i="30" s="1"/>
  <c r="AE536" i="30" s="1"/>
  <c r="S748" i="30"/>
  <c r="T748" i="30" s="1"/>
  <c r="Q741" i="30"/>
  <c r="R741" i="30" s="1"/>
  <c r="R673" i="30"/>
  <c r="S673" i="30" s="1"/>
  <c r="T673" i="30" s="1"/>
  <c r="O326" i="30"/>
  <c r="P326" i="30" s="1"/>
  <c r="Q326" i="30" s="1"/>
  <c r="R326" i="30" s="1"/>
  <c r="S326" i="30" s="1"/>
  <c r="R651" i="30"/>
  <c r="S651" i="30" s="1"/>
  <c r="T651" i="30" s="1"/>
  <c r="Q713" i="30"/>
  <c r="R713" i="30" s="1"/>
  <c r="Q699" i="30"/>
  <c r="R699" i="30" s="1"/>
  <c r="S699" i="30" s="1"/>
  <c r="Q695" i="30"/>
  <c r="R695" i="30" s="1"/>
  <c r="Q686" i="30"/>
  <c r="R686" i="30" s="1"/>
  <c r="S686" i="30" s="1"/>
  <c r="Q581" i="30"/>
  <c r="R581" i="30" s="1"/>
  <c r="R700" i="30"/>
  <c r="S700" i="30" s="1"/>
  <c r="T700" i="30" s="1"/>
  <c r="R556" i="30"/>
  <c r="S556" i="30" s="1"/>
  <c r="T556" i="30" s="1"/>
  <c r="R438" i="30"/>
  <c r="S438" i="30" s="1"/>
  <c r="T438" i="30" s="1"/>
  <c r="R419" i="30"/>
  <c r="S419" i="30" s="1"/>
  <c r="T419" i="30" s="1"/>
  <c r="R507" i="30"/>
  <c r="S507" i="30" s="1"/>
  <c r="T507" i="30" s="1"/>
  <c r="Q816" i="30"/>
  <c r="R816" i="30" s="1"/>
  <c r="S816" i="30" s="1"/>
  <c r="Q732" i="30"/>
  <c r="R732" i="30" s="1"/>
  <c r="S732" i="30" s="1"/>
  <c r="Q722" i="30"/>
  <c r="R722" i="30" s="1"/>
  <c r="S722" i="30" s="1"/>
  <c r="Q676" i="30"/>
  <c r="R676" i="30" s="1"/>
  <c r="Q645" i="30"/>
  <c r="R645" i="30" s="1"/>
  <c r="S645" i="30" s="1"/>
  <c r="Q506" i="30"/>
  <c r="R506" i="30" s="1"/>
  <c r="S506" i="30" s="1"/>
  <c r="Q437" i="30"/>
  <c r="R437" i="30" s="1"/>
  <c r="Q531" i="30"/>
  <c r="R531" i="30" s="1"/>
  <c r="Q399" i="30"/>
  <c r="R399" i="30" s="1"/>
  <c r="S399" i="30" s="1"/>
  <c r="P262" i="30"/>
  <c r="Q262" i="30" s="1"/>
  <c r="R262" i="30" s="1"/>
  <c r="S262" i="30" s="1"/>
  <c r="Q177" i="30"/>
  <c r="R177" i="30" s="1"/>
  <c r="Q175" i="30"/>
  <c r="R175" i="30" s="1"/>
  <c r="Q173" i="30"/>
  <c r="R173" i="30" s="1"/>
  <c r="Q172" i="30"/>
  <c r="R172" i="30" s="1"/>
  <c r="S172" i="30" s="1"/>
  <c r="T172" i="30" s="1"/>
  <c r="P137" i="30"/>
  <c r="Q137" i="30" s="1"/>
  <c r="R137" i="30" s="1"/>
  <c r="R815" i="30"/>
  <c r="R745" i="30"/>
  <c r="S745" i="30" s="1"/>
  <c r="T745" i="30" s="1"/>
  <c r="R814" i="30"/>
  <c r="S814" i="30" s="1"/>
  <c r="T814" i="30" s="1"/>
  <c r="R721" i="30"/>
  <c r="S721" i="30" s="1"/>
  <c r="T721" i="30" s="1"/>
  <c r="R716" i="30"/>
  <c r="R703" i="30"/>
  <c r="S703" i="30" s="1"/>
  <c r="T703" i="30" s="1"/>
  <c r="R689" i="30"/>
  <c r="R675" i="30"/>
  <c r="S675" i="30" s="1"/>
  <c r="T675" i="30" s="1"/>
  <c r="AE675" i="30" s="1"/>
  <c r="R671" i="30"/>
  <c r="R575" i="30"/>
  <c r="S575" i="30" s="1"/>
  <c r="T575" i="30" s="1"/>
  <c r="AE575" i="30" s="1"/>
  <c r="R549" i="30"/>
  <c r="R514" i="30"/>
  <c r="S514" i="30" s="1"/>
  <c r="T514" i="30" s="1"/>
  <c r="R509" i="30"/>
  <c r="R499" i="30"/>
  <c r="S499" i="30" s="1"/>
  <c r="T499" i="30" s="1"/>
  <c r="R490" i="30"/>
  <c r="R450" i="30"/>
  <c r="S450" i="30" s="1"/>
  <c r="T450" i="30" s="1"/>
  <c r="AE450" i="30" s="1"/>
  <c r="R440" i="30"/>
  <c r="R434" i="30"/>
  <c r="S434" i="30" s="1"/>
  <c r="T434" i="30" s="1"/>
  <c r="R423" i="30"/>
  <c r="S423" i="30" s="1"/>
  <c r="T423" i="30" s="1"/>
  <c r="AE423" i="30" s="1"/>
  <c r="R420" i="30"/>
  <c r="S420" i="30" s="1"/>
  <c r="R410" i="30"/>
  <c r="S410" i="30" s="1"/>
  <c r="R729" i="30"/>
  <c r="S729" i="30" s="1"/>
  <c r="T729" i="30" s="1"/>
  <c r="R710" i="30"/>
  <c r="S710" i="30" s="1"/>
  <c r="T710" i="30" s="1"/>
  <c r="R567" i="30"/>
  <c r="S567" i="30" s="1"/>
  <c r="T567" i="30" s="1"/>
  <c r="R552" i="30"/>
  <c r="R502" i="30"/>
  <c r="R497" i="30"/>
  <c r="S497" i="30" s="1"/>
  <c r="T497" i="30" s="1"/>
  <c r="AE497" i="30" s="1"/>
  <c r="R478" i="30"/>
  <c r="R427" i="30"/>
  <c r="S427" i="30" s="1"/>
  <c r="T427" i="30" s="1"/>
  <c r="R421" i="30"/>
  <c r="S421" i="30" s="1"/>
  <c r="T421" i="30" s="1"/>
  <c r="R402" i="30"/>
  <c r="R647" i="30"/>
  <c r="R604" i="30"/>
  <c r="R561" i="30"/>
  <c r="S561" i="30" s="1"/>
  <c r="T561" i="30" s="1"/>
  <c r="R533" i="30"/>
  <c r="S533" i="30" s="1"/>
  <c r="U528" i="30"/>
  <c r="R374" i="30"/>
  <c r="S374" i="30" s="1"/>
  <c r="T374" i="30" s="1"/>
  <c r="R363" i="30"/>
  <c r="S363" i="30" s="1"/>
  <c r="R322" i="30"/>
  <c r="R311" i="30"/>
  <c r="R285" i="30"/>
  <c r="S285" i="30" s="1"/>
  <c r="T285" i="30" s="1"/>
  <c r="R334" i="30"/>
  <c r="R305" i="30"/>
  <c r="S305" i="30" s="1"/>
  <c r="T305" i="30" s="1"/>
  <c r="R266" i="30"/>
  <c r="S266" i="30" s="1"/>
  <c r="R258" i="30"/>
  <c r="S258" i="30" s="1"/>
  <c r="T258" i="30" s="1"/>
  <c r="R247" i="30"/>
  <c r="S247" i="30" s="1"/>
  <c r="R268" i="30"/>
  <c r="S268" i="30" s="1"/>
  <c r="T268" i="30" s="1"/>
  <c r="R235" i="30"/>
  <c r="S235" i="30" s="1"/>
  <c r="T235" i="30" s="1"/>
  <c r="R220" i="30"/>
  <c r="R212" i="30"/>
  <c r="S212" i="30" s="1"/>
  <c r="T212" i="30" s="1"/>
  <c r="R200" i="30"/>
  <c r="R825" i="30"/>
  <c r="R735" i="30"/>
  <c r="R730" i="30"/>
  <c r="R725" i="30"/>
  <c r="S725" i="30" s="1"/>
  <c r="T725" i="30" s="1"/>
  <c r="R712" i="30"/>
  <c r="R693" i="30"/>
  <c r="S693" i="30" s="1"/>
  <c r="T693" i="30" s="1"/>
  <c r="R684" i="30"/>
  <c r="R680" i="30"/>
  <c r="S680" i="30" s="1"/>
  <c r="T680" i="30" s="1"/>
  <c r="R653" i="30"/>
  <c r="R724" i="30"/>
  <c r="S724" i="30" s="1"/>
  <c r="R697" i="30"/>
  <c r="S697" i="30" s="1"/>
  <c r="R688" i="30"/>
  <c r="S688" i="30" s="1"/>
  <c r="R679" i="30"/>
  <c r="S679" i="30" s="1"/>
  <c r="R670" i="30"/>
  <c r="S670" i="30" s="1"/>
  <c r="R652" i="30"/>
  <c r="S652" i="30" s="1"/>
  <c r="R628" i="30"/>
  <c r="R610" i="30"/>
  <c r="S610" i="30" s="1"/>
  <c r="T610" i="30" s="1"/>
  <c r="AE610" i="30" s="1"/>
  <c r="R553" i="30"/>
  <c r="R525" i="30"/>
  <c r="S525" i="30" s="1"/>
  <c r="T525" i="30" s="1"/>
  <c r="R505" i="30"/>
  <c r="R436" i="30"/>
  <c r="R512" i="30"/>
  <c r="R504" i="30"/>
  <c r="S504" i="30" s="1"/>
  <c r="T504" i="30" s="1"/>
  <c r="AE504" i="30" s="1"/>
  <c r="R432" i="30"/>
  <c r="R416" i="30"/>
  <c r="S416" i="30" s="1"/>
  <c r="R401" i="30"/>
  <c r="R720" i="30"/>
  <c r="S720" i="30" s="1"/>
  <c r="R614" i="30"/>
  <c r="S614" i="30" s="1"/>
  <c r="T614" i="30" s="1"/>
  <c r="R580" i="30"/>
  <c r="R539" i="30"/>
  <c r="R398" i="30"/>
  <c r="S398" i="30" s="1"/>
  <c r="T398" i="30" s="1"/>
  <c r="AE398" i="30" s="1"/>
  <c r="U691" i="30"/>
  <c r="R626" i="30"/>
  <c r="S626" i="30" s="1"/>
  <c r="R385" i="30"/>
  <c r="R378" i="30"/>
  <c r="S378" i="30" s="1"/>
  <c r="T378" i="30" s="1"/>
  <c r="R370" i="30"/>
  <c r="S370" i="30" s="1"/>
  <c r="T370" i="30" s="1"/>
  <c r="R353" i="30"/>
  <c r="S353" i="30" s="1"/>
  <c r="T353" i="30" s="1"/>
  <c r="R315" i="30"/>
  <c r="S315" i="30" s="1"/>
  <c r="T315" i="30" s="1"/>
  <c r="R282" i="30"/>
  <c r="R274" i="30"/>
  <c r="S274" i="30" s="1"/>
  <c r="T274" i="30" s="1"/>
  <c r="R237" i="30"/>
  <c r="R229" i="30"/>
  <c r="S229" i="30" s="1"/>
  <c r="T229" i="30" s="1"/>
  <c r="R380" i="30"/>
  <c r="R251" i="30"/>
  <c r="S251" i="30" s="1"/>
  <c r="R243" i="30"/>
  <c r="S243" i="30" s="1"/>
  <c r="R222" i="30"/>
  <c r="S222" i="30" s="1"/>
  <c r="T222" i="30" s="1"/>
  <c r="R214" i="30"/>
  <c r="R198" i="30"/>
  <c r="S198" i="30" s="1"/>
  <c r="T198" i="30" s="1"/>
  <c r="R191" i="30"/>
  <c r="R183" i="30"/>
  <c r="S183" i="30" s="1"/>
  <c r="T183" i="30" s="1"/>
  <c r="U579" i="30"/>
  <c r="R338" i="30"/>
  <c r="S338" i="30" s="1"/>
  <c r="T338" i="30" s="1"/>
  <c r="R291" i="30"/>
  <c r="R280" i="30"/>
  <c r="S280" i="30" s="1"/>
  <c r="T280" i="30" s="1"/>
  <c r="R272" i="30"/>
  <c r="R838" i="30"/>
  <c r="R740" i="30"/>
  <c r="O607" i="30"/>
  <c r="Q441" i="30"/>
  <c r="Q429" i="30"/>
  <c r="Q425" i="30"/>
  <c r="P435" i="30"/>
  <c r="Q435" i="30" s="1"/>
  <c r="P433" i="30"/>
  <c r="Q433" i="30" s="1"/>
  <c r="P431" i="30"/>
  <c r="Q431" i="30" s="1"/>
  <c r="P824" i="30"/>
  <c r="Q824" i="30" s="1"/>
  <c r="S728" i="30"/>
  <c r="T728" i="30" s="1"/>
  <c r="S718" i="30"/>
  <c r="T718" i="30" s="1"/>
  <c r="S709" i="30"/>
  <c r="T709" i="30" s="1"/>
  <c r="O633" i="30"/>
  <c r="O630" i="30"/>
  <c r="P630" i="30" s="1"/>
  <c r="Q630" i="30" s="1"/>
  <c r="P569" i="30"/>
  <c r="Q569" i="30" s="1"/>
  <c r="P541" i="30"/>
  <c r="Q541" i="30" s="1"/>
  <c r="P508" i="30"/>
  <c r="Q508" i="30" s="1"/>
  <c r="Q418" i="30"/>
  <c r="Q411" i="30"/>
  <c r="Q407" i="30"/>
  <c r="P624" i="30"/>
  <c r="Q624" i="30" s="1"/>
  <c r="P559" i="30"/>
  <c r="Q559" i="30" s="1"/>
  <c r="P545" i="30"/>
  <c r="Q545" i="30" s="1"/>
  <c r="S551" i="30"/>
  <c r="T551" i="30" s="1"/>
  <c r="AE551" i="30" s="1"/>
  <c r="S518" i="30"/>
  <c r="T518" i="30" s="1"/>
  <c r="S442" i="30"/>
  <c r="T442" i="30" s="1"/>
  <c r="S426" i="30"/>
  <c r="T426" i="30" s="1"/>
  <c r="O386" i="30"/>
  <c r="P386" i="30" s="1"/>
  <c r="Q386" i="30" s="1"/>
  <c r="O383" i="30"/>
  <c r="P383" i="30" s="1"/>
  <c r="Q382" i="30"/>
  <c r="O379" i="30"/>
  <c r="P372" i="30"/>
  <c r="Q372" i="30" s="1"/>
  <c r="P368" i="30"/>
  <c r="Q368" i="30" s="1"/>
  <c r="P361" i="30"/>
  <c r="Q361" i="30" s="1"/>
  <c r="O354" i="30"/>
  <c r="P354" i="30" s="1"/>
  <c r="Q354" i="30" s="1"/>
  <c r="O351" i="30"/>
  <c r="P351" i="30" s="1"/>
  <c r="Q351" i="30" s="1"/>
  <c r="Q350" i="30"/>
  <c r="O344" i="30"/>
  <c r="P343" i="30"/>
  <c r="Q343" i="30" s="1"/>
  <c r="Q336" i="30"/>
  <c r="O333" i="30"/>
  <c r="P333" i="30" s="1"/>
  <c r="Q333" i="30" s="1"/>
  <c r="P332" i="30"/>
  <c r="Q332" i="30" s="1"/>
  <c r="O304" i="30"/>
  <c r="P304" i="30" s="1"/>
  <c r="Q304" i="30" s="1"/>
  <c r="P303" i="30"/>
  <c r="Q303" i="30" s="1"/>
  <c r="Q293" i="30"/>
  <c r="O290" i="30"/>
  <c r="P289" i="30"/>
  <c r="Q289" i="30" s="1"/>
  <c r="Q278" i="30"/>
  <c r="O275" i="30"/>
  <c r="P275" i="30" s="1"/>
  <c r="Q275" i="30" s="1"/>
  <c r="Q270" i="30"/>
  <c r="O240" i="30"/>
  <c r="P240" i="30" s="1"/>
  <c r="Q240" i="30" s="1"/>
  <c r="O238" i="30"/>
  <c r="Q233" i="30"/>
  <c r="O230" i="30"/>
  <c r="Q387" i="30"/>
  <c r="Q376" i="30"/>
  <c r="O358" i="30"/>
  <c r="P358" i="30" s="1"/>
  <c r="Q358" i="30" s="1"/>
  <c r="P355" i="30"/>
  <c r="Q355" i="30" s="1"/>
  <c r="Q345" i="30"/>
  <c r="P341" i="30"/>
  <c r="Q341" i="30" s="1"/>
  <c r="O339" i="30"/>
  <c r="P330" i="30"/>
  <c r="Q330" i="30" s="1"/>
  <c r="P301" i="30"/>
  <c r="Q301" i="30" s="1"/>
  <c r="O299" i="30"/>
  <c r="P299" i="30" s="1"/>
  <c r="Q299" i="30" s="1"/>
  <c r="P264" i="30"/>
  <c r="Q264" i="30" s="1"/>
  <c r="P260" i="30"/>
  <c r="Q260" i="30" s="1"/>
  <c r="P256" i="30"/>
  <c r="Q256" i="30" s="1"/>
  <c r="P249" i="30"/>
  <c r="Q249" i="30" s="1"/>
  <c r="P245" i="30"/>
  <c r="Q245" i="30" s="1"/>
  <c r="P241" i="30"/>
  <c r="Q241" i="30" s="1"/>
  <c r="O227" i="30"/>
  <c r="Q226" i="30"/>
  <c r="Q218" i="30"/>
  <c r="O215" i="30"/>
  <c r="Q210" i="30"/>
  <c r="Q202" i="30"/>
  <c r="O199" i="30"/>
  <c r="Q194" i="30"/>
  <c r="O184" i="30"/>
  <c r="Q179" i="30"/>
  <c r="P164" i="30"/>
  <c r="Q164" i="30" s="1"/>
  <c r="P162" i="30"/>
  <c r="Q162" i="30" s="1"/>
  <c r="P160" i="30"/>
  <c r="Q160" i="30" s="1"/>
  <c r="P158" i="30"/>
  <c r="Q158" i="30" s="1"/>
  <c r="P156" i="30"/>
  <c r="Q156" i="30" s="1"/>
  <c r="P154" i="30"/>
  <c r="Q154" i="30" s="1"/>
  <c r="Q145" i="30"/>
  <c r="Q143" i="30"/>
  <c r="Q141" i="30"/>
  <c r="Q139" i="30"/>
  <c r="S738" i="30"/>
  <c r="T738" i="30" s="1"/>
  <c r="S705" i="30"/>
  <c r="T705" i="30" s="1"/>
  <c r="S687" i="30"/>
  <c r="T687" i="30" s="1"/>
  <c r="S668" i="30"/>
  <c r="T668" i="30" s="1"/>
  <c r="S606" i="30"/>
  <c r="T606" i="30" s="1"/>
  <c r="S564" i="30"/>
  <c r="T564" i="30" s="1"/>
  <c r="AE564" i="30" s="1"/>
  <c r="O388" i="30"/>
  <c r="O384" i="30"/>
  <c r="P384" i="30" s="1"/>
  <c r="Q384" i="30" s="1"/>
  <c r="O377" i="30"/>
  <c r="O356" i="30"/>
  <c r="P356" i="30" s="1"/>
  <c r="Q356" i="30" s="1"/>
  <c r="O352" i="30"/>
  <c r="O346" i="30"/>
  <c r="P346" i="30" s="1"/>
  <c r="Q346" i="30" s="1"/>
  <c r="O342" i="30"/>
  <c r="Q298" i="30"/>
  <c r="Q287" i="30"/>
  <c r="Q276" i="30"/>
  <c r="Q231" i="30"/>
  <c r="O221" i="30"/>
  <c r="P221" i="30" s="1"/>
  <c r="Q221" i="30" s="1"/>
  <c r="Q216" i="30"/>
  <c r="O213" i="30"/>
  <c r="P213" i="30" s="1"/>
  <c r="Q213" i="30" s="1"/>
  <c r="O201" i="30"/>
  <c r="P201" i="30" s="1"/>
  <c r="Q201" i="30" s="1"/>
  <c r="Q196" i="30"/>
  <c r="O193" i="30"/>
  <c r="P193" i="30" s="1"/>
  <c r="Q193" i="30" s="1"/>
  <c r="Q181" i="30"/>
  <c r="O178" i="30"/>
  <c r="P178" i="30" s="1"/>
  <c r="Q178" i="30" s="1"/>
  <c r="O174" i="30"/>
  <c r="O163" i="30"/>
  <c r="P163" i="30" s="1"/>
  <c r="Q163" i="30" s="1"/>
  <c r="O159" i="30"/>
  <c r="O155" i="30"/>
  <c r="P155" i="30" s="1"/>
  <c r="Q155" i="30" s="1"/>
  <c r="Q146" i="30"/>
  <c r="Q144" i="30"/>
  <c r="Q142" i="30"/>
  <c r="Q140" i="30"/>
  <c r="Q138" i="30"/>
  <c r="P818" i="30"/>
  <c r="Q818" i="30" s="1"/>
  <c r="Q746" i="30"/>
  <c r="Q737" i="30"/>
  <c r="S813" i="30"/>
  <c r="T813" i="30" s="1"/>
  <c r="AE813" i="30" s="1"/>
  <c r="Q726" i="30"/>
  <c r="Q717" i="30"/>
  <c r="Q708" i="30"/>
  <c r="Q704" i="30"/>
  <c r="Q681" i="30"/>
  <c r="Q672" i="30"/>
  <c r="P744" i="30"/>
  <c r="Q744" i="30" s="1"/>
  <c r="P734" i="30"/>
  <c r="Q734" i="30" s="1"/>
  <c r="Q625" i="30"/>
  <c r="Q617" i="30"/>
  <c r="Q613" i="30"/>
  <c r="Q570" i="30"/>
  <c r="Q568" i="30"/>
  <c r="O566" i="30"/>
  <c r="O565" i="30"/>
  <c r="P565" i="30" s="1"/>
  <c r="Q562" i="30"/>
  <c r="Q560" i="30"/>
  <c r="O558" i="30"/>
  <c r="O557" i="30"/>
  <c r="P557" i="30" s="1"/>
  <c r="Q543" i="30"/>
  <c r="Q540" i="30"/>
  <c r="O538" i="30"/>
  <c r="O537" i="30"/>
  <c r="P537" i="30" s="1"/>
  <c r="Q534" i="30"/>
  <c r="Q532" i="30"/>
  <c r="O530" i="30"/>
  <c r="O529" i="30"/>
  <c r="P529" i="30" s="1"/>
  <c r="Q510" i="30"/>
  <c r="Q500" i="30"/>
  <c r="J489" i="30"/>
  <c r="M489" i="30"/>
  <c r="O488" i="30"/>
  <c r="P488" i="30" s="1"/>
  <c r="O453" i="30"/>
  <c r="P453" i="30" s="1"/>
  <c r="O611" i="30"/>
  <c r="P611" i="30" s="1"/>
  <c r="O577" i="30"/>
  <c r="P577" i="30" s="1"/>
  <c r="Q371" i="30"/>
  <c r="Q369" i="30"/>
  <c r="Q367" i="30"/>
  <c r="Q366" i="30"/>
  <c r="Q364" i="30"/>
  <c r="Q362" i="30"/>
  <c r="Q360" i="30"/>
  <c r="Q325" i="30"/>
  <c r="Q323" i="30"/>
  <c r="Q321" i="30"/>
  <c r="Q319" i="30"/>
  <c r="Q318" i="30"/>
  <c r="Q316" i="30"/>
  <c r="Q314" i="30"/>
  <c r="Q312" i="30"/>
  <c r="Q310" i="30"/>
  <c r="Q265" i="30"/>
  <c r="Q263" i="30"/>
  <c r="Q261" i="30"/>
  <c r="Q259" i="30"/>
  <c r="Q257" i="30"/>
  <c r="Q255" i="30"/>
  <c r="Q254" i="30"/>
  <c r="Q252" i="30"/>
  <c r="Q250" i="30"/>
  <c r="Q248" i="30"/>
  <c r="Q246" i="30"/>
  <c r="Q244" i="30"/>
  <c r="Q242" i="30"/>
  <c r="P701" i="30"/>
  <c r="Q701" i="30" s="1"/>
  <c r="P692" i="30"/>
  <c r="Q692" i="30" s="1"/>
  <c r="P683" i="30"/>
  <c r="Q683" i="30" s="1"/>
  <c r="S646" i="30"/>
  <c r="T646" i="30" s="1"/>
  <c r="O632" i="30"/>
  <c r="O629" i="30"/>
  <c r="P629" i="30" s="1"/>
  <c r="Q629" i="30" s="1"/>
  <c r="O576" i="30"/>
  <c r="O375" i="30"/>
  <c r="O340" i="30"/>
  <c r="P340" i="30" s="1"/>
  <c r="Q340" i="30" s="1"/>
  <c r="O329" i="30"/>
  <c r="P328" i="30"/>
  <c r="Q328" i="30" s="1"/>
  <c r="P324" i="30"/>
  <c r="Q324" i="30" s="1"/>
  <c r="P320" i="30"/>
  <c r="Q320" i="30" s="1"/>
  <c r="P313" i="30"/>
  <c r="Q313" i="30" s="1"/>
  <c r="P309" i="30"/>
  <c r="Q309" i="30" s="1"/>
  <c r="O300" i="30"/>
  <c r="O294" i="30"/>
  <c r="P294" i="30" s="1"/>
  <c r="Q294" i="30" s="1"/>
  <c r="O286" i="30"/>
  <c r="O283" i="30"/>
  <c r="P283" i="30" s="1"/>
  <c r="O279" i="30"/>
  <c r="O271" i="30"/>
  <c r="P271" i="30" s="1"/>
  <c r="Q271" i="30" s="1"/>
  <c r="O234" i="30"/>
  <c r="O308" i="30"/>
  <c r="P308" i="30" s="1"/>
  <c r="Q308" i="30" s="1"/>
  <c r="O292" i="30"/>
  <c r="O288" i="30"/>
  <c r="P288" i="30" s="1"/>
  <c r="Q288" i="30" s="1"/>
  <c r="O284" i="30"/>
  <c r="O277" i="30"/>
  <c r="P277" i="30" s="1"/>
  <c r="Q277" i="30" s="1"/>
  <c r="O273" i="30"/>
  <c r="O269" i="30"/>
  <c r="P269" i="30" s="1"/>
  <c r="Q269" i="30" s="1"/>
  <c r="O236" i="30"/>
  <c r="O232" i="30"/>
  <c r="P232" i="30" s="1"/>
  <c r="Q232" i="30" s="1"/>
  <c r="O228" i="30"/>
  <c r="O219" i="30"/>
  <c r="P219" i="30" s="1"/>
  <c r="Q219" i="30" s="1"/>
  <c r="O211" i="30"/>
  <c r="O203" i="30"/>
  <c r="P203" i="30" s="1"/>
  <c r="Q203" i="30" s="1"/>
  <c r="O195" i="30"/>
  <c r="O192" i="30"/>
  <c r="O180" i="30"/>
  <c r="P180" i="30" s="1"/>
  <c r="Q180" i="30" s="1"/>
  <c r="O335" i="30"/>
  <c r="O331" i="30"/>
  <c r="P331" i="30" s="1"/>
  <c r="Q331" i="30" s="1"/>
  <c r="O306" i="30"/>
  <c r="O302" i="30"/>
  <c r="P302" i="30" s="1"/>
  <c r="Q302" i="30" s="1"/>
  <c r="O217" i="30"/>
  <c r="O197" i="30"/>
  <c r="P197" i="30" s="1"/>
  <c r="Q197" i="30" s="1"/>
  <c r="O182" i="30"/>
  <c r="P182" i="30" s="1"/>
  <c r="Q182" i="30" s="1"/>
  <c r="O176" i="30"/>
  <c r="O165" i="30"/>
  <c r="P165" i="30" s="1"/>
  <c r="Q165" i="30" s="1"/>
  <c r="O161" i="30"/>
  <c r="O157" i="30"/>
  <c r="P157" i="30" s="1"/>
  <c r="Q157" i="30" s="1"/>
  <c r="O153" i="30"/>
  <c r="Q136" i="30"/>
  <c r="S840" i="30" l="1"/>
  <c r="U614" i="30"/>
  <c r="AE614" i="30"/>
  <c r="U421" i="30"/>
  <c r="AE421" i="30"/>
  <c r="U514" i="30"/>
  <c r="AE514" i="30"/>
  <c r="U419" i="30"/>
  <c r="AE419" i="30"/>
  <c r="U606" i="30"/>
  <c r="AE606" i="30"/>
  <c r="U426" i="30"/>
  <c r="AE426" i="30"/>
  <c r="S515" i="30"/>
  <c r="AE518" i="30"/>
  <c r="S524" i="30"/>
  <c r="AE525" i="30"/>
  <c r="U427" i="30"/>
  <c r="AE427" i="30"/>
  <c r="U646" i="30"/>
  <c r="AE646" i="30"/>
  <c r="U668" i="30"/>
  <c r="AE668" i="30"/>
  <c r="U705" i="30"/>
  <c r="AE705" i="30"/>
  <c r="U442" i="30"/>
  <c r="AE442" i="30"/>
  <c r="U709" i="30"/>
  <c r="AE709" i="30"/>
  <c r="U728" i="30"/>
  <c r="AE728" i="30"/>
  <c r="U280" i="30"/>
  <c r="AE280" i="30"/>
  <c r="U338" i="30"/>
  <c r="AE338" i="30"/>
  <c r="U183" i="30"/>
  <c r="AE183" i="30"/>
  <c r="U198" i="30"/>
  <c r="AE198" i="30"/>
  <c r="U222" i="30"/>
  <c r="AE222" i="30"/>
  <c r="U229" i="30"/>
  <c r="AE229" i="30"/>
  <c r="U274" i="30"/>
  <c r="AE274" i="30"/>
  <c r="U315" i="30"/>
  <c r="AE315" i="30"/>
  <c r="U370" i="30"/>
  <c r="AE370" i="30"/>
  <c r="U212" i="30"/>
  <c r="AE212" i="30"/>
  <c r="U235" i="30"/>
  <c r="AE235" i="30"/>
  <c r="U561" i="30"/>
  <c r="AE561" i="30"/>
  <c r="U567" i="30"/>
  <c r="AE567" i="30"/>
  <c r="U729" i="30"/>
  <c r="AE729" i="30"/>
  <c r="U434" i="30"/>
  <c r="AE434" i="30"/>
  <c r="U499" i="30"/>
  <c r="AE499" i="30"/>
  <c r="U703" i="30"/>
  <c r="AE703" i="30"/>
  <c r="U721" i="30"/>
  <c r="AE721" i="30"/>
  <c r="U745" i="30"/>
  <c r="AE745" i="30"/>
  <c r="U556" i="30"/>
  <c r="AE556" i="30"/>
  <c r="U687" i="30"/>
  <c r="AE687" i="30"/>
  <c r="U738" i="30"/>
  <c r="AE738" i="30"/>
  <c r="U718" i="30"/>
  <c r="AE718" i="30"/>
  <c r="U353" i="30"/>
  <c r="AE353" i="30"/>
  <c r="U378" i="30"/>
  <c r="AE378" i="30"/>
  <c r="U680" i="30"/>
  <c r="AE680" i="30"/>
  <c r="U693" i="30"/>
  <c r="AE693" i="30"/>
  <c r="U725" i="30"/>
  <c r="AE725" i="30"/>
  <c r="U268" i="30"/>
  <c r="AE268" i="30"/>
  <c r="U258" i="30"/>
  <c r="AE258" i="30"/>
  <c r="U305" i="30"/>
  <c r="AE305" i="30"/>
  <c r="U285" i="30"/>
  <c r="AE285" i="30"/>
  <c r="U374" i="30"/>
  <c r="AE374" i="30"/>
  <c r="U710" i="30"/>
  <c r="AE710" i="30"/>
  <c r="U814" i="30"/>
  <c r="AE814" i="30"/>
  <c r="U172" i="30"/>
  <c r="AE172" i="30"/>
  <c r="U507" i="30"/>
  <c r="AE507" i="30"/>
  <c r="U438" i="30"/>
  <c r="AE438" i="30"/>
  <c r="U700" i="30"/>
  <c r="AE700" i="30"/>
  <c r="U651" i="30"/>
  <c r="AE651" i="30"/>
  <c r="U673" i="30"/>
  <c r="AE673" i="30"/>
  <c r="U748" i="30"/>
  <c r="AE748" i="30"/>
  <c r="U742" i="30"/>
  <c r="AE742" i="30"/>
  <c r="Q135" i="30"/>
  <c r="R135" i="30" s="1"/>
  <c r="S135" i="30" s="1"/>
  <c r="U564" i="30"/>
  <c r="U536" i="30"/>
  <c r="M390" i="30"/>
  <c r="O390" i="30" s="1"/>
  <c r="P390" i="30" s="1"/>
  <c r="Q390" i="30" s="1"/>
  <c r="R390" i="30" s="1"/>
  <c r="S390" i="30" s="1"/>
  <c r="T390" i="30" s="1"/>
  <c r="J224" i="30"/>
  <c r="J296" i="30"/>
  <c r="J348" i="30"/>
  <c r="T266" i="30"/>
  <c r="T399" i="30"/>
  <c r="Q611" i="30"/>
  <c r="R611" i="30" s="1"/>
  <c r="S611" i="30" s="1"/>
  <c r="T611" i="30" s="1"/>
  <c r="AE611" i="30" s="1"/>
  <c r="Q488" i="30"/>
  <c r="R488" i="30" s="1"/>
  <c r="Q529" i="30"/>
  <c r="R529" i="30" s="1"/>
  <c r="Q537" i="30"/>
  <c r="R537" i="30" s="1"/>
  <c r="Q557" i="30"/>
  <c r="R557" i="30" s="1"/>
  <c r="Q565" i="30"/>
  <c r="R565" i="30" s="1"/>
  <c r="T732" i="30"/>
  <c r="T506" i="30"/>
  <c r="T645" i="30"/>
  <c r="AE645" i="30" s="1"/>
  <c r="T667" i="30"/>
  <c r="AE667" i="30" s="1"/>
  <c r="T686" i="30"/>
  <c r="T699" i="30"/>
  <c r="AE699" i="30" s="1"/>
  <c r="T722" i="30"/>
  <c r="T816" i="30"/>
  <c r="T326" i="30"/>
  <c r="T720" i="30"/>
  <c r="T416" i="30"/>
  <c r="T670" i="30"/>
  <c r="T688" i="30"/>
  <c r="T724" i="30"/>
  <c r="T363" i="30"/>
  <c r="T533" i="30"/>
  <c r="T420" i="30"/>
  <c r="S175" i="30"/>
  <c r="T175" i="30" s="1"/>
  <c r="T247" i="30"/>
  <c r="Q383" i="30"/>
  <c r="R383" i="30" s="1"/>
  <c r="S383" i="30" s="1"/>
  <c r="T383" i="30" s="1"/>
  <c r="T359" i="30"/>
  <c r="R157" i="30"/>
  <c r="R182" i="30"/>
  <c r="S182" i="30" s="1"/>
  <c r="R302" i="30"/>
  <c r="S302" i="30" s="1"/>
  <c r="R203" i="30"/>
  <c r="S203" i="30" s="1"/>
  <c r="R232" i="30"/>
  <c r="S232" i="30" s="1"/>
  <c r="R277" i="30"/>
  <c r="S277" i="30" s="1"/>
  <c r="R308" i="30"/>
  <c r="S308" i="30" s="1"/>
  <c r="R340" i="30"/>
  <c r="S340" i="30" s="1"/>
  <c r="R629" i="30"/>
  <c r="S629" i="30" s="1"/>
  <c r="T629" i="30" s="1"/>
  <c r="R224" i="30"/>
  <c r="S224" i="30" s="1"/>
  <c r="R155" i="30"/>
  <c r="R178" i="30"/>
  <c r="S178" i="30" s="1"/>
  <c r="R201" i="30"/>
  <c r="S201" i="30" s="1"/>
  <c r="R221" i="30"/>
  <c r="S221" i="30" s="1"/>
  <c r="R356" i="30"/>
  <c r="S356" i="30" s="1"/>
  <c r="R160" i="30"/>
  <c r="R256" i="30"/>
  <c r="R358" i="30"/>
  <c r="S358" i="30" s="1"/>
  <c r="R275" i="30"/>
  <c r="S275" i="30" s="1"/>
  <c r="R333" i="30"/>
  <c r="S333" i="30" s="1"/>
  <c r="R351" i="30"/>
  <c r="S351" i="30" s="1"/>
  <c r="T351" i="30" s="1"/>
  <c r="R372" i="30"/>
  <c r="S372" i="30" s="1"/>
  <c r="T372" i="30" s="1"/>
  <c r="R630" i="30"/>
  <c r="S630" i="30" s="1"/>
  <c r="T630" i="30" s="1"/>
  <c r="U398" i="30"/>
  <c r="U504" i="30"/>
  <c r="U525" i="30"/>
  <c r="R165" i="30"/>
  <c r="R197" i="30"/>
  <c r="S197" i="30" s="1"/>
  <c r="R331" i="30"/>
  <c r="S331" i="30" s="1"/>
  <c r="R180" i="30"/>
  <c r="S180" i="30" s="1"/>
  <c r="R219" i="30"/>
  <c r="S219" i="30" s="1"/>
  <c r="R269" i="30"/>
  <c r="S269" i="30" s="1"/>
  <c r="R288" i="30"/>
  <c r="S288" i="30" s="1"/>
  <c r="R271" i="30"/>
  <c r="S271" i="30" s="1"/>
  <c r="R294" i="30"/>
  <c r="S294" i="30" s="1"/>
  <c r="R163" i="30"/>
  <c r="R193" i="30"/>
  <c r="S193" i="30" s="1"/>
  <c r="R213" i="30"/>
  <c r="S213" i="30" s="1"/>
  <c r="R346" i="30"/>
  <c r="S346" i="30" s="1"/>
  <c r="R384" i="30"/>
  <c r="S384" i="30" s="1"/>
  <c r="T384" i="30" s="1"/>
  <c r="R299" i="30"/>
  <c r="R240" i="30"/>
  <c r="S240" i="30" s="1"/>
  <c r="R304" i="30"/>
  <c r="S304" i="30" s="1"/>
  <c r="R354" i="30"/>
  <c r="S354" i="30" s="1"/>
  <c r="R386" i="30"/>
  <c r="S386" i="30" s="1"/>
  <c r="U610" i="30"/>
  <c r="R136" i="30"/>
  <c r="S136" i="30" s="1"/>
  <c r="T136" i="30" s="1"/>
  <c r="P195" i="30"/>
  <c r="Q195" i="30" s="1"/>
  <c r="P211" i="30"/>
  <c r="Q211" i="30" s="1"/>
  <c r="P228" i="30"/>
  <c r="Q228" i="30" s="1"/>
  <c r="P236" i="30"/>
  <c r="Q236" i="30" s="1"/>
  <c r="P273" i="30"/>
  <c r="Q273" i="30" s="1"/>
  <c r="P284" i="30"/>
  <c r="Q284" i="30" s="1"/>
  <c r="P292" i="30"/>
  <c r="Q292" i="30" s="1"/>
  <c r="P234" i="30"/>
  <c r="Q234" i="30" s="1"/>
  <c r="P279" i="30"/>
  <c r="Q279" i="30" s="1"/>
  <c r="R309" i="30"/>
  <c r="S309" i="30" s="1"/>
  <c r="T309" i="30" s="1"/>
  <c r="R320" i="30"/>
  <c r="R328" i="30"/>
  <c r="S328" i="30" s="1"/>
  <c r="T328" i="30" s="1"/>
  <c r="R692" i="30"/>
  <c r="R242" i="30"/>
  <c r="R246" i="30"/>
  <c r="S246" i="30" s="1"/>
  <c r="T246" i="30" s="1"/>
  <c r="R250" i="30"/>
  <c r="R254" i="30"/>
  <c r="S254" i="30" s="1"/>
  <c r="T254" i="30" s="1"/>
  <c r="R257" i="30"/>
  <c r="R261" i="30"/>
  <c r="S261" i="30" s="1"/>
  <c r="T261" i="30" s="1"/>
  <c r="R265" i="30"/>
  <c r="R312" i="30"/>
  <c r="S312" i="30" s="1"/>
  <c r="T312" i="30" s="1"/>
  <c r="R316" i="30"/>
  <c r="R319" i="30"/>
  <c r="S319" i="30" s="1"/>
  <c r="T319" i="30" s="1"/>
  <c r="R323" i="30"/>
  <c r="R360" i="30"/>
  <c r="S360" i="30" s="1"/>
  <c r="T360" i="30" s="1"/>
  <c r="R364" i="30"/>
  <c r="R367" i="30"/>
  <c r="S367" i="30" s="1"/>
  <c r="T367" i="30" s="1"/>
  <c r="R371" i="30"/>
  <c r="R532" i="30"/>
  <c r="S532" i="30" s="1"/>
  <c r="R540" i="30"/>
  <c r="S540" i="30" s="1"/>
  <c r="R560" i="30"/>
  <c r="S560" i="30" s="1"/>
  <c r="R568" i="30"/>
  <c r="S568" i="30" s="1"/>
  <c r="R617" i="30"/>
  <c r="S617" i="30" s="1"/>
  <c r="R734" i="30"/>
  <c r="S734" i="30" s="1"/>
  <c r="T734" i="30" s="1"/>
  <c r="AE734" i="30" s="1"/>
  <c r="R672" i="30"/>
  <c r="S672" i="30" s="1"/>
  <c r="R704" i="30"/>
  <c r="S704" i="30" s="1"/>
  <c r="R717" i="30"/>
  <c r="S717" i="30" s="1"/>
  <c r="U813" i="30"/>
  <c r="R746" i="30"/>
  <c r="S746" i="30" s="1"/>
  <c r="R818" i="30"/>
  <c r="R140" i="30"/>
  <c r="R144" i="30"/>
  <c r="S144" i="30" s="1"/>
  <c r="T144" i="30" s="1"/>
  <c r="R276" i="30"/>
  <c r="S276" i="30" s="1"/>
  <c r="T276" i="30" s="1"/>
  <c r="R298" i="30"/>
  <c r="R141" i="30"/>
  <c r="S141" i="30" s="1"/>
  <c r="T141" i="30" s="1"/>
  <c r="R145" i="30"/>
  <c r="R156" i="30"/>
  <c r="R164" i="30"/>
  <c r="S164" i="30" s="1"/>
  <c r="T164" i="30" s="1"/>
  <c r="R179" i="30"/>
  <c r="R194" i="30"/>
  <c r="S194" i="30" s="1"/>
  <c r="T194" i="30" s="1"/>
  <c r="R202" i="30"/>
  <c r="R210" i="30"/>
  <c r="S210" i="30" s="1"/>
  <c r="T210" i="30" s="1"/>
  <c r="R218" i="30"/>
  <c r="R241" i="30"/>
  <c r="S241" i="30" s="1"/>
  <c r="T241" i="30" s="1"/>
  <c r="R249" i="30"/>
  <c r="R260" i="30"/>
  <c r="S260" i="30" s="1"/>
  <c r="T260" i="30" s="1"/>
  <c r="R301" i="30"/>
  <c r="S301" i="30" s="1"/>
  <c r="T301" i="30" s="1"/>
  <c r="R341" i="30"/>
  <c r="S341" i="30" s="1"/>
  <c r="T341" i="30" s="1"/>
  <c r="P230" i="30"/>
  <c r="Q230" i="30" s="1"/>
  <c r="P238" i="30"/>
  <c r="Q238" i="30" s="1"/>
  <c r="P290" i="30"/>
  <c r="Q290" i="30" s="1"/>
  <c r="R303" i="30"/>
  <c r="P344" i="30"/>
  <c r="Q344" i="30" s="1"/>
  <c r="R382" i="30"/>
  <c r="U518" i="30"/>
  <c r="R541" i="30"/>
  <c r="S581" i="30"/>
  <c r="T581" i="30" s="1"/>
  <c r="P607" i="30"/>
  <c r="Q607" i="30" s="1"/>
  <c r="S654" i="30"/>
  <c r="T654" i="30" s="1"/>
  <c r="S676" i="30"/>
  <c r="T676" i="30" s="1"/>
  <c r="AE676" i="30" s="1"/>
  <c r="S695" i="30"/>
  <c r="T695" i="30" s="1"/>
  <c r="S713" i="30"/>
  <c r="T713" i="30" s="1"/>
  <c r="S740" i="30"/>
  <c r="T740" i="30" s="1"/>
  <c r="AE740" i="30" s="1"/>
  <c r="S838" i="30"/>
  <c r="T838" i="30" s="1"/>
  <c r="S272" i="30"/>
  <c r="T272" i="30" s="1"/>
  <c r="S291" i="30"/>
  <c r="T291" i="30" s="1"/>
  <c r="R355" i="30"/>
  <c r="S355" i="30" s="1"/>
  <c r="T355" i="30" s="1"/>
  <c r="R289" i="30"/>
  <c r="R324" i="30"/>
  <c r="R545" i="30"/>
  <c r="S545" i="30" s="1"/>
  <c r="T545" i="30" s="1"/>
  <c r="AE545" i="30" s="1"/>
  <c r="R701" i="30"/>
  <c r="S401" i="30"/>
  <c r="T401" i="30" s="1"/>
  <c r="S436" i="30"/>
  <c r="T436" i="30" s="1"/>
  <c r="S505" i="30"/>
  <c r="T505" i="30" s="1"/>
  <c r="S553" i="30"/>
  <c r="T553" i="30" s="1"/>
  <c r="S628" i="30"/>
  <c r="T628" i="30" s="1"/>
  <c r="AE628" i="30" s="1"/>
  <c r="S825" i="30"/>
  <c r="T825" i="30" s="1"/>
  <c r="S200" i="30"/>
  <c r="T200" i="30" s="1"/>
  <c r="S220" i="30"/>
  <c r="T220" i="30" s="1"/>
  <c r="R245" i="30"/>
  <c r="R264" i="30"/>
  <c r="S264" i="30" s="1"/>
  <c r="T264" i="30" s="1"/>
  <c r="S334" i="30"/>
  <c r="T334" i="30" s="1"/>
  <c r="R361" i="30"/>
  <c r="U497" i="30"/>
  <c r="U450" i="30"/>
  <c r="U675" i="30"/>
  <c r="S137" i="30"/>
  <c r="T137" i="30" s="1"/>
  <c r="P153" i="30"/>
  <c r="Q153" i="30" s="1"/>
  <c r="P161" i="30"/>
  <c r="Q161" i="30" s="1"/>
  <c r="P176" i="30"/>
  <c r="Q176" i="30" s="1"/>
  <c r="P217" i="30"/>
  <c r="Q217" i="30" s="1"/>
  <c r="P306" i="30"/>
  <c r="Q306" i="30" s="1"/>
  <c r="P335" i="30"/>
  <c r="Q335" i="30" s="1"/>
  <c r="P192" i="30"/>
  <c r="Q192" i="30" s="1"/>
  <c r="Q283" i="30"/>
  <c r="P286" i="30"/>
  <c r="Q286" i="30" s="1"/>
  <c r="P300" i="30"/>
  <c r="Q300" i="30" s="1"/>
  <c r="P329" i="30"/>
  <c r="Q329" i="30" s="1"/>
  <c r="P375" i="30"/>
  <c r="Q375" i="30" s="1"/>
  <c r="P576" i="30"/>
  <c r="Q576" i="30" s="1"/>
  <c r="P632" i="30"/>
  <c r="Q632" i="30" s="1"/>
  <c r="R683" i="30"/>
  <c r="S683" i="30" s="1"/>
  <c r="T683" i="30" s="1"/>
  <c r="AE683" i="30" s="1"/>
  <c r="Q577" i="30"/>
  <c r="Q453" i="30"/>
  <c r="S437" i="30"/>
  <c r="T437" i="30" s="1"/>
  <c r="P530" i="30"/>
  <c r="Q530" i="30" s="1"/>
  <c r="P538" i="30"/>
  <c r="Q538" i="30" s="1"/>
  <c r="P558" i="30"/>
  <c r="Q558" i="30" s="1"/>
  <c r="P566" i="30"/>
  <c r="Q566" i="30" s="1"/>
  <c r="S741" i="30"/>
  <c r="T741" i="30" s="1"/>
  <c r="P159" i="30"/>
  <c r="Q159" i="30" s="1"/>
  <c r="P174" i="30"/>
  <c r="Q174" i="30" s="1"/>
  <c r="P342" i="30"/>
  <c r="Q342" i="30" s="1"/>
  <c r="P352" i="30"/>
  <c r="Q352" i="30" s="1"/>
  <c r="P377" i="30"/>
  <c r="Q377" i="30" s="1"/>
  <c r="P388" i="30"/>
  <c r="Q388" i="30" s="1"/>
  <c r="R154" i="30"/>
  <c r="S154" i="30" s="1"/>
  <c r="T154" i="30" s="1"/>
  <c r="R162" i="30"/>
  <c r="P184" i="30"/>
  <c r="Q184" i="30" s="1"/>
  <c r="P199" i="30"/>
  <c r="Q199" i="30" s="1"/>
  <c r="P215" i="30"/>
  <c r="Q215" i="30" s="1"/>
  <c r="P227" i="30"/>
  <c r="Q227" i="30" s="1"/>
  <c r="P339" i="30"/>
  <c r="Q339" i="30" s="1"/>
  <c r="R345" i="30"/>
  <c r="S345" i="30" s="1"/>
  <c r="T345" i="30" s="1"/>
  <c r="O348" i="30"/>
  <c r="P348" i="30" s="1"/>
  <c r="Q348" i="30" s="1"/>
  <c r="R387" i="30"/>
  <c r="S387" i="30" s="1"/>
  <c r="T387" i="30" s="1"/>
  <c r="R233" i="30"/>
  <c r="R293" i="30"/>
  <c r="S293" i="30" s="1"/>
  <c r="T293" i="30" s="1"/>
  <c r="R343" i="30"/>
  <c r="R350" i="30"/>
  <c r="S350" i="30" s="1"/>
  <c r="T350" i="30" s="1"/>
  <c r="P379" i="30"/>
  <c r="Q379" i="30" s="1"/>
  <c r="U551" i="30"/>
  <c r="R624" i="30"/>
  <c r="R411" i="30"/>
  <c r="R508" i="30"/>
  <c r="S508" i="30" s="1"/>
  <c r="T508" i="30" s="1"/>
  <c r="R569" i="30"/>
  <c r="P633" i="30"/>
  <c r="Q633" i="30" s="1"/>
  <c r="R431" i="30"/>
  <c r="R435" i="30"/>
  <c r="S435" i="30" s="1"/>
  <c r="T435" i="30" s="1"/>
  <c r="R425" i="30"/>
  <c r="S425" i="30" s="1"/>
  <c r="R441" i="30"/>
  <c r="S441" i="30" s="1"/>
  <c r="R158" i="30"/>
  <c r="S158" i="30" s="1"/>
  <c r="T158" i="30" s="1"/>
  <c r="S173" i="30"/>
  <c r="T173" i="30" s="1"/>
  <c r="S177" i="30"/>
  <c r="T177" i="30" s="1"/>
  <c r="S191" i="30"/>
  <c r="T191" i="30" s="1"/>
  <c r="S214" i="30"/>
  <c r="T214" i="30" s="1"/>
  <c r="T243" i="30"/>
  <c r="T251" i="30"/>
  <c r="T262" i="30"/>
  <c r="R330" i="30"/>
  <c r="S330" i="30" s="1"/>
  <c r="T330" i="30" s="1"/>
  <c r="S380" i="30"/>
  <c r="T380" i="30" s="1"/>
  <c r="S237" i="30"/>
  <c r="T237" i="30" s="1"/>
  <c r="S282" i="30"/>
  <c r="T282" i="30" s="1"/>
  <c r="R313" i="30"/>
  <c r="S313" i="30" s="1"/>
  <c r="T313" i="30" s="1"/>
  <c r="R332" i="30"/>
  <c r="S332" i="30" s="1"/>
  <c r="T332" i="30" s="1"/>
  <c r="R368" i="30"/>
  <c r="S368" i="30" s="1"/>
  <c r="T368" i="30" s="1"/>
  <c r="S385" i="30"/>
  <c r="T385" i="30" s="1"/>
  <c r="T626" i="30"/>
  <c r="S539" i="30"/>
  <c r="T539" i="30" s="1"/>
  <c r="S580" i="30"/>
  <c r="T580" i="30" s="1"/>
  <c r="S432" i="30"/>
  <c r="T432" i="30" s="1"/>
  <c r="S512" i="30"/>
  <c r="T512" i="30" s="1"/>
  <c r="T652" i="30"/>
  <c r="T679" i="30"/>
  <c r="T697" i="30"/>
  <c r="R744" i="30"/>
  <c r="S744" i="30" s="1"/>
  <c r="T744" i="30" s="1"/>
  <c r="S653" i="30"/>
  <c r="T653" i="30" s="1"/>
  <c r="S684" i="30"/>
  <c r="T684" i="30" s="1"/>
  <c r="S712" i="30"/>
  <c r="T712" i="30" s="1"/>
  <c r="S730" i="30"/>
  <c r="T730" i="30" s="1"/>
  <c r="S735" i="30"/>
  <c r="T735" i="30" s="1"/>
  <c r="S311" i="30"/>
  <c r="T311" i="30" s="1"/>
  <c r="S322" i="30"/>
  <c r="T322" i="30" s="1"/>
  <c r="R559" i="30"/>
  <c r="S604" i="30"/>
  <c r="T604" i="30" s="1"/>
  <c r="AE604" i="30" s="1"/>
  <c r="S647" i="30"/>
  <c r="T647" i="30" s="1"/>
  <c r="AE647" i="30" s="1"/>
  <c r="S402" i="30"/>
  <c r="T402" i="30" s="1"/>
  <c r="U423" i="30"/>
  <c r="S422" i="30"/>
  <c r="U575" i="30"/>
  <c r="S478" i="30"/>
  <c r="T478" i="30" s="1"/>
  <c r="AE478" i="30" s="1"/>
  <c r="S502" i="30"/>
  <c r="T502" i="30" s="1"/>
  <c r="S552" i="30"/>
  <c r="T552" i="30" s="1"/>
  <c r="R824" i="30"/>
  <c r="R433" i="30"/>
  <c r="S433" i="30" s="1"/>
  <c r="T433" i="30" s="1"/>
  <c r="S531" i="30"/>
  <c r="T531" i="30" s="1"/>
  <c r="R244" i="30"/>
  <c r="S244" i="30" s="1"/>
  <c r="T244" i="30" s="1"/>
  <c r="R248" i="30"/>
  <c r="R252" i="30"/>
  <c r="S252" i="30" s="1"/>
  <c r="T252" i="30" s="1"/>
  <c r="R255" i="30"/>
  <c r="R259" i="30"/>
  <c r="S259" i="30" s="1"/>
  <c r="T259" i="30" s="1"/>
  <c r="R263" i="30"/>
  <c r="R310" i="30"/>
  <c r="S310" i="30" s="1"/>
  <c r="T310" i="30" s="1"/>
  <c r="R314" i="30"/>
  <c r="R318" i="30"/>
  <c r="S318" i="30" s="1"/>
  <c r="T318" i="30" s="1"/>
  <c r="R321" i="30"/>
  <c r="R325" i="30"/>
  <c r="S325" i="30" s="1"/>
  <c r="T325" i="30" s="1"/>
  <c r="R362" i="30"/>
  <c r="R366" i="30"/>
  <c r="S366" i="30" s="1"/>
  <c r="T366" i="30" s="1"/>
  <c r="R369" i="30"/>
  <c r="O489" i="30"/>
  <c r="P489" i="30" s="1"/>
  <c r="Q489" i="30" s="1"/>
  <c r="R500" i="30"/>
  <c r="S500" i="30" s="1"/>
  <c r="R510" i="30"/>
  <c r="S510" i="30" s="1"/>
  <c r="R534" i="30"/>
  <c r="S534" i="30" s="1"/>
  <c r="R543" i="30"/>
  <c r="S543" i="30" s="1"/>
  <c r="R562" i="30"/>
  <c r="S562" i="30" s="1"/>
  <c r="R570" i="30"/>
  <c r="S570" i="30" s="1"/>
  <c r="R613" i="30"/>
  <c r="S613" i="30" s="1"/>
  <c r="R625" i="30"/>
  <c r="S625" i="30" s="1"/>
  <c r="R681" i="30"/>
  <c r="S681" i="30" s="1"/>
  <c r="R708" i="30"/>
  <c r="S708" i="30" s="1"/>
  <c r="R726" i="30"/>
  <c r="S726" i="30" s="1"/>
  <c r="R737" i="30"/>
  <c r="S737" i="30" s="1"/>
  <c r="R138" i="30"/>
  <c r="R142" i="30"/>
  <c r="S142" i="30" s="1"/>
  <c r="T142" i="30" s="1"/>
  <c r="R146" i="30"/>
  <c r="R181" i="30"/>
  <c r="R196" i="30"/>
  <c r="S196" i="30" s="1"/>
  <c r="T196" i="30" s="1"/>
  <c r="R216" i="30"/>
  <c r="S216" i="30" s="1"/>
  <c r="T216" i="30" s="1"/>
  <c r="R231" i="30"/>
  <c r="R287" i="30"/>
  <c r="S287" i="30" s="1"/>
  <c r="T287" i="30" s="1"/>
  <c r="R139" i="30"/>
  <c r="S139" i="30" s="1"/>
  <c r="R143" i="30"/>
  <c r="S143" i="30" s="1"/>
  <c r="R226" i="30"/>
  <c r="O296" i="30"/>
  <c r="R376" i="30"/>
  <c r="R270" i="30"/>
  <c r="S270" i="30" s="1"/>
  <c r="T270" i="30" s="1"/>
  <c r="R278" i="30"/>
  <c r="R336" i="30"/>
  <c r="S336" i="30" s="1"/>
  <c r="T336" i="30" s="1"/>
  <c r="R407" i="30"/>
  <c r="R418" i="30"/>
  <c r="S418" i="30" s="1"/>
  <c r="T418" i="30" s="1"/>
  <c r="R429" i="30"/>
  <c r="S429" i="30" s="1"/>
  <c r="T410" i="30"/>
  <c r="S440" i="30"/>
  <c r="T440" i="30" s="1"/>
  <c r="AE440" i="30" s="1"/>
  <c r="S490" i="30"/>
  <c r="T490" i="30" s="1"/>
  <c r="S509" i="30"/>
  <c r="T509" i="30" s="1"/>
  <c r="S549" i="30"/>
  <c r="T549" i="30" s="1"/>
  <c r="S671" i="30"/>
  <c r="T671" i="30" s="1"/>
  <c r="AE671" i="30" s="1"/>
  <c r="S689" i="30"/>
  <c r="T689" i="30" s="1"/>
  <c r="S716" i="30"/>
  <c r="T716" i="30" s="1"/>
  <c r="AE716" i="30" s="1"/>
  <c r="S815" i="30"/>
  <c r="T815" i="30" s="1"/>
  <c r="S417" i="30" l="1"/>
  <c r="AE418" i="30"/>
  <c r="S511" i="30"/>
  <c r="AE512" i="30"/>
  <c r="S578" i="30"/>
  <c r="AE580" i="30"/>
  <c r="U626" i="30"/>
  <c r="AE626" i="30"/>
  <c r="U825" i="30"/>
  <c r="AE825" i="30"/>
  <c r="U553" i="30"/>
  <c r="AE553" i="30"/>
  <c r="U581" i="30"/>
  <c r="AE581" i="30"/>
  <c r="U420" i="30"/>
  <c r="AE420" i="30"/>
  <c r="S412" i="30"/>
  <c r="AE416" i="30"/>
  <c r="U549" i="30"/>
  <c r="AE549" i="30"/>
  <c r="S550" i="30"/>
  <c r="AE552" i="30"/>
  <c r="S828" i="30"/>
  <c r="AE838" i="30"/>
  <c r="U815" i="30"/>
  <c r="AE815" i="30"/>
  <c r="U410" i="30"/>
  <c r="AE410" i="30"/>
  <c r="U336" i="30"/>
  <c r="AE336" i="30"/>
  <c r="U270" i="30"/>
  <c r="AE270" i="30"/>
  <c r="U287" i="30"/>
  <c r="AE287" i="30"/>
  <c r="U216" i="30"/>
  <c r="AE216" i="30"/>
  <c r="U142" i="30"/>
  <c r="AE142" i="30"/>
  <c r="U531" i="30"/>
  <c r="AE531" i="30"/>
  <c r="U502" i="30"/>
  <c r="AE502" i="30"/>
  <c r="U311" i="30"/>
  <c r="AE311" i="30"/>
  <c r="U730" i="30"/>
  <c r="AE730" i="30"/>
  <c r="U684" i="30"/>
  <c r="AE684" i="30"/>
  <c r="U744" i="30"/>
  <c r="AE744" i="30"/>
  <c r="U679" i="30"/>
  <c r="AE679" i="30"/>
  <c r="U368" i="30"/>
  <c r="AE368" i="30"/>
  <c r="U313" i="30"/>
  <c r="AE313" i="30"/>
  <c r="U237" i="30"/>
  <c r="AE237" i="30"/>
  <c r="U330" i="30"/>
  <c r="AE330" i="30"/>
  <c r="U251" i="30"/>
  <c r="AE251" i="30"/>
  <c r="U214" i="30"/>
  <c r="AE214" i="30"/>
  <c r="U177" i="30"/>
  <c r="AE177" i="30"/>
  <c r="U158" i="30"/>
  <c r="AE158" i="30"/>
  <c r="U350" i="30"/>
  <c r="AE350" i="30"/>
  <c r="U293" i="30"/>
  <c r="AE293" i="30"/>
  <c r="U387" i="30"/>
  <c r="AE387" i="30"/>
  <c r="U345" i="30"/>
  <c r="AE345" i="30"/>
  <c r="U741" i="30"/>
  <c r="AE741" i="30"/>
  <c r="U137" i="30"/>
  <c r="AE137" i="30"/>
  <c r="U264" i="30"/>
  <c r="AE264" i="30"/>
  <c r="U220" i="30"/>
  <c r="AE220" i="30"/>
  <c r="U436" i="30"/>
  <c r="AE436" i="30"/>
  <c r="U355" i="30"/>
  <c r="AE355" i="30"/>
  <c r="U272" i="30"/>
  <c r="AE272" i="30"/>
  <c r="U695" i="30"/>
  <c r="AE695" i="30"/>
  <c r="U654" i="30"/>
  <c r="AE654" i="30"/>
  <c r="U301" i="30"/>
  <c r="AE301" i="30"/>
  <c r="U141" i="30"/>
  <c r="AE141" i="30"/>
  <c r="U276" i="30"/>
  <c r="AE276" i="30"/>
  <c r="U367" i="30"/>
  <c r="AE367" i="30"/>
  <c r="U360" i="30"/>
  <c r="AE360" i="30"/>
  <c r="U319" i="30"/>
  <c r="AE319" i="30"/>
  <c r="U312" i="30"/>
  <c r="AE312" i="30"/>
  <c r="U261" i="30"/>
  <c r="AE261" i="30"/>
  <c r="U254" i="30"/>
  <c r="AE254" i="30"/>
  <c r="U246" i="30"/>
  <c r="AE246" i="30"/>
  <c r="U384" i="30"/>
  <c r="AE384" i="30"/>
  <c r="U372" i="30"/>
  <c r="AE372" i="30"/>
  <c r="U359" i="30"/>
  <c r="AE359" i="30"/>
  <c r="U247" i="30"/>
  <c r="AE247" i="30"/>
  <c r="U363" i="30"/>
  <c r="AE363" i="30"/>
  <c r="U688" i="30"/>
  <c r="AE688" i="30"/>
  <c r="U326" i="30"/>
  <c r="AE326" i="30"/>
  <c r="U722" i="30"/>
  <c r="AE722" i="30"/>
  <c r="U686" i="30"/>
  <c r="AE686" i="30"/>
  <c r="U732" i="30"/>
  <c r="AE732" i="30"/>
  <c r="U266" i="30"/>
  <c r="AE266" i="30"/>
  <c r="U390" i="30"/>
  <c r="AE390" i="30"/>
  <c r="U689" i="30"/>
  <c r="AE689" i="30"/>
  <c r="U490" i="30"/>
  <c r="AE490" i="30"/>
  <c r="U509" i="30"/>
  <c r="AE509" i="30"/>
  <c r="U196" i="30"/>
  <c r="AE196" i="30"/>
  <c r="U366" i="30"/>
  <c r="AE366" i="30"/>
  <c r="U325" i="30"/>
  <c r="AE325" i="30"/>
  <c r="U318" i="30"/>
  <c r="AE318" i="30"/>
  <c r="U310" i="30"/>
  <c r="AE310" i="30"/>
  <c r="U259" i="30"/>
  <c r="AE259" i="30"/>
  <c r="U252" i="30"/>
  <c r="AE252" i="30"/>
  <c r="U244" i="30"/>
  <c r="AE244" i="30"/>
  <c r="U433" i="30"/>
  <c r="AE433" i="30"/>
  <c r="U402" i="30"/>
  <c r="AE402" i="30"/>
  <c r="U322" i="30"/>
  <c r="AE322" i="30"/>
  <c r="U735" i="30"/>
  <c r="AE735" i="30"/>
  <c r="U712" i="30"/>
  <c r="AE712" i="30"/>
  <c r="U653" i="30"/>
  <c r="AE653" i="30"/>
  <c r="U697" i="30"/>
  <c r="AE697" i="30"/>
  <c r="U652" i="30"/>
  <c r="AE652" i="30"/>
  <c r="U432" i="30"/>
  <c r="AE432" i="30"/>
  <c r="U539" i="30"/>
  <c r="AE539" i="30"/>
  <c r="U385" i="30"/>
  <c r="AE385" i="30"/>
  <c r="U332" i="30"/>
  <c r="AE332" i="30"/>
  <c r="U282" i="30"/>
  <c r="AE282" i="30"/>
  <c r="U380" i="30"/>
  <c r="AE380" i="30"/>
  <c r="U262" i="30"/>
  <c r="AE262" i="30"/>
  <c r="U243" i="30"/>
  <c r="AE243" i="30"/>
  <c r="U191" i="30"/>
  <c r="AE191" i="30"/>
  <c r="U173" i="30"/>
  <c r="AE173" i="30"/>
  <c r="U435" i="30"/>
  <c r="AE435" i="30"/>
  <c r="U508" i="30"/>
  <c r="AE508" i="30"/>
  <c r="U154" i="30"/>
  <c r="AE154" i="30"/>
  <c r="U437" i="30"/>
  <c r="AE437" i="30"/>
  <c r="U334" i="30"/>
  <c r="AE334" i="30"/>
  <c r="U200" i="30"/>
  <c r="AE200" i="30"/>
  <c r="U505" i="30"/>
  <c r="AE505" i="30"/>
  <c r="U401" i="30"/>
  <c r="AE401" i="30"/>
  <c r="U291" i="30"/>
  <c r="AE291" i="30"/>
  <c r="U713" i="30"/>
  <c r="AE713" i="30"/>
  <c r="U341" i="30"/>
  <c r="AE341" i="30"/>
  <c r="U260" i="30"/>
  <c r="AE260" i="30"/>
  <c r="U241" i="30"/>
  <c r="AE241" i="30"/>
  <c r="U210" i="30"/>
  <c r="AE210" i="30"/>
  <c r="U194" i="30"/>
  <c r="AE194" i="30"/>
  <c r="U164" i="30"/>
  <c r="AE164" i="30"/>
  <c r="U144" i="30"/>
  <c r="AE144" i="30"/>
  <c r="U328" i="30"/>
  <c r="AE328" i="30"/>
  <c r="U309" i="30"/>
  <c r="AE309" i="30"/>
  <c r="U136" i="30"/>
  <c r="AE136" i="30"/>
  <c r="U630" i="30"/>
  <c r="AE630" i="30"/>
  <c r="U351" i="30"/>
  <c r="AE351" i="30"/>
  <c r="U629" i="30"/>
  <c r="AE629" i="30"/>
  <c r="U383" i="30"/>
  <c r="AE383" i="30"/>
  <c r="U175" i="30"/>
  <c r="AE175" i="30"/>
  <c r="U533" i="30"/>
  <c r="AE533" i="30"/>
  <c r="U724" i="30"/>
  <c r="AE724" i="30"/>
  <c r="U670" i="30"/>
  <c r="AE670" i="30"/>
  <c r="U720" i="30"/>
  <c r="AE720" i="30"/>
  <c r="U816" i="30"/>
  <c r="AE816" i="30"/>
  <c r="U506" i="30"/>
  <c r="AE506" i="30"/>
  <c r="U399" i="30"/>
  <c r="AE399" i="30"/>
  <c r="S544" i="30"/>
  <c r="U699" i="30"/>
  <c r="U667" i="30"/>
  <c r="U645" i="30"/>
  <c r="U628" i="30"/>
  <c r="T568" i="30"/>
  <c r="U416" i="30"/>
  <c r="T560" i="30"/>
  <c r="T425" i="30"/>
  <c r="AE425" i="30" s="1"/>
  <c r="T135" i="30"/>
  <c r="T704" i="30"/>
  <c r="T617" i="30"/>
  <c r="T540" i="30"/>
  <c r="T532" i="30"/>
  <c r="T354" i="30"/>
  <c r="T240" i="30"/>
  <c r="T294" i="30"/>
  <c r="T288" i="30"/>
  <c r="T331" i="30"/>
  <c r="T143" i="30"/>
  <c r="T726" i="30"/>
  <c r="T681" i="30"/>
  <c r="T625" i="30"/>
  <c r="T570" i="30"/>
  <c r="T543" i="30"/>
  <c r="T510" i="30"/>
  <c r="T746" i="30"/>
  <c r="T232" i="30"/>
  <c r="T308" i="30"/>
  <c r="T302" i="30"/>
  <c r="T275" i="30"/>
  <c r="T213" i="30"/>
  <c r="T219" i="30"/>
  <c r="T201" i="30"/>
  <c r="T224" i="30"/>
  <c r="T356" i="30"/>
  <c r="R489" i="30"/>
  <c r="S489" i="30" s="1"/>
  <c r="T489" i="30" s="1"/>
  <c r="U604" i="30"/>
  <c r="U512" i="30"/>
  <c r="R348" i="30"/>
  <c r="R227" i="30"/>
  <c r="S227" i="30" s="1"/>
  <c r="T227" i="30" s="1"/>
  <c r="R566" i="30"/>
  <c r="R538" i="30"/>
  <c r="S538" i="30" s="1"/>
  <c r="T538" i="30" s="1"/>
  <c r="R632" i="30"/>
  <c r="R375" i="30"/>
  <c r="S375" i="30" s="1"/>
  <c r="R300" i="30"/>
  <c r="S300" i="30" s="1"/>
  <c r="R335" i="30"/>
  <c r="S335" i="30" s="1"/>
  <c r="R217" i="30"/>
  <c r="S217" i="30" s="1"/>
  <c r="R161" i="30"/>
  <c r="S161" i="30" s="1"/>
  <c r="T161" i="30" s="1"/>
  <c r="R238" i="30"/>
  <c r="S238" i="30" s="1"/>
  <c r="U734" i="30"/>
  <c r="R279" i="30"/>
  <c r="S279" i="30" s="1"/>
  <c r="R292" i="30"/>
  <c r="S292" i="30" s="1"/>
  <c r="R273" i="30"/>
  <c r="S273" i="30" s="1"/>
  <c r="R228" i="30"/>
  <c r="S228" i="30" s="1"/>
  <c r="R195" i="30"/>
  <c r="S195" i="30" s="1"/>
  <c r="U671" i="30"/>
  <c r="U440" i="30"/>
  <c r="U418" i="30"/>
  <c r="U552" i="30"/>
  <c r="U478" i="30"/>
  <c r="U647" i="30"/>
  <c r="U580" i="30"/>
  <c r="R633" i="30"/>
  <c r="S633" i="30" s="1"/>
  <c r="T633" i="30" s="1"/>
  <c r="R379" i="30"/>
  <c r="S379" i="30" s="1"/>
  <c r="R339" i="30"/>
  <c r="S339" i="30" s="1"/>
  <c r="T339" i="30" s="1"/>
  <c r="R558" i="30"/>
  <c r="S558" i="30" s="1"/>
  <c r="T558" i="30" s="1"/>
  <c r="R530" i="30"/>
  <c r="U683" i="30"/>
  <c r="S682" i="30"/>
  <c r="R329" i="30"/>
  <c r="S329" i="30" s="1"/>
  <c r="R286" i="30"/>
  <c r="S286" i="30" s="1"/>
  <c r="R306" i="30"/>
  <c r="S306" i="30" s="1"/>
  <c r="R176" i="30"/>
  <c r="S176" i="30" s="1"/>
  <c r="T176" i="30" s="1"/>
  <c r="R153" i="30"/>
  <c r="U545" i="30"/>
  <c r="U676" i="30"/>
  <c r="R607" i="30"/>
  <c r="S607" i="30" s="1"/>
  <c r="T607" i="30" s="1"/>
  <c r="R290" i="30"/>
  <c r="S290" i="30" s="1"/>
  <c r="R230" i="30"/>
  <c r="S230" i="30" s="1"/>
  <c r="U611" i="30"/>
  <c r="R234" i="30"/>
  <c r="S234" i="30" s="1"/>
  <c r="R284" i="30"/>
  <c r="S284" i="30" s="1"/>
  <c r="R236" i="30"/>
  <c r="S236" i="30" s="1"/>
  <c r="R211" i="30"/>
  <c r="S211" i="30" s="1"/>
  <c r="S407" i="30"/>
  <c r="T407" i="30" s="1"/>
  <c r="AE407" i="30" s="1"/>
  <c r="P296" i="30"/>
  <c r="Q296" i="30" s="1"/>
  <c r="S824" i="30"/>
  <c r="T824" i="30" s="1"/>
  <c r="U716" i="30"/>
  <c r="S559" i="30"/>
  <c r="T559" i="30" s="1"/>
  <c r="S431" i="30"/>
  <c r="T431" i="30" s="1"/>
  <c r="S569" i="30"/>
  <c r="T569" i="30" s="1"/>
  <c r="S411" i="30"/>
  <c r="T411" i="30" s="1"/>
  <c r="S624" i="30"/>
  <c r="T624" i="30" s="1"/>
  <c r="AE624" i="30" s="1"/>
  <c r="R215" i="30"/>
  <c r="S215" i="30" s="1"/>
  <c r="R199" i="30"/>
  <c r="S199" i="30" s="1"/>
  <c r="R184" i="30"/>
  <c r="S184" i="30" s="1"/>
  <c r="R388" i="30"/>
  <c r="S388" i="30" s="1"/>
  <c r="T388" i="30" s="1"/>
  <c r="R377" i="30"/>
  <c r="S377" i="30" s="1"/>
  <c r="R352" i="30"/>
  <c r="S352" i="30" s="1"/>
  <c r="R342" i="30"/>
  <c r="S342" i="30" s="1"/>
  <c r="R174" i="30"/>
  <c r="S174" i="30" s="1"/>
  <c r="T174" i="30" s="1"/>
  <c r="R159" i="30"/>
  <c r="R577" i="30"/>
  <c r="S577" i="30" s="1"/>
  <c r="T577" i="30" s="1"/>
  <c r="R283" i="30"/>
  <c r="S361" i="30"/>
  <c r="T361" i="30" s="1"/>
  <c r="S245" i="30"/>
  <c r="T245" i="30" s="1"/>
  <c r="S701" i="30"/>
  <c r="T701" i="30" s="1"/>
  <c r="AE701" i="30" s="1"/>
  <c r="S324" i="30"/>
  <c r="T324" i="30" s="1"/>
  <c r="U838" i="30"/>
  <c r="U740" i="30"/>
  <c r="S541" i="30"/>
  <c r="T541" i="30" s="1"/>
  <c r="R344" i="30"/>
  <c r="S344" i="30" s="1"/>
  <c r="S249" i="30"/>
  <c r="T249" i="30" s="1"/>
  <c r="S145" i="30"/>
  <c r="T145" i="30" s="1"/>
  <c r="S818" i="30"/>
  <c r="T818" i="30" s="1"/>
  <c r="S692" i="30"/>
  <c r="T692" i="30" s="1"/>
  <c r="R576" i="30"/>
  <c r="S576" i="30" s="1"/>
  <c r="T576" i="30" s="1"/>
  <c r="AE576" i="30" s="1"/>
  <c r="S320" i="30"/>
  <c r="T320" i="30" s="1"/>
  <c r="R192" i="30"/>
  <c r="S192" i="30" s="1"/>
  <c r="T192" i="30" s="1"/>
  <c r="S163" i="30"/>
  <c r="T163" i="30" s="1"/>
  <c r="S165" i="30"/>
  <c r="T165" i="30" s="1"/>
  <c r="S256" i="30"/>
  <c r="T256" i="30" s="1"/>
  <c r="S155" i="30"/>
  <c r="T155" i="30" s="1"/>
  <c r="S157" i="30"/>
  <c r="T157" i="30" s="1"/>
  <c r="T429" i="30"/>
  <c r="AE429" i="30" s="1"/>
  <c r="S278" i="30"/>
  <c r="T278" i="30" s="1"/>
  <c r="S376" i="30"/>
  <c r="T376" i="30" s="1"/>
  <c r="S226" i="30"/>
  <c r="T226" i="30" s="1"/>
  <c r="T139" i="30"/>
  <c r="S231" i="30"/>
  <c r="T231" i="30" s="1"/>
  <c r="S181" i="30"/>
  <c r="T181" i="30" s="1"/>
  <c r="S146" i="30"/>
  <c r="T146" i="30" s="1"/>
  <c r="S138" i="30"/>
  <c r="T138" i="30" s="1"/>
  <c r="T737" i="30"/>
  <c r="T708" i="30"/>
  <c r="AE708" i="30" s="1"/>
  <c r="T613" i="30"/>
  <c r="T562" i="30"/>
  <c r="T534" i="30"/>
  <c r="T500" i="30"/>
  <c r="S369" i="30"/>
  <c r="T369" i="30" s="1"/>
  <c r="S362" i="30"/>
  <c r="T362" i="30" s="1"/>
  <c r="S321" i="30"/>
  <c r="T321" i="30" s="1"/>
  <c r="S314" i="30"/>
  <c r="T314" i="30" s="1"/>
  <c r="S263" i="30"/>
  <c r="T263" i="30" s="1"/>
  <c r="S255" i="30"/>
  <c r="T255" i="30" s="1"/>
  <c r="S248" i="30"/>
  <c r="T248" i="30" s="1"/>
  <c r="T441" i="30"/>
  <c r="S343" i="30"/>
  <c r="T343" i="30" s="1"/>
  <c r="S233" i="30"/>
  <c r="T233" i="30" s="1"/>
  <c r="S162" i="30"/>
  <c r="T162" i="30" s="1"/>
  <c r="R453" i="30"/>
  <c r="S289" i="30"/>
  <c r="T289" i="30" s="1"/>
  <c r="S382" i="30"/>
  <c r="T382" i="30" s="1"/>
  <c r="S303" i="30"/>
  <c r="T303" i="30" s="1"/>
  <c r="S218" i="30"/>
  <c r="T218" i="30" s="1"/>
  <c r="S202" i="30"/>
  <c r="T202" i="30" s="1"/>
  <c r="S179" i="30"/>
  <c r="T179" i="30" s="1"/>
  <c r="S156" i="30"/>
  <c r="T156" i="30" s="1"/>
  <c r="S298" i="30"/>
  <c r="T298" i="30" s="1"/>
  <c r="S140" i="30"/>
  <c r="T140" i="30" s="1"/>
  <c r="T717" i="30"/>
  <c r="T672" i="30"/>
  <c r="S565" i="30"/>
  <c r="T565" i="30" s="1"/>
  <c r="AE565" i="30" s="1"/>
  <c r="S557" i="30"/>
  <c r="T557" i="30" s="1"/>
  <c r="AE557" i="30" s="1"/>
  <c r="S537" i="30"/>
  <c r="T537" i="30" s="1"/>
  <c r="AE537" i="30" s="1"/>
  <c r="S529" i="30"/>
  <c r="T529" i="30" s="1"/>
  <c r="AE529" i="30" s="1"/>
  <c r="S488" i="30"/>
  <c r="T488" i="30" s="1"/>
  <c r="S371" i="30"/>
  <c r="T371" i="30" s="1"/>
  <c r="S364" i="30"/>
  <c r="T364" i="30" s="1"/>
  <c r="S323" i="30"/>
  <c r="T323" i="30" s="1"/>
  <c r="S316" i="30"/>
  <c r="T316" i="30" s="1"/>
  <c r="S265" i="30"/>
  <c r="T265" i="30" s="1"/>
  <c r="S257" i="30"/>
  <c r="T257" i="30" s="1"/>
  <c r="S250" i="30"/>
  <c r="T250" i="30" s="1"/>
  <c r="S242" i="30"/>
  <c r="T242" i="30" s="1"/>
  <c r="T386" i="30"/>
  <c r="T304" i="30"/>
  <c r="S299" i="30"/>
  <c r="T299" i="30" s="1"/>
  <c r="T346" i="30"/>
  <c r="T193" i="30"/>
  <c r="T271" i="30"/>
  <c r="T269" i="30"/>
  <c r="T180" i="30"/>
  <c r="T197" i="30"/>
  <c r="T333" i="30"/>
  <c r="T358" i="30"/>
  <c r="AE358" i="30" s="1"/>
  <c r="S160" i="30"/>
  <c r="T160" i="30" s="1"/>
  <c r="T221" i="30"/>
  <c r="T178" i="30"/>
  <c r="T340" i="30"/>
  <c r="T277" i="30"/>
  <c r="T203" i="30"/>
  <c r="T182" i="30"/>
  <c r="U613" i="30" l="1"/>
  <c r="AE613" i="30"/>
  <c r="U577" i="30"/>
  <c r="AE577" i="30"/>
  <c r="S819" i="30"/>
  <c r="AE824" i="30"/>
  <c r="S602" i="30"/>
  <c r="AE607" i="30"/>
  <c r="U617" i="30"/>
  <c r="AE617" i="30"/>
  <c r="U625" i="30"/>
  <c r="AE625" i="30"/>
  <c r="U203" i="30"/>
  <c r="AE203" i="30"/>
  <c r="U269" i="30"/>
  <c r="AE269" i="30"/>
  <c r="U193" i="30"/>
  <c r="AE193" i="30"/>
  <c r="U250" i="30"/>
  <c r="AE250" i="30"/>
  <c r="U323" i="30"/>
  <c r="AE323" i="30"/>
  <c r="U672" i="30"/>
  <c r="AE672" i="30"/>
  <c r="U156" i="30"/>
  <c r="AE156" i="30"/>
  <c r="U303" i="30"/>
  <c r="AE303" i="30"/>
  <c r="U162" i="30"/>
  <c r="AE162" i="30"/>
  <c r="U248" i="30"/>
  <c r="AE248" i="30"/>
  <c r="U321" i="30"/>
  <c r="AE321" i="30"/>
  <c r="U534" i="30"/>
  <c r="AE534" i="30"/>
  <c r="U138" i="30"/>
  <c r="AE138" i="30"/>
  <c r="U376" i="30"/>
  <c r="AE376" i="30"/>
  <c r="U192" i="30"/>
  <c r="AE192" i="30"/>
  <c r="U249" i="30"/>
  <c r="AE249" i="30"/>
  <c r="U174" i="30"/>
  <c r="AE174" i="30"/>
  <c r="U388" i="30"/>
  <c r="AE388" i="30"/>
  <c r="U569" i="30"/>
  <c r="AE569" i="30"/>
  <c r="U559" i="30"/>
  <c r="AE559" i="30"/>
  <c r="U176" i="30"/>
  <c r="AE176" i="30"/>
  <c r="U339" i="30"/>
  <c r="AE339" i="30"/>
  <c r="U633" i="30"/>
  <c r="AE633" i="30"/>
  <c r="U356" i="30"/>
  <c r="AE356" i="30"/>
  <c r="U201" i="30"/>
  <c r="AE201" i="30"/>
  <c r="U213" i="30"/>
  <c r="AE213" i="30"/>
  <c r="U302" i="30"/>
  <c r="AE302" i="30"/>
  <c r="U232" i="30"/>
  <c r="AE232" i="30"/>
  <c r="U510" i="30"/>
  <c r="AE510" i="30"/>
  <c r="U570" i="30"/>
  <c r="AE570" i="30"/>
  <c r="U681" i="30"/>
  <c r="AE681" i="30"/>
  <c r="U143" i="30"/>
  <c r="AE143" i="30"/>
  <c r="U288" i="30"/>
  <c r="AE288" i="30"/>
  <c r="U240" i="30"/>
  <c r="AE240" i="30"/>
  <c r="U532" i="30"/>
  <c r="AE532" i="30"/>
  <c r="U135" i="30"/>
  <c r="AE135" i="30"/>
  <c r="U560" i="30"/>
  <c r="AE560" i="30"/>
  <c r="U568" i="30"/>
  <c r="AE568" i="30"/>
  <c r="U340" i="30"/>
  <c r="AE340" i="30"/>
  <c r="U221" i="30"/>
  <c r="AE221" i="30"/>
  <c r="U197" i="30"/>
  <c r="AE197" i="30"/>
  <c r="U299" i="30"/>
  <c r="AE299" i="30"/>
  <c r="U386" i="30"/>
  <c r="AE386" i="30"/>
  <c r="U265" i="30"/>
  <c r="AE265" i="30"/>
  <c r="U371" i="30"/>
  <c r="AE371" i="30"/>
  <c r="U140" i="30"/>
  <c r="AE140" i="30"/>
  <c r="U202" i="30"/>
  <c r="AE202" i="30"/>
  <c r="U289" i="30"/>
  <c r="AE289" i="30"/>
  <c r="U343" i="30"/>
  <c r="AE343" i="30"/>
  <c r="U263" i="30"/>
  <c r="AE263" i="30"/>
  <c r="U369" i="30"/>
  <c r="AE369" i="30"/>
  <c r="U181" i="30"/>
  <c r="AE181" i="30"/>
  <c r="U139" i="30"/>
  <c r="AE139" i="30"/>
  <c r="U155" i="30"/>
  <c r="AE155" i="30"/>
  <c r="U165" i="30"/>
  <c r="AE165" i="30"/>
  <c r="S812" i="30"/>
  <c r="AE818" i="30"/>
  <c r="U541" i="30"/>
  <c r="AE541" i="30"/>
  <c r="U361" i="30"/>
  <c r="AE361" i="30"/>
  <c r="U182" i="30"/>
  <c r="AE182" i="30"/>
  <c r="U277" i="30"/>
  <c r="AE277" i="30"/>
  <c r="U178" i="30"/>
  <c r="AE178" i="30"/>
  <c r="U160" i="30"/>
  <c r="AE160" i="30"/>
  <c r="U333" i="30"/>
  <c r="AE333" i="30"/>
  <c r="U180" i="30"/>
  <c r="AE180" i="30"/>
  <c r="U271" i="30"/>
  <c r="AE271" i="30"/>
  <c r="U346" i="30"/>
  <c r="AE346" i="30"/>
  <c r="U304" i="30"/>
  <c r="AE304" i="30"/>
  <c r="U242" i="30"/>
  <c r="AE242" i="30"/>
  <c r="U257" i="30"/>
  <c r="AE257" i="30"/>
  <c r="U316" i="30"/>
  <c r="AE316" i="30"/>
  <c r="U364" i="30"/>
  <c r="AE364" i="30"/>
  <c r="S477" i="30"/>
  <c r="AE488" i="30"/>
  <c r="U717" i="30"/>
  <c r="AE717" i="30"/>
  <c r="U298" i="30"/>
  <c r="AE298" i="30"/>
  <c r="U179" i="30"/>
  <c r="AE179" i="30"/>
  <c r="U218" i="30"/>
  <c r="AE218" i="30"/>
  <c r="U382" i="30"/>
  <c r="AE382" i="30"/>
  <c r="U233" i="30"/>
  <c r="AE233" i="30"/>
  <c r="U441" i="30"/>
  <c r="AE441" i="30"/>
  <c r="U255" i="30"/>
  <c r="AE255" i="30"/>
  <c r="U314" i="30"/>
  <c r="AE314" i="30"/>
  <c r="U362" i="30"/>
  <c r="AE362" i="30"/>
  <c r="S496" i="30"/>
  <c r="AE500" i="30"/>
  <c r="U562" i="30"/>
  <c r="AE562" i="30"/>
  <c r="U737" i="30"/>
  <c r="AE737" i="30"/>
  <c r="U146" i="30"/>
  <c r="AE146" i="30"/>
  <c r="U231" i="30"/>
  <c r="AE231" i="30"/>
  <c r="U226" i="30"/>
  <c r="AE226" i="30"/>
  <c r="U278" i="30"/>
  <c r="AE278" i="30"/>
  <c r="U157" i="30"/>
  <c r="AE157" i="30"/>
  <c r="U256" i="30"/>
  <c r="AE256" i="30"/>
  <c r="U163" i="30"/>
  <c r="AE163" i="30"/>
  <c r="U320" i="30"/>
  <c r="AE320" i="30"/>
  <c r="S690" i="30"/>
  <c r="AE692" i="30"/>
  <c r="U145" i="30"/>
  <c r="AE145" i="30"/>
  <c r="U324" i="30"/>
  <c r="AE324" i="30"/>
  <c r="U245" i="30"/>
  <c r="AE245" i="30"/>
  <c r="U411" i="30"/>
  <c r="AE411" i="30"/>
  <c r="S430" i="30"/>
  <c r="AE431" i="30"/>
  <c r="U558" i="30"/>
  <c r="AE558" i="30"/>
  <c r="U161" i="30"/>
  <c r="AE161" i="30"/>
  <c r="U538" i="30"/>
  <c r="AE538" i="30"/>
  <c r="U227" i="30"/>
  <c r="AE227" i="30"/>
  <c r="U489" i="30"/>
  <c r="AE489" i="30"/>
  <c r="U224" i="30"/>
  <c r="AE224" i="30"/>
  <c r="U219" i="30"/>
  <c r="AE219" i="30"/>
  <c r="U275" i="30"/>
  <c r="AE275" i="30"/>
  <c r="U308" i="30"/>
  <c r="AE308" i="30"/>
  <c r="U746" i="30"/>
  <c r="AE746" i="30"/>
  <c r="U543" i="30"/>
  <c r="AE543" i="30"/>
  <c r="U726" i="30"/>
  <c r="AE726" i="30"/>
  <c r="U331" i="30"/>
  <c r="AE331" i="30"/>
  <c r="U294" i="30"/>
  <c r="AE294" i="30"/>
  <c r="U354" i="30"/>
  <c r="AE354" i="30"/>
  <c r="U540" i="30"/>
  <c r="AE540" i="30"/>
  <c r="U704" i="30"/>
  <c r="AE704" i="30"/>
  <c r="S397" i="30"/>
  <c r="U425" i="30"/>
  <c r="S424" i="30"/>
  <c r="S503" i="30"/>
  <c r="S739" i="30"/>
  <c r="S439" i="30"/>
  <c r="S644" i="30"/>
  <c r="S664" i="30"/>
  <c r="U358" i="30"/>
  <c r="C357" i="30"/>
  <c r="S698" i="30"/>
  <c r="S574" i="30"/>
  <c r="S665" i="30"/>
  <c r="S674" i="30"/>
  <c r="S608" i="30"/>
  <c r="U565" i="30"/>
  <c r="U537" i="30"/>
  <c r="S723" i="30"/>
  <c r="T379" i="30"/>
  <c r="T342" i="30"/>
  <c r="T377" i="30"/>
  <c r="T184" i="30"/>
  <c r="T228" i="30"/>
  <c r="T292" i="30"/>
  <c r="T306" i="30"/>
  <c r="T290" i="30"/>
  <c r="T236" i="30"/>
  <c r="T234" i="30"/>
  <c r="T238" i="30"/>
  <c r="T217" i="30"/>
  <c r="T329" i="30"/>
  <c r="T375" i="30"/>
  <c r="U488" i="30"/>
  <c r="U576" i="30"/>
  <c r="U692" i="30"/>
  <c r="U818" i="30"/>
  <c r="U701" i="30"/>
  <c r="R296" i="30"/>
  <c r="S296" i="30" s="1"/>
  <c r="T296" i="30" s="1"/>
  <c r="U607" i="30"/>
  <c r="U529" i="30"/>
  <c r="U557" i="30"/>
  <c r="U624" i="30"/>
  <c r="U824" i="30"/>
  <c r="U407" i="30"/>
  <c r="U500" i="30"/>
  <c r="U429" i="30"/>
  <c r="S428" i="30"/>
  <c r="S159" i="30"/>
  <c r="T159" i="30" s="1"/>
  <c r="S153" i="30"/>
  <c r="T153" i="30" s="1"/>
  <c r="U431" i="30"/>
  <c r="S453" i="30"/>
  <c r="T453" i="30" s="1"/>
  <c r="U708" i="30"/>
  <c r="S707" i="30"/>
  <c r="S706" i="30"/>
  <c r="T344" i="30"/>
  <c r="S283" i="30"/>
  <c r="T283" i="30" s="1"/>
  <c r="T352" i="30"/>
  <c r="T199" i="30"/>
  <c r="T215" i="30"/>
  <c r="S715" i="30"/>
  <c r="T211" i="30"/>
  <c r="T284" i="30"/>
  <c r="T230" i="30"/>
  <c r="T286" i="30"/>
  <c r="S530" i="30"/>
  <c r="T530" i="30" s="1"/>
  <c r="S666" i="30"/>
  <c r="T195" i="30"/>
  <c r="T273" i="30"/>
  <c r="T279" i="30"/>
  <c r="S731" i="30"/>
  <c r="T335" i="30"/>
  <c r="T300" i="30"/>
  <c r="S632" i="30"/>
  <c r="T632" i="30" s="1"/>
  <c r="S566" i="30"/>
  <c r="T566" i="30" s="1"/>
  <c r="S348" i="30"/>
  <c r="T348" i="30" s="1"/>
  <c r="S449" i="30" l="1"/>
  <c r="AE453" i="30"/>
  <c r="U300" i="30"/>
  <c r="AE300" i="30"/>
  <c r="U159" i="30"/>
  <c r="AE159" i="30"/>
  <c r="U296" i="30"/>
  <c r="AE296" i="30"/>
  <c r="U217" i="30"/>
  <c r="AE217" i="30"/>
  <c r="U290" i="30"/>
  <c r="AE290" i="30"/>
  <c r="U184" i="30"/>
  <c r="AE184" i="30"/>
  <c r="U342" i="30"/>
  <c r="AE342" i="30"/>
  <c r="S554" i="30"/>
  <c r="AE566" i="30"/>
  <c r="U273" i="30"/>
  <c r="AE273" i="30"/>
  <c r="U286" i="30"/>
  <c r="AE286" i="30"/>
  <c r="U284" i="30"/>
  <c r="AE284" i="30"/>
  <c r="U199" i="30"/>
  <c r="AE199" i="30"/>
  <c r="U283" i="30"/>
  <c r="AE283" i="30"/>
  <c r="U375" i="30"/>
  <c r="AE375" i="30"/>
  <c r="U234" i="30"/>
  <c r="AE234" i="30"/>
  <c r="U292" i="30"/>
  <c r="AE292" i="30"/>
  <c r="U348" i="30"/>
  <c r="AE348" i="30"/>
  <c r="S618" i="30"/>
  <c r="AE632" i="30"/>
  <c r="U335" i="30"/>
  <c r="AE335" i="30"/>
  <c r="U279" i="30"/>
  <c r="AE279" i="30"/>
  <c r="U195" i="30"/>
  <c r="AE195" i="30"/>
  <c r="S526" i="30"/>
  <c r="AE530" i="30"/>
  <c r="U230" i="30"/>
  <c r="AE230" i="30"/>
  <c r="U211" i="30"/>
  <c r="AE211" i="30"/>
  <c r="U215" i="30"/>
  <c r="AE215" i="30"/>
  <c r="U352" i="30"/>
  <c r="AE352" i="30"/>
  <c r="U344" i="30"/>
  <c r="AE344" i="30"/>
  <c r="U153" i="30"/>
  <c r="AE153" i="30"/>
  <c r="U329" i="30"/>
  <c r="AE329" i="30"/>
  <c r="U238" i="30"/>
  <c r="AE238" i="30"/>
  <c r="U236" i="30"/>
  <c r="AE236" i="30"/>
  <c r="U306" i="30"/>
  <c r="AE306" i="30"/>
  <c r="U228" i="30"/>
  <c r="AE228" i="30"/>
  <c r="U377" i="30"/>
  <c r="AE377" i="30"/>
  <c r="U379" i="30"/>
  <c r="AE379" i="30"/>
  <c r="U453" i="30"/>
  <c r="U632" i="30"/>
  <c r="U566" i="30"/>
  <c r="U530" i="30"/>
  <c r="I134" i="29" l="1"/>
  <c r="I135" i="29"/>
  <c r="I136" i="29"/>
  <c r="I137" i="29"/>
  <c r="I138" i="29"/>
  <c r="I139" i="29"/>
  <c r="I140" i="29"/>
  <c r="I141" i="29"/>
  <c r="I142" i="29"/>
  <c r="I143" i="29"/>
  <c r="I144" i="29"/>
  <c r="I145" i="29"/>
  <c r="I146" i="29"/>
  <c r="I147" i="29"/>
  <c r="I148" i="29"/>
  <c r="I149" i="29"/>
  <c r="I150" i="29"/>
  <c r="I151" i="29"/>
  <c r="I152" i="29"/>
  <c r="I153" i="29"/>
  <c r="I154" i="29"/>
  <c r="I155" i="29"/>
  <c r="I156" i="29"/>
  <c r="I157" i="29"/>
  <c r="I158" i="29"/>
  <c r="I159" i="29"/>
  <c r="I160" i="29"/>
  <c r="I161" i="29"/>
  <c r="I162" i="29"/>
  <c r="I163" i="29"/>
  <c r="I164" i="29"/>
  <c r="I165" i="29"/>
  <c r="I166" i="29"/>
  <c r="I167" i="29"/>
  <c r="I168" i="29"/>
  <c r="I169" i="29"/>
  <c r="I170" i="29"/>
  <c r="I171" i="29"/>
  <c r="I172" i="29"/>
  <c r="I173" i="29"/>
  <c r="I174" i="29"/>
  <c r="I175" i="29"/>
  <c r="I176" i="29"/>
  <c r="I177" i="29"/>
  <c r="I178" i="29"/>
  <c r="I179" i="29"/>
  <c r="I180" i="29"/>
  <c r="I181" i="29"/>
  <c r="I182" i="29"/>
  <c r="I183" i="29"/>
  <c r="I184" i="29"/>
  <c r="I185" i="29"/>
  <c r="I186" i="29"/>
  <c r="I187" i="29"/>
  <c r="I188" i="29"/>
  <c r="I189" i="29"/>
  <c r="I190" i="29"/>
  <c r="I191" i="29"/>
  <c r="I192" i="29"/>
  <c r="I193" i="29"/>
  <c r="I194" i="29"/>
  <c r="I195" i="29"/>
  <c r="I196" i="29"/>
  <c r="I197" i="29"/>
  <c r="I198" i="29"/>
  <c r="B134" i="29"/>
  <c r="B135" i="29"/>
  <c r="B136" i="29"/>
  <c r="B137" i="29"/>
  <c r="B138" i="29"/>
  <c r="B139" i="29"/>
  <c r="B140" i="29"/>
  <c r="B141" i="29"/>
  <c r="B142" i="29"/>
  <c r="B143" i="29"/>
  <c r="B144" i="29"/>
  <c r="B145" i="29"/>
  <c r="B146" i="29"/>
  <c r="B147" i="29"/>
  <c r="B148" i="29"/>
  <c r="B149" i="29"/>
  <c r="B150" i="29"/>
  <c r="B151" i="29"/>
  <c r="B152" i="29"/>
  <c r="B153" i="29"/>
  <c r="B154" i="29"/>
  <c r="B155" i="29"/>
  <c r="B156" i="29"/>
  <c r="B157" i="29"/>
  <c r="B158" i="29"/>
  <c r="B159" i="29"/>
  <c r="B160" i="29"/>
  <c r="B161" i="29"/>
  <c r="B162" i="29"/>
  <c r="B163" i="29"/>
  <c r="B164" i="29"/>
  <c r="B165" i="29"/>
  <c r="B166" i="29"/>
  <c r="B167" i="29"/>
  <c r="B168" i="29"/>
  <c r="B169" i="29"/>
  <c r="B170" i="29"/>
  <c r="B171" i="29"/>
  <c r="B172" i="29"/>
  <c r="B173" i="29"/>
  <c r="B174" i="29"/>
  <c r="B175" i="29"/>
  <c r="B176" i="29"/>
  <c r="B177" i="29"/>
  <c r="B178" i="29"/>
  <c r="B179" i="29"/>
  <c r="B180" i="29"/>
  <c r="B181" i="29"/>
  <c r="B182" i="29"/>
  <c r="B183" i="29"/>
  <c r="B184" i="29"/>
  <c r="B185" i="29"/>
  <c r="B186" i="29"/>
  <c r="B187" i="29"/>
  <c r="B188" i="29"/>
  <c r="B189" i="29"/>
  <c r="B190" i="29"/>
  <c r="B191" i="29"/>
  <c r="B192" i="29"/>
  <c r="B193" i="29"/>
  <c r="B194" i="29"/>
  <c r="B195" i="29"/>
  <c r="B196" i="29"/>
  <c r="B197" i="29"/>
  <c r="A121" i="16"/>
  <c r="A134" i="29" s="1"/>
  <c r="K68" i="16"/>
  <c r="K312" i="16"/>
  <c r="H171" i="16"/>
  <c r="J184" i="29" s="1"/>
  <c r="H170" i="16"/>
  <c r="J183" i="29" s="1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J81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A122" i="16" l="1"/>
  <c r="J170" i="16"/>
  <c r="K170" i="16" s="1"/>
  <c r="J171" i="16"/>
  <c r="K171" i="16" s="1"/>
  <c r="A123" i="16" l="1"/>
  <c r="A135" i="29"/>
  <c r="A124" i="16" l="1"/>
  <c r="A136" i="29"/>
  <c r="A125" i="16" l="1"/>
  <c r="A137" i="29"/>
  <c r="A126" i="16" l="1"/>
  <c r="A138" i="29"/>
  <c r="A127" i="16" l="1"/>
  <c r="A139" i="29"/>
  <c r="A128" i="16" l="1"/>
  <c r="A140" i="29"/>
  <c r="A129" i="16" l="1"/>
  <c r="A141" i="29"/>
  <c r="A130" i="16" l="1"/>
  <c r="A142" i="29"/>
  <c r="A131" i="16" l="1"/>
  <c r="A143" i="29"/>
  <c r="A132" i="16" l="1"/>
  <c r="A144" i="29"/>
  <c r="A133" i="16" l="1"/>
  <c r="A145" i="29"/>
  <c r="A134" i="16" l="1"/>
  <c r="A146" i="29"/>
  <c r="A135" i="16" l="1"/>
  <c r="A147" i="29"/>
  <c r="A136" i="16" l="1"/>
  <c r="A148" i="29"/>
  <c r="A137" i="16" l="1"/>
  <c r="A149" i="29"/>
  <c r="A138" i="16" l="1"/>
  <c r="A150" i="29"/>
  <c r="A139" i="16" l="1"/>
  <c r="A151" i="29"/>
  <c r="A140" i="16" l="1"/>
  <c r="A152" i="29"/>
  <c r="A141" i="16" l="1"/>
  <c r="A153" i="29"/>
  <c r="A142" i="16" l="1"/>
  <c r="A154" i="29"/>
  <c r="A143" i="16" l="1"/>
  <c r="A155" i="29"/>
  <c r="A144" i="16" l="1"/>
  <c r="A156" i="29"/>
  <c r="A145" i="16" l="1"/>
  <c r="A157" i="29"/>
  <c r="A146" i="16" l="1"/>
  <c r="A158" i="29"/>
  <c r="A147" i="16" l="1"/>
  <c r="A159" i="29"/>
  <c r="A148" i="16" l="1"/>
  <c r="A160" i="29"/>
  <c r="A149" i="16" l="1"/>
  <c r="A161" i="29"/>
  <c r="A150" i="16" l="1"/>
  <c r="A162" i="29"/>
  <c r="A151" i="16" l="1"/>
  <c r="A163" i="29"/>
  <c r="A152" i="16" l="1"/>
  <c r="A164" i="29"/>
  <c r="A153" i="16" l="1"/>
  <c r="A165" i="29"/>
  <c r="A154" i="16" l="1"/>
  <c r="A166" i="29"/>
  <c r="A155" i="16" l="1"/>
  <c r="A167" i="29"/>
  <c r="A156" i="16" l="1"/>
  <c r="A168" i="29"/>
  <c r="A157" i="16" l="1"/>
  <c r="A169" i="29"/>
  <c r="A158" i="16" l="1"/>
  <c r="A170" i="29"/>
  <c r="A159" i="16" l="1"/>
  <c r="A171" i="29"/>
  <c r="A160" i="16" l="1"/>
  <c r="A172" i="29"/>
  <c r="A161" i="16" l="1"/>
  <c r="A173" i="29"/>
  <c r="A162" i="16" l="1"/>
  <c r="A174" i="29"/>
  <c r="A163" i="16" l="1"/>
  <c r="A175" i="29"/>
  <c r="A164" i="16" l="1"/>
  <c r="A176" i="29"/>
  <c r="A165" i="16" l="1"/>
  <c r="A177" i="29"/>
  <c r="A166" i="16" l="1"/>
  <c r="A178" i="29"/>
  <c r="A167" i="16" l="1"/>
  <c r="A179" i="29"/>
  <c r="A168" i="16" l="1"/>
  <c r="A180" i="29"/>
  <c r="A169" i="16" l="1"/>
  <c r="A181" i="29"/>
  <c r="A170" i="16" l="1"/>
  <c r="A182" i="29"/>
  <c r="A171" i="16" l="1"/>
  <c r="A183" i="29"/>
  <c r="A172" i="16" l="1"/>
  <c r="A184" i="29"/>
  <c r="A173" i="16" l="1"/>
  <c r="A185" i="29"/>
  <c r="A174" i="16" l="1"/>
  <c r="A186" i="29"/>
  <c r="A175" i="16" l="1"/>
  <c r="A187" i="29"/>
  <c r="B92" i="32" l="1"/>
  <c r="A176" i="16"/>
  <c r="A188" i="29"/>
  <c r="A177" i="16" l="1"/>
  <c r="A189" i="29"/>
  <c r="A178" i="16" l="1"/>
  <c r="A190" i="29"/>
  <c r="A179" i="16" l="1"/>
  <c r="A191" i="29"/>
  <c r="A180" i="16" l="1"/>
  <c r="A192" i="29"/>
  <c r="A181" i="16" l="1"/>
  <c r="A193" i="29"/>
  <c r="A182" i="16" l="1"/>
  <c r="A194" i="29"/>
  <c r="A183" i="16" l="1"/>
  <c r="A195" i="29"/>
  <c r="A184" i="16" l="1"/>
  <c r="A196" i="29"/>
  <c r="A185" i="16" l="1"/>
  <c r="A186" i="16" s="1"/>
  <c r="A197" i="29"/>
  <c r="S311" i="16" l="1"/>
  <c r="S310" i="16"/>
  <c r="S309" i="16"/>
  <c r="H9" i="28" l="1"/>
  <c r="B9" i="28"/>
  <c r="H1" i="28"/>
  <c r="I180" i="16" l="1"/>
  <c r="A198" i="29"/>
  <c r="B198" i="29"/>
  <c r="M142" i="16"/>
  <c r="L142" i="16" s="1"/>
  <c r="M141" i="16"/>
  <c r="L141" i="16" s="1"/>
  <c r="M140" i="16"/>
  <c r="L140" i="16" s="1"/>
  <c r="M139" i="16"/>
  <c r="L139" i="16" s="1"/>
  <c r="M138" i="16"/>
  <c r="L138" i="16" s="1"/>
  <c r="M137" i="16"/>
  <c r="L137" i="16" s="1"/>
  <c r="M136" i="16"/>
  <c r="L136" i="16" s="1"/>
  <c r="R140" i="16"/>
  <c r="H140" i="16"/>
  <c r="J153" i="29" s="1"/>
  <c r="R139" i="16"/>
  <c r="H139" i="16"/>
  <c r="J152" i="29" s="1"/>
  <c r="R152" i="16"/>
  <c r="M152" i="16"/>
  <c r="L152" i="16" s="1"/>
  <c r="R151" i="16"/>
  <c r="M151" i="16"/>
  <c r="L151" i="16" s="1"/>
  <c r="R150" i="16"/>
  <c r="M150" i="16"/>
  <c r="L150" i="16" s="1"/>
  <c r="R149" i="16"/>
  <c r="M149" i="16"/>
  <c r="L149" i="16" s="1"/>
  <c r="R148" i="16"/>
  <c r="M148" i="16"/>
  <c r="L148" i="16" s="1"/>
  <c r="H150" i="16"/>
  <c r="J163" i="29" s="1"/>
  <c r="H149" i="16"/>
  <c r="J162" i="29" s="1"/>
  <c r="R142" i="16"/>
  <c r="R141" i="16"/>
  <c r="R138" i="16"/>
  <c r="R137" i="16"/>
  <c r="R136" i="16"/>
  <c r="R135" i="16"/>
  <c r="M135" i="16"/>
  <c r="L135" i="16" s="1"/>
  <c r="H14" i="28"/>
  <c r="B14" i="28"/>
  <c r="H6" i="28"/>
  <c r="I93" i="16"/>
  <c r="I86" i="16"/>
  <c r="I87" i="16"/>
  <c r="J139" i="16" l="1"/>
  <c r="K139" i="16" s="1"/>
  <c r="J140" i="16"/>
  <c r="K140" i="16" s="1"/>
  <c r="J150" i="16"/>
  <c r="K150" i="16" s="1"/>
  <c r="J149" i="16"/>
  <c r="K149" i="16" s="1"/>
  <c r="M87" i="17"/>
  <c r="BC89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C81" i="17"/>
  <c r="C80" i="17"/>
  <c r="C79" i="17"/>
  <c r="C78" i="17"/>
  <c r="C85" i="17"/>
  <c r="C84" i="17"/>
  <c r="C83" i="17"/>
  <c r="C82" i="17"/>
  <c r="BC90" i="17" l="1"/>
  <c r="C77" i="17"/>
  <c r="C86" i="17"/>
  <c r="C76" i="17"/>
  <c r="C75" i="17"/>
  <c r="AG41" i="17" l="1"/>
  <c r="AG40" i="17"/>
  <c r="AG39" i="17"/>
  <c r="AG38" i="17"/>
  <c r="AG37" i="17"/>
  <c r="AG36" i="17"/>
  <c r="AG35" i="17"/>
  <c r="AG34" i="17"/>
  <c r="AG30" i="17"/>
  <c r="AR41" i="17"/>
  <c r="AR40" i="17"/>
  <c r="AR39" i="17"/>
  <c r="AR38" i="17"/>
  <c r="AR37" i="17"/>
  <c r="AR36" i="17"/>
  <c r="AR35" i="17"/>
  <c r="AR34" i="17"/>
  <c r="AG31" i="17" l="1"/>
  <c r="BN54" i="17"/>
  <c r="AF31" i="17"/>
  <c r="AF32" i="17"/>
  <c r="AF33" i="17"/>
  <c r="AF34" i="17"/>
  <c r="AF35" i="17"/>
  <c r="AF36" i="17"/>
  <c r="AF37" i="17"/>
  <c r="AF38" i="17"/>
  <c r="AF39" i="17"/>
  <c r="AF40" i="17"/>
  <c r="AF41" i="17"/>
  <c r="AF30" i="17"/>
  <c r="LX31" i="17" l="1"/>
  <c r="AG32" i="17"/>
  <c r="P197" i="16"/>
  <c r="AG33" i="17" l="1"/>
  <c r="LX33" i="17" s="1"/>
  <c r="LX32" i="17"/>
  <c r="LX34" i="17"/>
  <c r="LX35" i="17"/>
  <c r="LX36" i="17"/>
  <c r="LX37" i="17"/>
  <c r="LX38" i="17"/>
  <c r="LX39" i="17"/>
  <c r="LX40" i="17"/>
  <c r="LX41" i="17"/>
  <c r="R147" i="16" l="1"/>
  <c r="M147" i="16"/>
  <c r="L147" i="16" s="1"/>
  <c r="R146" i="16"/>
  <c r="M146" i="16"/>
  <c r="L146" i="16" s="1"/>
  <c r="R145" i="16"/>
  <c r="M145" i="16"/>
  <c r="L145" i="16" s="1"/>
  <c r="R144" i="16"/>
  <c r="M144" i="16"/>
  <c r="L144" i="16" s="1"/>
  <c r="R143" i="16"/>
  <c r="M143" i="16"/>
  <c r="L143" i="16" s="1"/>
  <c r="I143" i="16" s="1"/>
  <c r="H152" i="16"/>
  <c r="J165" i="29" s="1"/>
  <c r="H151" i="16"/>
  <c r="J164" i="29" s="1"/>
  <c r="H148" i="16"/>
  <c r="J161" i="29" s="1"/>
  <c r="H147" i="16"/>
  <c r="J160" i="29" s="1"/>
  <c r="H146" i="16"/>
  <c r="J159" i="29" s="1"/>
  <c r="T40" i="31"/>
  <c r="T41" i="31"/>
  <c r="T42" i="31"/>
  <c r="T43" i="31"/>
  <c r="T44" i="31"/>
  <c r="T45" i="31"/>
  <c r="T46" i="31"/>
  <c r="T47" i="31"/>
  <c r="T48" i="31"/>
  <c r="T49" i="31"/>
  <c r="T50" i="31"/>
  <c r="T39" i="31"/>
  <c r="K2" i="28"/>
  <c r="J151" i="16" l="1"/>
  <c r="K151" i="16" s="1"/>
  <c r="J147" i="16"/>
  <c r="K147" i="16" s="1"/>
  <c r="J148" i="16"/>
  <c r="K148" i="16" s="1"/>
  <c r="J152" i="16"/>
  <c r="K152" i="16" s="1"/>
  <c r="J146" i="16"/>
  <c r="K146" i="16" s="1"/>
  <c r="K10" i="28"/>
  <c r="E10" i="28"/>
  <c r="LW37" i="17"/>
  <c r="LV37" i="17" s="1"/>
  <c r="LW38" i="17"/>
  <c r="LV38" i="17" s="1"/>
  <c r="LW39" i="17"/>
  <c r="LV39" i="17" s="1"/>
  <c r="LW40" i="17"/>
  <c r="LV40" i="17" s="1"/>
  <c r="LW41" i="17"/>
  <c r="LV41" i="17" s="1"/>
  <c r="KC31" i="17" l="1"/>
  <c r="KC32" i="17"/>
  <c r="KC33" i="17"/>
  <c r="KC34" i="17"/>
  <c r="KC35" i="17"/>
  <c r="KC36" i="17"/>
  <c r="KC37" i="17"/>
  <c r="KC38" i="17"/>
  <c r="KC39" i="17"/>
  <c r="KC40" i="17"/>
  <c r="KC41" i="17"/>
  <c r="KC30" i="17"/>
  <c r="D36" i="18"/>
  <c r="J40" i="31" s="1"/>
  <c r="D37" i="18"/>
  <c r="J41" i="31" s="1"/>
  <c r="D38" i="18"/>
  <c r="J42" i="31" s="1"/>
  <c r="D39" i="18"/>
  <c r="J43" i="31" s="1"/>
  <c r="D40" i="18"/>
  <c r="J44" i="31" s="1"/>
  <c r="D41" i="18"/>
  <c r="J45" i="31" s="1"/>
  <c r="D42" i="18"/>
  <c r="J46" i="31" s="1"/>
  <c r="D43" i="18"/>
  <c r="K132" i="32" s="1"/>
  <c r="D44" i="18"/>
  <c r="K133" i="32" s="1"/>
  <c r="D45" i="18"/>
  <c r="K134" i="32" s="1"/>
  <c r="D46" i="18"/>
  <c r="K135" i="32" s="1"/>
  <c r="D35" i="18"/>
  <c r="K124" i="32" s="1"/>
  <c r="E36" i="18"/>
  <c r="G125" i="32" s="1"/>
  <c r="E37" i="18"/>
  <c r="F41" i="31" s="1"/>
  <c r="E38" i="18"/>
  <c r="F42" i="31" s="1"/>
  <c r="E39" i="18"/>
  <c r="G128" i="32" s="1"/>
  <c r="E40" i="18"/>
  <c r="G129" i="32" s="1"/>
  <c r="E41" i="18"/>
  <c r="G130" i="32" s="1"/>
  <c r="E42" i="18"/>
  <c r="F46" i="31" s="1"/>
  <c r="E43" i="18"/>
  <c r="G132" i="32" s="1"/>
  <c r="E44" i="18"/>
  <c r="F48" i="31" s="1"/>
  <c r="E45" i="18"/>
  <c r="F49" i="31" s="1"/>
  <c r="E46" i="18"/>
  <c r="F50" i="31" s="1"/>
  <c r="E35" i="18"/>
  <c r="G124" i="32" s="1"/>
  <c r="F36" i="18"/>
  <c r="N125" i="32" s="1"/>
  <c r="F37" i="18"/>
  <c r="F38" i="18"/>
  <c r="N127" i="32" s="1"/>
  <c r="F39" i="18"/>
  <c r="F40" i="18"/>
  <c r="N129" i="32" s="1"/>
  <c r="F41" i="18"/>
  <c r="K41" i="18" s="1"/>
  <c r="AB45" i="31" s="1"/>
  <c r="F42" i="18"/>
  <c r="K42" i="18" s="1"/>
  <c r="AB46" i="31" s="1"/>
  <c r="F43" i="18"/>
  <c r="K43" i="18" s="1"/>
  <c r="AB47" i="31" s="1"/>
  <c r="F44" i="18"/>
  <c r="K44" i="18" s="1"/>
  <c r="AB48" i="31" s="1"/>
  <c r="F45" i="18"/>
  <c r="K45" i="18" s="1"/>
  <c r="AB49" i="31" s="1"/>
  <c r="F46" i="18"/>
  <c r="K46" i="18" s="1"/>
  <c r="AB50" i="31" s="1"/>
  <c r="F35" i="18"/>
  <c r="M39" i="31" s="1"/>
  <c r="J50" i="31" l="1"/>
  <c r="J47" i="31"/>
  <c r="J39" i="31"/>
  <c r="G126" i="32"/>
  <c r="J48" i="31"/>
  <c r="G127" i="32"/>
  <c r="J49" i="31"/>
  <c r="G131" i="32"/>
  <c r="G133" i="32"/>
  <c r="G134" i="32"/>
  <c r="F43" i="31"/>
  <c r="F40" i="31"/>
  <c r="F44" i="31"/>
  <c r="F45" i="31"/>
  <c r="G135" i="32"/>
  <c r="F47" i="31"/>
  <c r="N126" i="32"/>
  <c r="N128" i="32"/>
  <c r="M40" i="31"/>
  <c r="M41" i="31"/>
  <c r="M42" i="31"/>
  <c r="N134" i="32"/>
  <c r="N131" i="32"/>
  <c r="N135" i="32"/>
  <c r="M44" i="31"/>
  <c r="M43" i="31"/>
  <c r="N124" i="32"/>
  <c r="M45" i="31"/>
  <c r="N132" i="32"/>
  <c r="F39" i="31"/>
  <c r="K125" i="32"/>
  <c r="M46" i="31"/>
  <c r="K126" i="32"/>
  <c r="M47" i="31"/>
  <c r="K127" i="32"/>
  <c r="M48" i="31"/>
  <c r="N130" i="32"/>
  <c r="N133" i="32"/>
  <c r="K128" i="32"/>
  <c r="M49" i="31"/>
  <c r="K129" i="32"/>
  <c r="M50" i="31"/>
  <c r="K40" i="18"/>
  <c r="AB44" i="31" s="1"/>
  <c r="K130" i="32"/>
  <c r="K131" i="32"/>
  <c r="AP37" i="17" l="1"/>
  <c r="AP38" i="17"/>
  <c r="AP39" i="17"/>
  <c r="AP40" i="17"/>
  <c r="AP41" i="17"/>
  <c r="R312" i="16"/>
  <c r="LL40" i="17" l="1"/>
  <c r="LL37" i="17"/>
  <c r="LL39" i="17"/>
  <c r="LL41" i="17"/>
  <c r="LL38" i="17"/>
  <c r="G13" i="33"/>
  <c r="C9" i="7"/>
  <c r="M11" i="33" l="1"/>
  <c r="O30" i="17" l="1"/>
  <c r="H87" i="16"/>
  <c r="J87" i="16" l="1"/>
  <c r="K87" i="16" s="1"/>
  <c r="J100" i="29"/>
  <c r="H94" i="16"/>
  <c r="J107" i="29" s="1"/>
  <c r="J94" i="16" l="1"/>
  <c r="K94" i="16" s="1"/>
  <c r="K4" i="32"/>
  <c r="J4" i="31"/>
  <c r="BC103" i="17" l="1"/>
  <c r="BC101" i="17"/>
  <c r="BC100" i="17"/>
  <c r="BC99" i="17"/>
  <c r="BC98" i="17"/>
  <c r="BC97" i="17"/>
  <c r="BC96" i="17"/>
  <c r="BC95" i="17"/>
  <c r="BC94" i="17"/>
  <c r="BC93" i="17"/>
  <c r="BC92" i="17"/>
  <c r="BC91" i="17"/>
  <c r="BC88" i="17"/>
  <c r="BC87" i="17"/>
  <c r="Z19" i="32"/>
  <c r="AK1" i="32" l="1"/>
  <c r="A19" i="32"/>
  <c r="J30" i="27"/>
  <c r="LX30" i="17"/>
  <c r="AI31" i="17"/>
  <c r="AI30" i="17"/>
  <c r="O11" i="33" l="1"/>
  <c r="O11" i="27"/>
  <c r="C2" i="31"/>
  <c r="D2" i="32"/>
  <c r="H93" i="16" l="1"/>
  <c r="CK31" i="17"/>
  <c r="CG32" i="17"/>
  <c r="CH32" i="17"/>
  <c r="CI32" i="17"/>
  <c r="CJ32" i="17"/>
  <c r="CK32" i="17"/>
  <c r="CL32" i="17"/>
  <c r="CB33" i="17"/>
  <c r="CG33" i="17"/>
  <c r="CH33" i="17"/>
  <c r="CI33" i="17"/>
  <c r="CJ33" i="17"/>
  <c r="CK33" i="17"/>
  <c r="CL33" i="17"/>
  <c r="CB34" i="17"/>
  <c r="CD34" i="17"/>
  <c r="CE34" i="17"/>
  <c r="CF34" i="17"/>
  <c r="CG34" i="17"/>
  <c r="CH34" i="17"/>
  <c r="CI34" i="17"/>
  <c r="CJ34" i="17"/>
  <c r="CK34" i="17"/>
  <c r="CL34" i="17"/>
  <c r="CB35" i="17"/>
  <c r="CD35" i="17"/>
  <c r="CE35" i="17"/>
  <c r="CF35" i="17"/>
  <c r="CG35" i="17"/>
  <c r="CH35" i="17"/>
  <c r="CI35" i="17"/>
  <c r="CJ35" i="17"/>
  <c r="CK35" i="17"/>
  <c r="CL35" i="17"/>
  <c r="CB36" i="17"/>
  <c r="CD36" i="17"/>
  <c r="CE36" i="17"/>
  <c r="CF36" i="17"/>
  <c r="CG36" i="17"/>
  <c r="CH36" i="17"/>
  <c r="CI36" i="17"/>
  <c r="CJ36" i="17"/>
  <c r="CK36" i="17"/>
  <c r="CL36" i="17"/>
  <c r="CB37" i="17"/>
  <c r="CD37" i="17"/>
  <c r="CE37" i="17"/>
  <c r="CF37" i="17"/>
  <c r="CG37" i="17"/>
  <c r="CH37" i="17"/>
  <c r="CI37" i="17"/>
  <c r="CJ37" i="17"/>
  <c r="CK37" i="17"/>
  <c r="CL37" i="17"/>
  <c r="CB38" i="17"/>
  <c r="CD38" i="17"/>
  <c r="CE38" i="17"/>
  <c r="CF38" i="17"/>
  <c r="CG38" i="17"/>
  <c r="CH38" i="17"/>
  <c r="CI38" i="17"/>
  <c r="CJ38" i="17"/>
  <c r="CK38" i="17"/>
  <c r="CL38" i="17"/>
  <c r="CB39" i="17"/>
  <c r="CD39" i="17"/>
  <c r="CE39" i="17"/>
  <c r="CF39" i="17"/>
  <c r="CG39" i="17"/>
  <c r="CH39" i="17"/>
  <c r="CI39" i="17"/>
  <c r="CJ39" i="17"/>
  <c r="CK39" i="17"/>
  <c r="CL39" i="17"/>
  <c r="CB40" i="17"/>
  <c r="CD40" i="17"/>
  <c r="CE40" i="17"/>
  <c r="CF40" i="17"/>
  <c r="CG40" i="17"/>
  <c r="CH40" i="17"/>
  <c r="CI40" i="17"/>
  <c r="CJ40" i="17"/>
  <c r="CK40" i="17"/>
  <c r="CL40" i="17"/>
  <c r="CB41" i="17"/>
  <c r="CD41" i="17"/>
  <c r="CE41" i="17"/>
  <c r="CF41" i="17"/>
  <c r="CG41" i="17"/>
  <c r="CH41" i="17"/>
  <c r="CI41" i="17"/>
  <c r="CJ41" i="17"/>
  <c r="CK41" i="17"/>
  <c r="CL41" i="17"/>
  <c r="J93" i="16" l="1"/>
  <c r="K93" i="16" s="1"/>
  <c r="J106" i="29"/>
  <c r="G10" i="32"/>
  <c r="AD8" i="32"/>
  <c r="C1" i="30"/>
  <c r="U74" i="30"/>
  <c r="U37" i="30"/>
  <c r="U36" i="30"/>
  <c r="I110" i="30" l="1"/>
  <c r="J110" i="30" s="1"/>
  <c r="I73" i="30"/>
  <c r="J73" i="30" s="1"/>
  <c r="M110" i="30"/>
  <c r="O110" i="30" s="1"/>
  <c r="P110" i="30" s="1"/>
  <c r="Q110" i="30" s="1"/>
  <c r="R110" i="30" s="1"/>
  <c r="S110" i="30" s="1"/>
  <c r="M73" i="30"/>
  <c r="O73" i="30" s="1"/>
  <c r="E52" i="18"/>
  <c r="I80" i="35" s="1"/>
  <c r="E51" i="18"/>
  <c r="E50" i="18"/>
  <c r="E49" i="18"/>
  <c r="I77" i="35" s="1"/>
  <c r="AM31" i="17"/>
  <c r="AM32" i="17"/>
  <c r="AM33" i="17"/>
  <c r="AM34" i="17"/>
  <c r="AM35" i="17"/>
  <c r="AM36" i="17"/>
  <c r="AM37" i="17"/>
  <c r="AN37" i="17"/>
  <c r="AM38" i="17"/>
  <c r="AN38" i="17"/>
  <c r="AM39" i="17"/>
  <c r="AN39" i="17"/>
  <c r="AM40" i="17"/>
  <c r="AN40" i="17"/>
  <c r="AM41" i="17"/>
  <c r="AN41" i="17"/>
  <c r="AM30" i="17"/>
  <c r="JR1" i="17"/>
  <c r="BC1" i="32" l="1"/>
  <c r="AS1" i="32"/>
  <c r="M51" i="18"/>
  <c r="M49" i="18"/>
  <c r="J18" i="35"/>
  <c r="M50" i="18"/>
  <c r="M52" i="18"/>
  <c r="E19" i="11"/>
  <c r="I79" i="35"/>
  <c r="E20" i="11"/>
  <c r="I78" i="35"/>
  <c r="C50" i="18"/>
  <c r="M104" i="30"/>
  <c r="O104" i="30" s="1"/>
  <c r="I109" i="30"/>
  <c r="J109" i="30" s="1"/>
  <c r="I70" i="30"/>
  <c r="J70" i="30" s="1"/>
  <c r="M67" i="30"/>
  <c r="O67" i="30" s="1"/>
  <c r="P73" i="30"/>
  <c r="Q73" i="30" s="1"/>
  <c r="R73" i="30" s="1"/>
  <c r="S73" i="30" s="1"/>
  <c r="T73" i="30" s="1"/>
  <c r="I69" i="30"/>
  <c r="J69" i="30" s="1"/>
  <c r="I108" i="30"/>
  <c r="J108" i="30" s="1"/>
  <c r="M71" i="30"/>
  <c r="O71" i="30" s="1"/>
  <c r="I105" i="30"/>
  <c r="J105" i="30" s="1"/>
  <c r="I106" i="30"/>
  <c r="J106" i="30" s="1"/>
  <c r="M66" i="30"/>
  <c r="O66" i="30" s="1"/>
  <c r="M107" i="30"/>
  <c r="O107" i="30" s="1"/>
  <c r="M103" i="30"/>
  <c r="O103" i="30" s="1"/>
  <c r="P103" i="30" s="1"/>
  <c r="Q103" i="30" s="1"/>
  <c r="R103" i="30" s="1"/>
  <c r="S103" i="30" s="1"/>
  <c r="T103" i="30" s="1"/>
  <c r="M68" i="30"/>
  <c r="O68" i="30" s="1"/>
  <c r="M75" i="30"/>
  <c r="O75" i="30" s="1"/>
  <c r="I72" i="30"/>
  <c r="J72" i="30" s="1"/>
  <c r="M106" i="30"/>
  <c r="O106" i="30" s="1"/>
  <c r="I107" i="30"/>
  <c r="I104" i="30"/>
  <c r="J104" i="30" s="1"/>
  <c r="M105" i="30"/>
  <c r="O105" i="30" s="1"/>
  <c r="P105" i="30" s="1"/>
  <c r="Q105" i="30" s="1"/>
  <c r="R105" i="30" s="1"/>
  <c r="S105" i="30" s="1"/>
  <c r="T105" i="30" s="1"/>
  <c r="I103" i="30"/>
  <c r="M108" i="30"/>
  <c r="O108" i="30" s="1"/>
  <c r="M109" i="30"/>
  <c r="O109" i="30" s="1"/>
  <c r="M72" i="30"/>
  <c r="O72" i="30" s="1"/>
  <c r="P72" i="30" s="1"/>
  <c r="M69" i="30"/>
  <c r="O69" i="30" s="1"/>
  <c r="P69" i="30" s="1"/>
  <c r="Q69" i="30" s="1"/>
  <c r="I66" i="30"/>
  <c r="M70" i="30"/>
  <c r="O70" i="30" s="1"/>
  <c r="P70" i="30" s="1"/>
  <c r="I71" i="30"/>
  <c r="J71" i="30" s="1"/>
  <c r="M38" i="30"/>
  <c r="O38" i="30" s="1"/>
  <c r="I68" i="30"/>
  <c r="J68" i="30" s="1"/>
  <c r="I67" i="30"/>
  <c r="J67" i="30" s="1"/>
  <c r="T110" i="30"/>
  <c r="AE110" i="30" s="1"/>
  <c r="I37" i="30" l="1"/>
  <c r="U105" i="30"/>
  <c r="AE105" i="30"/>
  <c r="U103" i="30"/>
  <c r="AE103" i="30"/>
  <c r="U73" i="30"/>
  <c r="AE73" i="30"/>
  <c r="AA12" i="32"/>
  <c r="J107" i="30"/>
  <c r="I74" i="30"/>
  <c r="J103" i="30"/>
  <c r="J66" i="30"/>
  <c r="J75" i="30"/>
  <c r="U110" i="30"/>
  <c r="AR1" i="32"/>
  <c r="AU1" i="32"/>
  <c r="AN1" i="32"/>
  <c r="AZ1" i="32"/>
  <c r="AL1" i="32"/>
  <c r="AY1" i="32"/>
  <c r="AX1" i="32"/>
  <c r="AQ1" i="32"/>
  <c r="BA1" i="32"/>
  <c r="AM1" i="32"/>
  <c r="AP1" i="32"/>
  <c r="BB1" i="32"/>
  <c r="AW1" i="32"/>
  <c r="AO1" i="32"/>
  <c r="AL77" i="35"/>
  <c r="AL15" i="35"/>
  <c r="AL79" i="35"/>
  <c r="C20" i="11"/>
  <c r="E78" i="35"/>
  <c r="P68" i="30"/>
  <c r="Q68" i="30" s="1"/>
  <c r="R68" i="30" s="1"/>
  <c r="S68" i="30" s="1"/>
  <c r="P107" i="30"/>
  <c r="Q107" i="30" s="1"/>
  <c r="R107" i="30" s="1"/>
  <c r="S107" i="30" s="1"/>
  <c r="T107" i="30" s="1"/>
  <c r="P75" i="30"/>
  <c r="Q75" i="30" s="1"/>
  <c r="R75" i="30" s="1"/>
  <c r="S75" i="30" s="1"/>
  <c r="J38" i="30"/>
  <c r="P104" i="30"/>
  <c r="Q104" i="30" s="1"/>
  <c r="R104" i="30" s="1"/>
  <c r="P66" i="30"/>
  <c r="Q66" i="30" s="1"/>
  <c r="R66" i="30" s="1"/>
  <c r="P71" i="30"/>
  <c r="Q71" i="30" s="1"/>
  <c r="R71" i="30" s="1"/>
  <c r="S71" i="30" s="1"/>
  <c r="P67" i="30"/>
  <c r="Q67" i="30" s="1"/>
  <c r="R67" i="30" s="1"/>
  <c r="S67" i="30" s="1"/>
  <c r="P108" i="30"/>
  <c r="Q108" i="30" s="1"/>
  <c r="R108" i="30" s="1"/>
  <c r="S108" i="30" s="1"/>
  <c r="P109" i="30"/>
  <c r="Q109" i="30" s="1"/>
  <c r="R109" i="30" s="1"/>
  <c r="S109" i="30" s="1"/>
  <c r="T109" i="30" s="1"/>
  <c r="AE109" i="30" s="1"/>
  <c r="P106" i="30"/>
  <c r="Q106" i="30" s="1"/>
  <c r="R106" i="30" s="1"/>
  <c r="S106" i="30" s="1"/>
  <c r="P38" i="30"/>
  <c r="Q38" i="30" s="1"/>
  <c r="R38" i="30" s="1"/>
  <c r="S38" i="30" s="1"/>
  <c r="Q70" i="30"/>
  <c r="R70" i="30" s="1"/>
  <c r="Q72" i="30"/>
  <c r="R72" i="30" s="1"/>
  <c r="R69" i="30"/>
  <c r="S69" i="30" s="1"/>
  <c r="C1" i="17"/>
  <c r="I36" i="30" l="1"/>
  <c r="J36" i="30" s="1"/>
  <c r="KT30" i="17" s="1"/>
  <c r="KV30" i="17" s="1"/>
  <c r="U107" i="30"/>
  <c r="AE107" i="30"/>
  <c r="U109" i="30"/>
  <c r="T68" i="30"/>
  <c r="T75" i="30"/>
  <c r="S104" i="30"/>
  <c r="T104" i="30" s="1"/>
  <c r="T71" i="30"/>
  <c r="T67" i="30"/>
  <c r="T106" i="30"/>
  <c r="T108" i="30"/>
  <c r="AE108" i="30" s="1"/>
  <c r="S70" i="30"/>
  <c r="T70" i="30" s="1"/>
  <c r="T38" i="30"/>
  <c r="S72" i="30"/>
  <c r="T72" i="30" s="1"/>
  <c r="T69" i="30"/>
  <c r="S66" i="30"/>
  <c r="T66" i="30" s="1"/>
  <c r="U69" i="30" l="1"/>
  <c r="AE69" i="30"/>
  <c r="U38" i="30"/>
  <c r="AE38" i="30"/>
  <c r="U67" i="30"/>
  <c r="AE67" i="30"/>
  <c r="U104" i="30"/>
  <c r="AE104" i="30"/>
  <c r="U68" i="30"/>
  <c r="AE68" i="30"/>
  <c r="U66" i="30"/>
  <c r="AE66" i="30"/>
  <c r="U72" i="30"/>
  <c r="AE72" i="30"/>
  <c r="U70" i="30"/>
  <c r="AE70" i="30"/>
  <c r="U106" i="30"/>
  <c r="AE106" i="30"/>
  <c r="U71" i="30"/>
  <c r="AE71" i="30"/>
  <c r="U75" i="30"/>
  <c r="AE75" i="30"/>
  <c r="U108" i="30"/>
  <c r="I301" i="16" l="1"/>
  <c r="M306" i="16"/>
  <c r="M305" i="16"/>
  <c r="M304" i="16"/>
  <c r="M303" i="16"/>
  <c r="M300" i="16"/>
  <c r="I300" i="16" s="1"/>
  <c r="M299" i="16"/>
  <c r="I299" i="16" s="1"/>
  <c r="M298" i="16"/>
  <c r="I298" i="16" s="1"/>
  <c r="M297" i="16"/>
  <c r="I297" i="16" s="1"/>
  <c r="M296" i="16"/>
  <c r="I296" i="16" s="1"/>
  <c r="M295" i="16"/>
  <c r="I295" i="16" s="1"/>
  <c r="M294" i="16"/>
  <c r="I294" i="16" s="1"/>
  <c r="M293" i="16"/>
  <c r="I293" i="16" s="1"/>
  <c r="M292" i="16"/>
  <c r="I292" i="16" s="1"/>
  <c r="M291" i="16"/>
  <c r="I291" i="16" s="1"/>
  <c r="M290" i="16"/>
  <c r="I290" i="16" s="1"/>
  <c r="M289" i="16"/>
  <c r="I289" i="16" s="1"/>
  <c r="M287" i="16"/>
  <c r="M286" i="16"/>
  <c r="M285" i="16"/>
  <c r="M284" i="16"/>
  <c r="M283" i="16"/>
  <c r="M282" i="16"/>
  <c r="M281" i="16"/>
  <c r="M280" i="16"/>
  <c r="M279" i="16"/>
  <c r="M278" i="16"/>
  <c r="M277" i="16"/>
  <c r="M276" i="16"/>
  <c r="M275" i="16"/>
  <c r="M274" i="16"/>
  <c r="M273" i="16"/>
  <c r="M272" i="16"/>
  <c r="M271" i="16"/>
  <c r="M270" i="16"/>
  <c r="M269" i="16"/>
  <c r="M268" i="16"/>
  <c r="M267" i="16"/>
  <c r="M266" i="16"/>
  <c r="M265" i="16"/>
  <c r="M264" i="16"/>
  <c r="M263" i="16"/>
  <c r="M262" i="16"/>
  <c r="M261" i="16"/>
  <c r="M260" i="16"/>
  <c r="M259" i="16"/>
  <c r="M258" i="16"/>
  <c r="M257" i="16"/>
  <c r="M256" i="16"/>
  <c r="I256" i="16" s="1"/>
  <c r="M255" i="16"/>
  <c r="I255" i="16" s="1"/>
  <c r="M254" i="16"/>
  <c r="I254" i="16" s="1"/>
  <c r="M253" i="16"/>
  <c r="I253" i="16" s="1"/>
  <c r="M252" i="16"/>
  <c r="I252" i="16" s="1"/>
  <c r="M251" i="16"/>
  <c r="I251" i="16" s="1"/>
  <c r="M250" i="16"/>
  <c r="I250" i="16" s="1"/>
  <c r="M249" i="16"/>
  <c r="I249" i="16" s="1"/>
  <c r="M248" i="16"/>
  <c r="I248" i="16" s="1"/>
  <c r="M247" i="16"/>
  <c r="I247" i="16" s="1"/>
  <c r="M246" i="16"/>
  <c r="I246" i="16" s="1"/>
  <c r="M212" i="16"/>
  <c r="M206" i="16"/>
  <c r="M205" i="16"/>
  <c r="I187" i="16" l="1"/>
  <c r="I186" i="16"/>
  <c r="I185" i="16"/>
  <c r="I184" i="16"/>
  <c r="I183" i="16"/>
  <c r="I182" i="16"/>
  <c r="I181" i="16"/>
  <c r="I179" i="16"/>
  <c r="I178" i="16"/>
  <c r="I172" i="16"/>
  <c r="I167" i="16"/>
  <c r="I166" i="16"/>
  <c r="I131" i="16"/>
  <c r="I130" i="16"/>
  <c r="I128" i="16"/>
  <c r="I127" i="16"/>
  <c r="I126" i="16"/>
  <c r="I125" i="16"/>
  <c r="I124" i="16"/>
  <c r="I121" i="16"/>
  <c r="H143" i="16"/>
  <c r="I97" i="16"/>
  <c r="I96" i="16"/>
  <c r="I15" i="16"/>
  <c r="J156" i="29" l="1"/>
  <c r="J143" i="16"/>
  <c r="K143" i="16" s="1"/>
  <c r="E10" i="19"/>
  <c r="E11" i="19"/>
  <c r="E12" i="19"/>
  <c r="E13" i="19"/>
  <c r="E14" i="19"/>
  <c r="E15" i="19"/>
  <c r="E16" i="19"/>
  <c r="E17" i="19"/>
  <c r="E18" i="19"/>
  <c r="E19" i="19"/>
  <c r="E20" i="19"/>
  <c r="D10" i="19"/>
  <c r="D11" i="19"/>
  <c r="D12" i="19"/>
  <c r="D13" i="19"/>
  <c r="D14" i="19"/>
  <c r="D15" i="19"/>
  <c r="D16" i="19"/>
  <c r="G16" i="19" s="1"/>
  <c r="D17" i="19"/>
  <c r="G17" i="19" s="1"/>
  <c r="D18" i="19"/>
  <c r="G18" i="19" s="1"/>
  <c r="D19" i="19"/>
  <c r="G19" i="19" s="1"/>
  <c r="D20" i="19"/>
  <c r="G20" i="19" s="1"/>
  <c r="C10" i="19"/>
  <c r="C11" i="19"/>
  <c r="C12" i="19"/>
  <c r="C13" i="19"/>
  <c r="C14" i="19"/>
  <c r="C15" i="19"/>
  <c r="C16" i="19"/>
  <c r="C17" i="19"/>
  <c r="C18" i="19"/>
  <c r="C19" i="19"/>
  <c r="C20" i="19"/>
  <c r="E11" i="7"/>
  <c r="E13" i="7"/>
  <c r="E15" i="7"/>
  <c r="E17" i="7"/>
  <c r="E19" i="7"/>
  <c r="E21" i="7"/>
  <c r="E23" i="7"/>
  <c r="E25" i="7"/>
  <c r="E27" i="7"/>
  <c r="E29" i="7"/>
  <c r="E31" i="7"/>
  <c r="D11" i="7"/>
  <c r="D13" i="7"/>
  <c r="D15" i="7"/>
  <c r="D17" i="7"/>
  <c r="D19" i="7"/>
  <c r="I19" i="7" s="1"/>
  <c r="D21" i="7"/>
  <c r="I21" i="7" s="1"/>
  <c r="D23" i="7"/>
  <c r="I23" i="7" s="1"/>
  <c r="D25" i="7"/>
  <c r="I25" i="7" s="1"/>
  <c r="D27" i="7"/>
  <c r="I27" i="7" s="1"/>
  <c r="D29" i="7"/>
  <c r="I29" i="7" s="1"/>
  <c r="D31" i="7"/>
  <c r="I31" i="7" s="1"/>
  <c r="C11" i="7"/>
  <c r="C13" i="7"/>
  <c r="C15" i="7"/>
  <c r="C17" i="7"/>
  <c r="C19" i="7"/>
  <c r="C21" i="7"/>
  <c r="C23" i="7"/>
  <c r="C25" i="7"/>
  <c r="C27" i="7"/>
  <c r="C29" i="7"/>
  <c r="C31" i="7"/>
  <c r="H203" i="29"/>
  <c r="H204" i="29"/>
  <c r="H205" i="29"/>
  <c r="H206" i="29"/>
  <c r="H207" i="29"/>
  <c r="H208" i="29"/>
  <c r="H209" i="29"/>
  <c r="H210" i="29"/>
  <c r="H211" i="29"/>
  <c r="H212" i="29"/>
  <c r="H213" i="29"/>
  <c r="G203" i="29"/>
  <c r="G204" i="29"/>
  <c r="G205" i="29"/>
  <c r="G206" i="29"/>
  <c r="G207" i="29"/>
  <c r="G208" i="29"/>
  <c r="G209" i="29"/>
  <c r="G210" i="29"/>
  <c r="G211" i="29"/>
  <c r="G212" i="29"/>
  <c r="G213" i="29"/>
  <c r="AC8" i="31"/>
  <c r="G25" i="7" l="1"/>
  <c r="J210" i="29" s="1"/>
  <c r="J25" i="7"/>
  <c r="M25" i="7"/>
  <c r="G29" i="7"/>
  <c r="J212" i="29" s="1"/>
  <c r="J29" i="7"/>
  <c r="M29" i="7"/>
  <c r="J21" i="7"/>
  <c r="M21" i="7"/>
  <c r="G31" i="7"/>
  <c r="J213" i="29" s="1"/>
  <c r="J31" i="7"/>
  <c r="M31" i="7"/>
  <c r="G23" i="7"/>
  <c r="J209" i="29" s="1"/>
  <c r="J23" i="7"/>
  <c r="M23" i="7"/>
  <c r="J19" i="7"/>
  <c r="M19" i="7"/>
  <c r="G27" i="7"/>
  <c r="J211" i="29" s="1"/>
  <c r="M27" i="7"/>
  <c r="J27" i="7"/>
  <c r="L53" i="18"/>
  <c r="R97" i="17" l="1"/>
  <c r="BO30" i="17" l="1"/>
  <c r="BQ30" i="17" s="1"/>
  <c r="N56" i="17"/>
  <c r="N55" i="17"/>
  <c r="N54" i="17"/>
  <c r="N53" i="17"/>
  <c r="N52" i="17"/>
  <c r="N51" i="17"/>
  <c r="N50" i="17"/>
  <c r="N49" i="17"/>
  <c r="N48" i="17"/>
  <c r="N47" i="17"/>
  <c r="N46" i="17"/>
  <c r="N45" i="17"/>
  <c r="E45" i="17"/>
  <c r="A30" i="17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Z41" i="17"/>
  <c r="Y69" i="35" s="1"/>
  <c r="Z40" i="17"/>
  <c r="Y68" i="35" s="1"/>
  <c r="Z39" i="17"/>
  <c r="Y67" i="35" s="1"/>
  <c r="BO33" i="17"/>
  <c r="BQ33" i="17" s="1"/>
  <c r="BN33" i="17"/>
  <c r="BG33" i="17"/>
  <c r="AI33" i="17"/>
  <c r="AH33" i="17"/>
  <c r="G45" i="18" l="1"/>
  <c r="G44" i="18"/>
  <c r="G46" i="18"/>
  <c r="L31" i="7"/>
  <c r="H31" i="7"/>
  <c r="F20" i="19"/>
  <c r="L29" i="7"/>
  <c r="H29" i="7"/>
  <c r="F19" i="19"/>
  <c r="L27" i="7"/>
  <c r="H27" i="7"/>
  <c r="F18" i="19"/>
  <c r="W41" i="17"/>
  <c r="DG41" i="17" s="1"/>
  <c r="W40" i="17"/>
  <c r="DG40" i="17" s="1"/>
  <c r="W39" i="17"/>
  <c r="DG39" i="17" s="1"/>
  <c r="T33" i="17"/>
  <c r="O33" i="17"/>
  <c r="BO32" i="17"/>
  <c r="BQ32" i="17" s="1"/>
  <c r="BN32" i="17"/>
  <c r="BF32" i="17"/>
  <c r="AI32" i="17"/>
  <c r="AH32" i="17"/>
  <c r="DT39" i="17" l="1"/>
  <c r="DX39" i="17"/>
  <c r="DT41" i="17"/>
  <c r="DX41" i="17"/>
  <c r="DX40" i="17"/>
  <c r="DT40" i="17"/>
  <c r="DJ40" i="17"/>
  <c r="DO40" i="17"/>
  <c r="DO39" i="17"/>
  <c r="DJ39" i="17"/>
  <c r="DO41" i="17"/>
  <c r="DJ41" i="17"/>
  <c r="AZ33" i="17"/>
  <c r="S33" i="17"/>
  <c r="T32" i="17"/>
  <c r="AZ32" i="17" s="1"/>
  <c r="KS32" i="17" s="1"/>
  <c r="O32" i="17"/>
  <c r="BO31" i="17"/>
  <c r="BQ31" i="17" s="1"/>
  <c r="BN31" i="17"/>
  <c r="AH31" i="17"/>
  <c r="H209" i="30" l="1"/>
  <c r="I209" i="30" s="1"/>
  <c r="H207" i="30"/>
  <c r="I207" i="30" s="1"/>
  <c r="H205" i="30"/>
  <c r="I205" i="30" s="1"/>
  <c r="H189" i="30"/>
  <c r="I189" i="30" s="1"/>
  <c r="H187" i="30"/>
  <c r="I187" i="30" s="1"/>
  <c r="H171" i="30"/>
  <c r="I171" i="30" s="1"/>
  <c r="H169" i="30"/>
  <c r="I169" i="30" s="1"/>
  <c r="H167" i="30"/>
  <c r="I167" i="30" s="1"/>
  <c r="H151" i="30"/>
  <c r="I151" i="30" s="1"/>
  <c r="H149" i="30"/>
  <c r="I149" i="30" s="1"/>
  <c r="H134" i="30"/>
  <c r="I134" i="30" s="1"/>
  <c r="H132" i="30"/>
  <c r="I132" i="30" s="1"/>
  <c r="H130" i="30"/>
  <c r="I130" i="30" s="1"/>
  <c r="H208" i="30"/>
  <c r="I208" i="30" s="1"/>
  <c r="H206" i="30"/>
  <c r="I206" i="30" s="1"/>
  <c r="H190" i="30"/>
  <c r="I190" i="30" s="1"/>
  <c r="H188" i="30"/>
  <c r="I188" i="30" s="1"/>
  <c r="H186" i="30"/>
  <c r="I186" i="30" s="1"/>
  <c r="H170" i="30"/>
  <c r="I170" i="30" s="1"/>
  <c r="H168" i="30"/>
  <c r="I168" i="30" s="1"/>
  <c r="H152" i="30"/>
  <c r="I152" i="30" s="1"/>
  <c r="H150" i="30"/>
  <c r="I150" i="30" s="1"/>
  <c r="H148" i="30"/>
  <c r="I148" i="30" s="1"/>
  <c r="H133" i="30"/>
  <c r="I133" i="30" s="1"/>
  <c r="H131" i="30"/>
  <c r="I131" i="30" s="1"/>
  <c r="BA33" i="17"/>
  <c r="KS33" i="17"/>
  <c r="BA32" i="17"/>
  <c r="S32" i="17"/>
  <c r="T31" i="17"/>
  <c r="O31" i="17"/>
  <c r="BF41" i="17"/>
  <c r="BF40" i="17"/>
  <c r="BF38" i="17"/>
  <c r="F10" i="31"/>
  <c r="J152" i="30" l="1"/>
  <c r="M152" i="30"/>
  <c r="O152" i="30" s="1"/>
  <c r="P152" i="30" s="1"/>
  <c r="J168" i="30"/>
  <c r="M168" i="30"/>
  <c r="O168" i="30" s="1"/>
  <c r="P168" i="30" s="1"/>
  <c r="Q168" i="30" s="1"/>
  <c r="J170" i="30"/>
  <c r="M170" i="30"/>
  <c r="O170" i="30" s="1"/>
  <c r="P170" i="30" s="1"/>
  <c r="I185" i="30"/>
  <c r="J186" i="30"/>
  <c r="M186" i="30"/>
  <c r="O186" i="30" s="1"/>
  <c r="P186" i="30" s="1"/>
  <c r="Q186" i="30" s="1"/>
  <c r="M188" i="30"/>
  <c r="O188" i="30" s="1"/>
  <c r="P188" i="30" s="1"/>
  <c r="Q188" i="30" s="1"/>
  <c r="R188" i="30" s="1"/>
  <c r="S188" i="30" s="1"/>
  <c r="T188" i="30" s="1"/>
  <c r="J188" i="30"/>
  <c r="J190" i="30"/>
  <c r="M190" i="30"/>
  <c r="O190" i="30" s="1"/>
  <c r="P190" i="30" s="1"/>
  <c r="Q190" i="30" s="1"/>
  <c r="R190" i="30" s="1"/>
  <c r="S190" i="30" s="1"/>
  <c r="T190" i="30" s="1"/>
  <c r="M206" i="30"/>
  <c r="O206" i="30" s="1"/>
  <c r="P206" i="30" s="1"/>
  <c r="J206" i="30"/>
  <c r="J208" i="30"/>
  <c r="M208" i="30"/>
  <c r="O208" i="30" s="1"/>
  <c r="P208" i="30" s="1"/>
  <c r="Q208" i="30" s="1"/>
  <c r="R208" i="30" s="1"/>
  <c r="S208" i="30" s="1"/>
  <c r="T208" i="30" s="1"/>
  <c r="I129" i="30"/>
  <c r="M130" i="30"/>
  <c r="O130" i="30" s="1"/>
  <c r="P130" i="30" s="1"/>
  <c r="Q130" i="30" s="1"/>
  <c r="R130" i="30" s="1"/>
  <c r="S130" i="30" s="1"/>
  <c r="T130" i="30" s="1"/>
  <c r="J130" i="30"/>
  <c r="J132" i="30"/>
  <c r="M132" i="30"/>
  <c r="O132" i="30" s="1"/>
  <c r="P132" i="30" s="1"/>
  <c r="Q132" i="30" s="1"/>
  <c r="R132" i="30" s="1"/>
  <c r="S132" i="30" s="1"/>
  <c r="M134" i="30"/>
  <c r="O134" i="30" s="1"/>
  <c r="P134" i="30" s="1"/>
  <c r="Q134" i="30" s="1"/>
  <c r="R134" i="30" s="1"/>
  <c r="S134" i="30" s="1"/>
  <c r="J134" i="30"/>
  <c r="M149" i="30"/>
  <c r="O149" i="30" s="1"/>
  <c r="P149" i="30" s="1"/>
  <c r="Q149" i="30" s="1"/>
  <c r="R149" i="30" s="1"/>
  <c r="S149" i="30" s="1"/>
  <c r="T149" i="30" s="1"/>
  <c r="J149" i="30"/>
  <c r="M151" i="30"/>
  <c r="O151" i="30" s="1"/>
  <c r="P151" i="30" s="1"/>
  <c r="Q151" i="30" s="1"/>
  <c r="R151" i="30" s="1"/>
  <c r="S151" i="30" s="1"/>
  <c r="T151" i="30" s="1"/>
  <c r="U151" i="30" s="1"/>
  <c r="J151" i="30"/>
  <c r="J167" i="30"/>
  <c r="I166" i="30"/>
  <c r="M167" i="30"/>
  <c r="O167" i="30" s="1"/>
  <c r="P167" i="30" s="1"/>
  <c r="Q167" i="30" s="1"/>
  <c r="R167" i="30" s="1"/>
  <c r="S167" i="30" s="1"/>
  <c r="T167" i="30" s="1"/>
  <c r="U167" i="30" s="1"/>
  <c r="M169" i="30"/>
  <c r="O169" i="30" s="1"/>
  <c r="P169" i="30" s="1"/>
  <c r="Q169" i="30" s="1"/>
  <c r="R169" i="30" s="1"/>
  <c r="S169" i="30" s="1"/>
  <c r="J169" i="30"/>
  <c r="J131" i="30"/>
  <c r="M131" i="30"/>
  <c r="O131" i="30" s="1"/>
  <c r="P131" i="30" s="1"/>
  <c r="Q131" i="30" s="1"/>
  <c r="R131" i="30" s="1"/>
  <c r="S131" i="30" s="1"/>
  <c r="T131" i="30" s="1"/>
  <c r="J171" i="30"/>
  <c r="M171" i="30"/>
  <c r="O171" i="30" s="1"/>
  <c r="P171" i="30" s="1"/>
  <c r="Q171" i="30" s="1"/>
  <c r="R171" i="30" s="1"/>
  <c r="S171" i="30" s="1"/>
  <c r="T171" i="30" s="1"/>
  <c r="J187" i="30"/>
  <c r="M187" i="30"/>
  <c r="O187" i="30" s="1"/>
  <c r="P187" i="30" s="1"/>
  <c r="M189" i="30"/>
  <c r="O189" i="30" s="1"/>
  <c r="P189" i="30" s="1"/>
  <c r="Q189" i="30" s="1"/>
  <c r="R189" i="30" s="1"/>
  <c r="S189" i="30" s="1"/>
  <c r="T189" i="30" s="1"/>
  <c r="J189" i="30"/>
  <c r="J150" i="30"/>
  <c r="M150" i="30"/>
  <c r="O150" i="30" s="1"/>
  <c r="P150" i="30" s="1"/>
  <c r="Q150" i="30" s="1"/>
  <c r="R150" i="30" s="1"/>
  <c r="S150" i="30" s="1"/>
  <c r="T150" i="30" s="1"/>
  <c r="I204" i="30"/>
  <c r="M205" i="30"/>
  <c r="O205" i="30" s="1"/>
  <c r="P205" i="30" s="1"/>
  <c r="Q205" i="30" s="1"/>
  <c r="J205" i="30"/>
  <c r="M133" i="30"/>
  <c r="O133" i="30" s="1"/>
  <c r="P133" i="30" s="1"/>
  <c r="Q133" i="30" s="1"/>
  <c r="R133" i="30" s="1"/>
  <c r="S133" i="30" s="1"/>
  <c r="T133" i="30" s="1"/>
  <c r="J133" i="30"/>
  <c r="J207" i="30"/>
  <c r="M207" i="30"/>
  <c r="O207" i="30" s="1"/>
  <c r="P207" i="30" s="1"/>
  <c r="Q207" i="30" s="1"/>
  <c r="R207" i="30" s="1"/>
  <c r="S207" i="30" s="1"/>
  <c r="T207" i="30" s="1"/>
  <c r="J148" i="30"/>
  <c r="I147" i="30"/>
  <c r="M148" i="30"/>
  <c r="O148" i="30" s="1"/>
  <c r="P148" i="30" s="1"/>
  <c r="J209" i="30"/>
  <c r="M209" i="30"/>
  <c r="O209" i="30" s="1"/>
  <c r="P209" i="30" s="1"/>
  <c r="Q209" i="30" s="1"/>
  <c r="R209" i="30" s="1"/>
  <c r="S209" i="30" s="1"/>
  <c r="U131" i="30"/>
  <c r="AE131" i="30"/>
  <c r="Q206" i="30"/>
  <c r="R206" i="30" s="1"/>
  <c r="S206" i="30" s="1"/>
  <c r="T206" i="30" s="1"/>
  <c r="Q170" i="30"/>
  <c r="R170" i="30" s="1"/>
  <c r="S170" i="30" s="1"/>
  <c r="T170" i="30" s="1"/>
  <c r="Q152" i="30"/>
  <c r="R152" i="30" s="1"/>
  <c r="S152" i="30" s="1"/>
  <c r="T152" i="30" s="1"/>
  <c r="R168" i="30"/>
  <c r="S168" i="30" s="1"/>
  <c r="T168" i="30" s="1"/>
  <c r="R205" i="30"/>
  <c r="S205" i="30" s="1"/>
  <c r="T205" i="30" s="1"/>
  <c r="R186" i="30"/>
  <c r="S186" i="30" s="1"/>
  <c r="T186" i="30" s="1"/>
  <c r="A23" i="31"/>
  <c r="A26" i="31"/>
  <c r="S31" i="17"/>
  <c r="AZ31" i="17"/>
  <c r="A22" i="31"/>
  <c r="A25" i="31"/>
  <c r="A24" i="31"/>
  <c r="A21" i="31"/>
  <c r="Q187" i="30" l="1"/>
  <c r="R187" i="30" s="1"/>
  <c r="S187" i="30" s="1"/>
  <c r="T187" i="30" s="1"/>
  <c r="I128" i="30"/>
  <c r="U208" i="30"/>
  <c r="AE208" i="30"/>
  <c r="AE130" i="30"/>
  <c r="U130" i="30"/>
  <c r="AE151" i="30"/>
  <c r="AE189" i="30"/>
  <c r="U189" i="30"/>
  <c r="T134" i="30"/>
  <c r="AE134" i="30" s="1"/>
  <c r="Q148" i="30"/>
  <c r="R148" i="30" s="1"/>
  <c r="S148" i="30" s="1"/>
  <c r="T148" i="30" s="1"/>
  <c r="AE148" i="30" s="1"/>
  <c r="AE167" i="30"/>
  <c r="AE133" i="30"/>
  <c r="U133" i="30"/>
  <c r="T169" i="30"/>
  <c r="T209" i="30"/>
  <c r="U209" i="30" s="1"/>
  <c r="U152" i="30"/>
  <c r="AE152" i="30"/>
  <c r="U169" i="30"/>
  <c r="AE169" i="30"/>
  <c r="U187" i="30"/>
  <c r="AE187" i="30"/>
  <c r="U206" i="30"/>
  <c r="AE206" i="30"/>
  <c r="U207" i="30"/>
  <c r="AE207" i="30"/>
  <c r="U205" i="30"/>
  <c r="AE205" i="30"/>
  <c r="U149" i="30"/>
  <c r="AE149" i="30"/>
  <c r="U150" i="30"/>
  <c r="AE150" i="30"/>
  <c r="U188" i="30"/>
  <c r="AE188" i="30"/>
  <c r="U186" i="30"/>
  <c r="AE186" i="30"/>
  <c r="U168" i="30"/>
  <c r="AE168" i="30"/>
  <c r="U171" i="30"/>
  <c r="AE171" i="30"/>
  <c r="U190" i="30"/>
  <c r="AE190" i="30"/>
  <c r="U170" i="30"/>
  <c r="AE170" i="30"/>
  <c r="T132" i="30"/>
  <c r="BA31" i="17"/>
  <c r="KS31" i="17"/>
  <c r="A19" i="31"/>
  <c r="A20" i="31"/>
  <c r="BG36" i="17"/>
  <c r="BG39" i="17"/>
  <c r="BH41" i="17"/>
  <c r="BH40" i="17"/>
  <c r="BH39" i="17"/>
  <c r="BH37" i="17"/>
  <c r="U134" i="30" l="1"/>
  <c r="U148" i="30"/>
  <c r="AE209" i="30"/>
  <c r="S128" i="30"/>
  <c r="AE132" i="30"/>
  <c r="U132" i="30"/>
  <c r="A27" i="31"/>
  <c r="A28" i="31"/>
  <c r="T30" i="17" l="1"/>
  <c r="T42" i="17" s="1"/>
  <c r="AZ30" i="17" l="1"/>
  <c r="S30" i="17"/>
  <c r="U97" i="17"/>
  <c r="BA30" i="17" l="1"/>
  <c r="KS30" i="17"/>
  <c r="BN30" i="17"/>
  <c r="O41" i="17" l="1"/>
  <c r="O40" i="17"/>
  <c r="O39" i="17"/>
  <c r="O38" i="17"/>
  <c r="O37" i="17"/>
  <c r="O36" i="17"/>
  <c r="O35" i="17"/>
  <c r="O34" i="17"/>
  <c r="I28" i="29"/>
  <c r="I29" i="29"/>
  <c r="I30" i="29"/>
  <c r="I31" i="29"/>
  <c r="I32" i="29"/>
  <c r="J32" i="29"/>
  <c r="I33" i="29"/>
  <c r="I83" i="29"/>
  <c r="J83" i="29"/>
  <c r="I84" i="29"/>
  <c r="I85" i="29"/>
  <c r="I86" i="29"/>
  <c r="I87" i="29"/>
  <c r="I88" i="29"/>
  <c r="I89" i="29"/>
  <c r="I90" i="29"/>
  <c r="I91" i="29"/>
  <c r="I92" i="29"/>
  <c r="I93" i="29"/>
  <c r="I94" i="29"/>
  <c r="I95" i="29"/>
  <c r="I96" i="29"/>
  <c r="I97" i="29"/>
  <c r="I116" i="29"/>
  <c r="J116" i="29"/>
  <c r="I117" i="29"/>
  <c r="J117" i="29"/>
  <c r="I118" i="29"/>
  <c r="I119" i="29"/>
  <c r="I120" i="29"/>
  <c r="I121" i="29"/>
  <c r="I122" i="29"/>
  <c r="I123" i="29"/>
  <c r="I125" i="29"/>
  <c r="J125" i="29"/>
  <c r="I126" i="29"/>
  <c r="I127" i="29"/>
  <c r="I128" i="29"/>
  <c r="I129" i="29"/>
  <c r="I130" i="29"/>
  <c r="I132" i="29"/>
  <c r="J132" i="29"/>
  <c r="I133" i="29"/>
  <c r="I17" i="29"/>
  <c r="J17" i="29"/>
  <c r="I18" i="29"/>
  <c r="I19" i="29"/>
  <c r="I20" i="29"/>
  <c r="J20" i="29"/>
  <c r="I21" i="29"/>
  <c r="I22" i="29"/>
  <c r="I23" i="29"/>
  <c r="I24" i="29"/>
  <c r="I25" i="29"/>
  <c r="I26" i="29"/>
  <c r="I27" i="29"/>
  <c r="J27" i="29"/>
  <c r="J16" i="29"/>
  <c r="I16" i="29"/>
  <c r="A199" i="29"/>
  <c r="A200" i="29"/>
  <c r="B199" i="29"/>
  <c r="B200" i="29"/>
  <c r="A17" i="29"/>
  <c r="A20" i="29"/>
  <c r="A27" i="29"/>
  <c r="A32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119" i="29"/>
  <c r="A120" i="29"/>
  <c r="A121" i="29"/>
  <c r="A122" i="29"/>
  <c r="A123" i="29"/>
  <c r="A124" i="29"/>
  <c r="A125" i="29"/>
  <c r="A126" i="29"/>
  <c r="A127" i="29"/>
  <c r="A128" i="29"/>
  <c r="A129" i="29"/>
  <c r="A130" i="29"/>
  <c r="A131" i="29"/>
  <c r="A132" i="29"/>
  <c r="A133" i="29"/>
  <c r="A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81" i="29"/>
  <c r="B82" i="29"/>
  <c r="B83" i="29"/>
  <c r="B84" i="29"/>
  <c r="B85" i="29"/>
  <c r="B86" i="29"/>
  <c r="B87" i="29"/>
  <c r="B88" i="29"/>
  <c r="B89" i="29"/>
  <c r="B90" i="29"/>
  <c r="B91" i="29"/>
  <c r="B92" i="29"/>
  <c r="B93" i="29"/>
  <c r="B94" i="29"/>
  <c r="B95" i="29"/>
  <c r="B96" i="29"/>
  <c r="B97" i="29"/>
  <c r="B115" i="29"/>
  <c r="B116" i="29"/>
  <c r="B117" i="29"/>
  <c r="B118" i="29"/>
  <c r="B119" i="29"/>
  <c r="B120" i="29"/>
  <c r="B121" i="29"/>
  <c r="B122" i="29"/>
  <c r="B123" i="29"/>
  <c r="B124" i="29"/>
  <c r="B125" i="29"/>
  <c r="B126" i="29"/>
  <c r="B127" i="29"/>
  <c r="B128" i="29"/>
  <c r="B129" i="29"/>
  <c r="B130" i="29"/>
  <c r="B131" i="29"/>
  <c r="B132" i="29"/>
  <c r="B133" i="29"/>
  <c r="B16" i="29"/>
  <c r="M61" i="17"/>
  <c r="M62" i="17"/>
  <c r="M63" i="17"/>
  <c r="M64" i="17"/>
  <c r="M65" i="17"/>
  <c r="M66" i="17"/>
  <c r="M67" i="17"/>
  <c r="M68" i="17"/>
  <c r="G73" i="16" l="1"/>
  <c r="D73" i="16"/>
  <c r="H73" i="16" l="1"/>
  <c r="J86" i="29" s="1"/>
  <c r="J73" i="16" l="1"/>
  <c r="K73" i="16" s="1"/>
  <c r="BN34" i="17" l="1"/>
  <c r="BO34" i="17"/>
  <c r="BQ34" i="17" s="1"/>
  <c r="BN35" i="17"/>
  <c r="BO35" i="17"/>
  <c r="BQ35" i="17" s="1"/>
  <c r="BN36" i="17"/>
  <c r="BO36" i="17"/>
  <c r="BQ36" i="17" s="1"/>
  <c r="BN37" i="17"/>
  <c r="BO37" i="17"/>
  <c r="BQ37" i="17" s="1"/>
  <c r="BN38" i="17"/>
  <c r="BO38" i="17"/>
  <c r="BQ38" i="17" s="1"/>
  <c r="BN39" i="17"/>
  <c r="BO39" i="17"/>
  <c r="BQ39" i="17" s="1"/>
  <c r="BN40" i="17"/>
  <c r="BO40" i="17"/>
  <c r="BQ40" i="17" s="1"/>
  <c r="BN41" i="17"/>
  <c r="BO41" i="17"/>
  <c r="BQ41" i="17" s="1"/>
  <c r="IT16" i="17"/>
  <c r="U113" i="30" l="1"/>
  <c r="E21" i="11" l="1"/>
  <c r="E18" i="11" l="1"/>
  <c r="B7" i="28" l="1"/>
  <c r="D1" i="30" l="1"/>
  <c r="I19" i="31" l="1"/>
  <c r="Z3" i="31"/>
  <c r="E39" i="33"/>
  <c r="E30" i="27"/>
  <c r="AA3" i="32"/>
  <c r="I20" i="31" l="1"/>
  <c r="I21" i="31" l="1"/>
  <c r="I22" i="31" l="1"/>
  <c r="I23" i="31" l="1"/>
  <c r="I24" i="31" l="1"/>
  <c r="C11" i="29"/>
  <c r="C11" i="18"/>
  <c r="H5" i="35" s="1"/>
  <c r="H145" i="16"/>
  <c r="J158" i="29" s="1"/>
  <c r="H89" i="16"/>
  <c r="J102" i="29" s="1"/>
  <c r="H76" i="16"/>
  <c r="J89" i="29" s="1"/>
  <c r="D76" i="16"/>
  <c r="H15" i="28"/>
  <c r="B15" i="28"/>
  <c r="H7" i="28"/>
  <c r="G71" i="16"/>
  <c r="H72" i="16"/>
  <c r="J85" i="29" s="1"/>
  <c r="H74" i="16"/>
  <c r="J87" i="29" s="1"/>
  <c r="H75" i="16"/>
  <c r="J88" i="29" s="1"/>
  <c r="H84" i="16"/>
  <c r="H86" i="16"/>
  <c r="J99" i="29" s="1"/>
  <c r="H88" i="16"/>
  <c r="J101" i="29" s="1"/>
  <c r="H91" i="16"/>
  <c r="J104" i="29" s="1"/>
  <c r="H126" i="16"/>
  <c r="J139" i="29" s="1"/>
  <c r="H187" i="16"/>
  <c r="A191" i="16"/>
  <c r="H138" i="16"/>
  <c r="J151" i="29" s="1"/>
  <c r="D9" i="7"/>
  <c r="B26" i="17"/>
  <c r="A5" i="16"/>
  <c r="I20" i="16"/>
  <c r="I21" i="16"/>
  <c r="I22" i="16"/>
  <c r="I31" i="16"/>
  <c r="I32" i="16"/>
  <c r="I33" i="16"/>
  <c r="I34" i="16"/>
  <c r="I35" i="16"/>
  <c r="I36" i="16"/>
  <c r="I37" i="16"/>
  <c r="I38" i="16"/>
  <c r="I39" i="16"/>
  <c r="I40" i="16"/>
  <c r="I45" i="16"/>
  <c r="I46" i="16"/>
  <c r="I47" i="16"/>
  <c r="I48" i="16"/>
  <c r="I49" i="16"/>
  <c r="I50" i="16"/>
  <c r="I51" i="16"/>
  <c r="I53" i="16"/>
  <c r="I54" i="16"/>
  <c r="I55" i="16"/>
  <c r="I56" i="16"/>
  <c r="I57" i="16"/>
  <c r="H77" i="16"/>
  <c r="J90" i="29" s="1"/>
  <c r="H78" i="16"/>
  <c r="J91" i="29" s="1"/>
  <c r="H79" i="16"/>
  <c r="J92" i="29" s="1"/>
  <c r="H80" i="16"/>
  <c r="J93" i="29" s="1"/>
  <c r="H81" i="16"/>
  <c r="J94" i="29" s="1"/>
  <c r="H82" i="16"/>
  <c r="J95" i="29" s="1"/>
  <c r="H96" i="16"/>
  <c r="J109" i="29" s="1"/>
  <c r="H97" i="16"/>
  <c r="J110" i="29" s="1"/>
  <c r="H98" i="16"/>
  <c r="J111" i="29" s="1"/>
  <c r="H99" i="16"/>
  <c r="J112" i="29" s="1"/>
  <c r="H100" i="16"/>
  <c r="J113" i="29" s="1"/>
  <c r="H101" i="16"/>
  <c r="J114" i="29" s="1"/>
  <c r="H105" i="16"/>
  <c r="J118" i="29" s="1"/>
  <c r="H107" i="16"/>
  <c r="J120" i="29" s="1"/>
  <c r="H108" i="16"/>
  <c r="J121" i="29" s="1"/>
  <c r="H109" i="16"/>
  <c r="J122" i="29" s="1"/>
  <c r="H110" i="16"/>
  <c r="J123" i="29" s="1"/>
  <c r="H114" i="16"/>
  <c r="J127" i="29" s="1"/>
  <c r="H115" i="16"/>
  <c r="J128" i="29" s="1"/>
  <c r="H116" i="16"/>
  <c r="J129" i="29" s="1"/>
  <c r="H120" i="16"/>
  <c r="J133" i="29" s="1"/>
  <c r="H121" i="16"/>
  <c r="J134" i="29" s="1"/>
  <c r="H122" i="16"/>
  <c r="J135" i="29" s="1"/>
  <c r="H123" i="16"/>
  <c r="J136" i="29" s="1"/>
  <c r="H124" i="16"/>
  <c r="J137" i="29" s="1"/>
  <c r="H125" i="16"/>
  <c r="J138" i="29" s="1"/>
  <c r="H127" i="16"/>
  <c r="J140" i="29" s="1"/>
  <c r="H128" i="16"/>
  <c r="J141" i="29" s="1"/>
  <c r="H129" i="16"/>
  <c r="J142" i="29" s="1"/>
  <c r="H130" i="16"/>
  <c r="J143" i="29" s="1"/>
  <c r="H131" i="16"/>
  <c r="J144" i="29" s="1"/>
  <c r="H132" i="16"/>
  <c r="J145" i="29" s="1"/>
  <c r="H133" i="16"/>
  <c r="J146" i="29" s="1"/>
  <c r="H134" i="16"/>
  <c r="J147" i="29" s="1"/>
  <c r="H135" i="16"/>
  <c r="J148" i="29" s="1"/>
  <c r="H136" i="16"/>
  <c r="J149" i="29" s="1"/>
  <c r="H137" i="16"/>
  <c r="J150" i="29" s="1"/>
  <c r="H141" i="16"/>
  <c r="J154" i="29" s="1"/>
  <c r="H142" i="16"/>
  <c r="J155" i="29" s="1"/>
  <c r="H144" i="16"/>
  <c r="J157" i="29" s="1"/>
  <c r="H154" i="16"/>
  <c r="J167" i="29" s="1"/>
  <c r="H155" i="16"/>
  <c r="J168" i="29" s="1"/>
  <c r="H156" i="16"/>
  <c r="J169" i="29" s="1"/>
  <c r="H157" i="16"/>
  <c r="J170" i="29" s="1"/>
  <c r="H158" i="16"/>
  <c r="J171" i="29" s="1"/>
  <c r="H159" i="16"/>
  <c r="J172" i="29" s="1"/>
  <c r="H160" i="16"/>
  <c r="J173" i="29" s="1"/>
  <c r="H161" i="16"/>
  <c r="J174" i="29" s="1"/>
  <c r="H162" i="16"/>
  <c r="J175" i="29" s="1"/>
  <c r="H163" i="16"/>
  <c r="J176" i="29" s="1"/>
  <c r="H164" i="16"/>
  <c r="J177" i="29" s="1"/>
  <c r="H165" i="16"/>
  <c r="J178" i="29" s="1"/>
  <c r="H166" i="16"/>
  <c r="J179" i="29" s="1"/>
  <c r="H167" i="16"/>
  <c r="J180" i="29" s="1"/>
  <c r="H168" i="16"/>
  <c r="J181" i="29" s="1"/>
  <c r="H169" i="16"/>
  <c r="J182" i="29" s="1"/>
  <c r="H172" i="16"/>
  <c r="J185" i="29" s="1"/>
  <c r="H173" i="16"/>
  <c r="J186" i="29" s="1"/>
  <c r="H174" i="16"/>
  <c r="J187" i="29" s="1"/>
  <c r="H175" i="16"/>
  <c r="J188" i="29" s="1"/>
  <c r="H177" i="16"/>
  <c r="J190" i="29" s="1"/>
  <c r="H178" i="16"/>
  <c r="J191" i="29" s="1"/>
  <c r="H179" i="16"/>
  <c r="J192" i="29" s="1"/>
  <c r="H180" i="16"/>
  <c r="J193" i="29" s="1"/>
  <c r="H181" i="16"/>
  <c r="J194" i="29" s="1"/>
  <c r="H182" i="16"/>
  <c r="J195" i="29" s="1"/>
  <c r="H183" i="16"/>
  <c r="J196" i="29" s="1"/>
  <c r="H184" i="16"/>
  <c r="J197" i="29" s="1"/>
  <c r="H185" i="16"/>
  <c r="J198" i="29" s="1"/>
  <c r="H186" i="16"/>
  <c r="A202" i="29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H218" i="29"/>
  <c r="B2" i="28"/>
  <c r="H10" i="28" s="1"/>
  <c r="B3" i="28"/>
  <c r="B11" i="28" s="1"/>
  <c r="B12" i="28"/>
  <c r="D12" i="28"/>
  <c r="H12" i="28"/>
  <c r="J12" i="28"/>
  <c r="F27" i="20"/>
  <c r="K5" i="17"/>
  <c r="C15" i="18" s="1"/>
  <c r="E13" i="18" s="1"/>
  <c r="C14" i="18"/>
  <c r="C13" i="18"/>
  <c r="C12" i="18"/>
  <c r="H6" i="35" s="1"/>
  <c r="B10" i="18"/>
  <c r="AH30" i="17"/>
  <c r="T34" i="17"/>
  <c r="T35" i="17"/>
  <c r="T36" i="17"/>
  <c r="T37" i="17"/>
  <c r="T38" i="17"/>
  <c r="T39" i="17"/>
  <c r="T40" i="17"/>
  <c r="T41" i="17"/>
  <c r="C4" i="18"/>
  <c r="G11" i="33"/>
  <c r="L1" i="16"/>
  <c r="G13" i="27"/>
  <c r="AH34" i="17"/>
  <c r="AH35" i="17"/>
  <c r="E11" i="11"/>
  <c r="A60" i="17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L1" i="17"/>
  <c r="AD42" i="17"/>
  <c r="AC42" i="17"/>
  <c r="AH36" i="17"/>
  <c r="AH37" i="17"/>
  <c r="E42" i="17"/>
  <c r="B42" i="17"/>
  <c r="C72" i="17"/>
  <c r="C73" i="17"/>
  <c r="C74" i="17"/>
  <c r="C87" i="17"/>
  <c r="AI34" i="17"/>
  <c r="AI35" i="17"/>
  <c r="AI36" i="17"/>
  <c r="AI37" i="17"/>
  <c r="AI38" i="17"/>
  <c r="AI39" i="17"/>
  <c r="AI40" i="17"/>
  <c r="AI41" i="17"/>
  <c r="AH38" i="17"/>
  <c r="AH39" i="17"/>
  <c r="AH40" i="17"/>
  <c r="AH41" i="17"/>
  <c r="O24" i="17"/>
  <c r="O23" i="17"/>
  <c r="O15" i="17"/>
  <c r="O16" i="17"/>
  <c r="O17" i="17"/>
  <c r="O18" i="17"/>
  <c r="O19" i="17"/>
  <c r="O20" i="17"/>
  <c r="O21" i="17"/>
  <c r="O22" i="17"/>
  <c r="O25" i="17"/>
  <c r="O14" i="17"/>
  <c r="P4" i="17"/>
  <c r="O3" i="17"/>
  <c r="O4" i="17" s="1"/>
  <c r="C12" i="11"/>
  <c r="D96" i="16"/>
  <c r="D97" i="16"/>
  <c r="D99" i="16"/>
  <c r="D100" i="16"/>
  <c r="D101" i="16"/>
  <c r="D98" i="16"/>
  <c r="D312" i="16"/>
  <c r="D72" i="16"/>
  <c r="D74" i="16"/>
  <c r="D75" i="16"/>
  <c r="D77" i="16"/>
  <c r="D78" i="16"/>
  <c r="D79" i="16"/>
  <c r="D80" i="16"/>
  <c r="D81" i="16"/>
  <c r="D82" i="16"/>
  <c r="D71" i="16"/>
  <c r="B4" i="7"/>
  <c r="E4" i="7"/>
  <c r="D35" i="7"/>
  <c r="D9" i="19"/>
  <c r="D23" i="19"/>
  <c r="I23" i="19"/>
  <c r="B28" i="20"/>
  <c r="I35" i="7"/>
  <c r="E54" i="11"/>
  <c r="C66" i="11" l="1"/>
  <c r="I39" i="11"/>
  <c r="J39" i="11" s="1"/>
  <c r="E13" i="11"/>
  <c r="H7" i="35"/>
  <c r="I25" i="31"/>
  <c r="BR31" i="17"/>
  <c r="DF31" i="17" s="1"/>
  <c r="BR33" i="17"/>
  <c r="BR35" i="17"/>
  <c r="BR37" i="17"/>
  <c r="BR39" i="17"/>
  <c r="BR41" i="17"/>
  <c r="BR32" i="17"/>
  <c r="BR34" i="17"/>
  <c r="BR36" i="17"/>
  <c r="BR38" i="17"/>
  <c r="BR40" i="17"/>
  <c r="BR30" i="17"/>
  <c r="DF30" i="17" s="1"/>
  <c r="Y30" i="17"/>
  <c r="B46" i="17"/>
  <c r="J141" i="16"/>
  <c r="K141" i="16" s="1"/>
  <c r="J135" i="16"/>
  <c r="K135" i="16" s="1"/>
  <c r="J137" i="16"/>
  <c r="K137" i="16" s="1"/>
  <c r="J144" i="16"/>
  <c r="K144" i="16" s="1"/>
  <c r="J142" i="16"/>
  <c r="K142" i="16" s="1"/>
  <c r="J138" i="16"/>
  <c r="K138" i="16" s="1"/>
  <c r="J136" i="16"/>
  <c r="K136" i="16" s="1"/>
  <c r="A18" i="29"/>
  <c r="G5" i="16"/>
  <c r="J145" i="16"/>
  <c r="K145" i="16" s="1"/>
  <c r="CY41" i="17"/>
  <c r="CQ41" i="17"/>
  <c r="CY40" i="17"/>
  <c r="CQ40" i="17"/>
  <c r="CQ39" i="17"/>
  <c r="CY39" i="17"/>
  <c r="Z30" i="17"/>
  <c r="A192" i="16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Z33" i="17"/>
  <c r="Y61" i="35" s="1"/>
  <c r="KP30" i="17"/>
  <c r="M13" i="33"/>
  <c r="AZ38" i="17"/>
  <c r="AZ39" i="17"/>
  <c r="U39" i="17"/>
  <c r="AZ40" i="17"/>
  <c r="U40" i="17"/>
  <c r="AZ41" i="17"/>
  <c r="U41" i="17"/>
  <c r="AZ37" i="17"/>
  <c r="AZ34" i="17"/>
  <c r="KS34" i="17" s="1"/>
  <c r="AN36" i="17"/>
  <c r="AN35" i="17"/>
  <c r="AN34" i="17"/>
  <c r="AN33" i="17"/>
  <c r="AZ35" i="17"/>
  <c r="AZ36" i="17"/>
  <c r="AN31" i="17"/>
  <c r="AN32" i="17"/>
  <c r="Z32" i="17"/>
  <c r="Y60" i="35" s="1"/>
  <c r="Z31" i="17"/>
  <c r="Y59" i="35" s="1"/>
  <c r="Z34" i="17"/>
  <c r="Y62" i="35" s="1"/>
  <c r="S41" i="17"/>
  <c r="K59" i="18"/>
  <c r="AA10" i="32"/>
  <c r="Y41" i="17"/>
  <c r="AN30" i="17"/>
  <c r="J89" i="16"/>
  <c r="K89" i="16" s="1"/>
  <c r="J86" i="16"/>
  <c r="K86" i="16" s="1"/>
  <c r="J91" i="16"/>
  <c r="K91" i="16" s="1"/>
  <c r="J88" i="16"/>
  <c r="K88" i="16" s="1"/>
  <c r="J97" i="29"/>
  <c r="J84" i="16"/>
  <c r="Y37" i="17"/>
  <c r="Y36" i="17"/>
  <c r="J157" i="16"/>
  <c r="K157" i="16" s="1"/>
  <c r="Y35" i="17"/>
  <c r="N19" i="7"/>
  <c r="N27" i="7"/>
  <c r="N31" i="7"/>
  <c r="N25" i="7"/>
  <c r="N21" i="7"/>
  <c r="N13" i="7"/>
  <c r="N29" i="7"/>
  <c r="N15" i="7"/>
  <c r="N17" i="7"/>
  <c r="N23" i="7"/>
  <c r="N11" i="7"/>
  <c r="Y34" i="17"/>
  <c r="H153" i="16"/>
  <c r="J166" i="29" s="1"/>
  <c r="H10" i="19"/>
  <c r="H14" i="19"/>
  <c r="H18" i="19"/>
  <c r="H11" i="19"/>
  <c r="H15" i="19"/>
  <c r="H19" i="19"/>
  <c r="H13" i="19"/>
  <c r="H12" i="19"/>
  <c r="H16" i="19"/>
  <c r="H20" i="19"/>
  <c r="H17" i="19"/>
  <c r="B49" i="17"/>
  <c r="B50" i="17"/>
  <c r="B51" i="17"/>
  <c r="B53" i="17"/>
  <c r="B45" i="17"/>
  <c r="E46" i="17" s="1"/>
  <c r="B47" i="17"/>
  <c r="B52" i="17"/>
  <c r="B54" i="17"/>
  <c r="B55" i="17"/>
  <c r="B56" i="17"/>
  <c r="B48" i="17"/>
  <c r="BE33" i="17"/>
  <c r="BE30" i="17"/>
  <c r="Y33" i="17"/>
  <c r="BE32" i="17"/>
  <c r="Y32" i="17"/>
  <c r="Y31" i="17"/>
  <c r="BE31" i="17"/>
  <c r="C37" i="17"/>
  <c r="B65" i="35" s="1"/>
  <c r="C38" i="17"/>
  <c r="B66" i="35" s="1"/>
  <c r="Z35" i="17"/>
  <c r="Y63" i="35" s="1"/>
  <c r="Z37" i="17"/>
  <c r="Y65" i="35" s="1"/>
  <c r="Z38" i="17"/>
  <c r="Y66" i="35" s="1"/>
  <c r="Z36" i="17"/>
  <c r="Y64" i="35" s="1"/>
  <c r="C40" i="17"/>
  <c r="B68" i="35" s="1"/>
  <c r="C41" i="17"/>
  <c r="B69" i="35" s="1"/>
  <c r="C39" i="17"/>
  <c r="B67" i="35" s="1"/>
  <c r="S37" i="17"/>
  <c r="S38" i="17"/>
  <c r="S39" i="17"/>
  <c r="S40" i="17"/>
  <c r="S35" i="17"/>
  <c r="S36" i="17"/>
  <c r="Z10" i="31"/>
  <c r="J159" i="16"/>
  <c r="K159" i="16" s="1"/>
  <c r="J165" i="16"/>
  <c r="K165" i="16" s="1"/>
  <c r="BE37" i="17"/>
  <c r="BE34" i="17"/>
  <c r="BE40" i="17"/>
  <c r="BE39" i="17"/>
  <c r="BE36" i="17"/>
  <c r="BE41" i="17"/>
  <c r="BE38" i="17"/>
  <c r="BE35" i="17"/>
  <c r="H71" i="16"/>
  <c r="J84" i="29" s="1"/>
  <c r="J179" i="16"/>
  <c r="K179" i="16" s="1"/>
  <c r="J101" i="16"/>
  <c r="K101" i="16" s="1"/>
  <c r="J78" i="16"/>
  <c r="K78" i="16" s="1"/>
  <c r="J97" i="16"/>
  <c r="K97" i="16" s="1"/>
  <c r="J175" i="16"/>
  <c r="K175" i="16" s="1"/>
  <c r="J184" i="16"/>
  <c r="K184" i="16" s="1"/>
  <c r="J177" i="16"/>
  <c r="K177" i="16" s="1"/>
  <c r="J77" i="16"/>
  <c r="K77" i="16" s="1"/>
  <c r="J96" i="16"/>
  <c r="K96" i="16" s="1"/>
  <c r="J76" i="16"/>
  <c r="K76" i="16" s="1"/>
  <c r="J110" i="16"/>
  <c r="K110" i="16" s="1"/>
  <c r="J122" i="16"/>
  <c r="K122" i="16" s="1"/>
  <c r="J169" i="16"/>
  <c r="K169" i="16" s="1"/>
  <c r="J105" i="16"/>
  <c r="K105" i="16" s="1"/>
  <c r="J99" i="16"/>
  <c r="K99" i="16" s="1"/>
  <c r="J182" i="16"/>
  <c r="K182" i="16" s="1"/>
  <c r="J125" i="16"/>
  <c r="K125" i="16" s="1"/>
  <c r="J123" i="16"/>
  <c r="K123" i="16" s="1"/>
  <c r="J156" i="16"/>
  <c r="K156" i="16" s="1"/>
  <c r="S34" i="17"/>
  <c r="J128" i="16"/>
  <c r="K128" i="16" s="1"/>
  <c r="J181" i="16"/>
  <c r="K181" i="16" s="1"/>
  <c r="J167" i="16"/>
  <c r="K167" i="16" s="1"/>
  <c r="J183" i="16"/>
  <c r="K183" i="16" s="1"/>
  <c r="J134" i="16"/>
  <c r="K134" i="16" s="1"/>
  <c r="J131" i="16"/>
  <c r="K131" i="16" s="1"/>
  <c r="J79" i="16"/>
  <c r="K79" i="16" s="1"/>
  <c r="J127" i="16"/>
  <c r="K127" i="16" s="1"/>
  <c r="J173" i="16"/>
  <c r="K173" i="16" s="1"/>
  <c r="J129" i="16"/>
  <c r="K129" i="16" s="1"/>
  <c r="J164" i="16"/>
  <c r="K164" i="16" s="1"/>
  <c r="J160" i="16"/>
  <c r="K160" i="16" s="1"/>
  <c r="J133" i="16"/>
  <c r="K133" i="16" s="1"/>
  <c r="J163" i="16"/>
  <c r="K163" i="16" s="1"/>
  <c r="J155" i="16"/>
  <c r="K155" i="16" s="1"/>
  <c r="J158" i="16"/>
  <c r="K158" i="16" s="1"/>
  <c r="J109" i="16"/>
  <c r="K109" i="16" s="1"/>
  <c r="J178" i="16"/>
  <c r="K178" i="16" s="1"/>
  <c r="J107" i="16"/>
  <c r="K107" i="16" s="1"/>
  <c r="J116" i="16"/>
  <c r="K116" i="16" s="1"/>
  <c r="J186" i="16"/>
  <c r="K186" i="16" s="1"/>
  <c r="J115" i="16"/>
  <c r="K115" i="16" s="1"/>
  <c r="J81" i="16"/>
  <c r="K81" i="16" s="1"/>
  <c r="J82" i="16"/>
  <c r="K82" i="16" s="1"/>
  <c r="J132" i="16"/>
  <c r="K132" i="16" s="1"/>
  <c r="J180" i="16"/>
  <c r="K180" i="16" s="1"/>
  <c r="J161" i="16"/>
  <c r="K161" i="16" s="1"/>
  <c r="J100" i="16"/>
  <c r="K100" i="16" s="1"/>
  <c r="J114" i="16"/>
  <c r="K114" i="16" s="1"/>
  <c r="J108" i="16"/>
  <c r="K108" i="16" s="1"/>
  <c r="J166" i="16"/>
  <c r="K166" i="16" s="1"/>
  <c r="J121" i="16"/>
  <c r="K121" i="16" s="1"/>
  <c r="B21" i="18"/>
  <c r="C21" i="18"/>
  <c r="A42" i="17"/>
  <c r="B25" i="18"/>
  <c r="C22" i="18"/>
  <c r="B22" i="18"/>
  <c r="B23" i="18"/>
  <c r="C23" i="18"/>
  <c r="C24" i="18"/>
  <c r="C25" i="18"/>
  <c r="B24" i="18"/>
  <c r="G53" i="18"/>
  <c r="I53" i="18"/>
  <c r="E12" i="11"/>
  <c r="Q1" i="30"/>
  <c r="F1" i="20"/>
  <c r="J98" i="16"/>
  <c r="K98" i="16" s="1"/>
  <c r="J154" i="16"/>
  <c r="K154" i="16" s="1"/>
  <c r="J185" i="16"/>
  <c r="K185" i="16" s="1"/>
  <c r="C4" i="7"/>
  <c r="C34" i="7" s="1"/>
  <c r="A6" i="16"/>
  <c r="J72" i="16"/>
  <c r="K72" i="16" s="1"/>
  <c r="M13" i="27"/>
  <c r="J74" i="16"/>
  <c r="K74" i="16" s="1"/>
  <c r="E1" i="16"/>
  <c r="J75" i="16"/>
  <c r="K75" i="16" s="1"/>
  <c r="M11" i="27"/>
  <c r="H2" i="28"/>
  <c r="G106" i="16"/>
  <c r="H106" i="16" s="1"/>
  <c r="B10" i="28"/>
  <c r="J120" i="16"/>
  <c r="K120" i="16" s="1"/>
  <c r="H3" i="28"/>
  <c r="H11" i="28" s="1"/>
  <c r="J162" i="16"/>
  <c r="K162" i="16" s="1"/>
  <c r="N9" i="7"/>
  <c r="J174" i="16"/>
  <c r="K174" i="16" s="1"/>
  <c r="J130" i="16"/>
  <c r="K130" i="16" s="1"/>
  <c r="J168" i="16"/>
  <c r="K168" i="16" s="1"/>
  <c r="J172" i="16"/>
  <c r="K172" i="16" s="1"/>
  <c r="Y39" i="17"/>
  <c r="Y38" i="17"/>
  <c r="Y40" i="17"/>
  <c r="H9" i="19"/>
  <c r="J124" i="16"/>
  <c r="K124" i="16" s="1"/>
  <c r="J80" i="16"/>
  <c r="K80" i="16" s="1"/>
  <c r="J126" i="16"/>
  <c r="K126" i="16" s="1"/>
  <c r="J187" i="16"/>
  <c r="K187" i="16" s="1"/>
  <c r="CX40" i="17"/>
  <c r="CZ39" i="17"/>
  <c r="CZ41" i="17"/>
  <c r="CM30" i="17"/>
  <c r="CM39" i="17"/>
  <c r="CU39" i="17"/>
  <c r="BQ60" i="17"/>
  <c r="CR41" i="17"/>
  <c r="CV40" i="17"/>
  <c r="CW40" i="17"/>
  <c r="CR31" i="17"/>
  <c r="CM41" i="17"/>
  <c r="N18" i="35" l="1"/>
  <c r="Y58" i="35"/>
  <c r="H827" i="30"/>
  <c r="G176" i="16" s="1"/>
  <c r="H176" i="16" s="1"/>
  <c r="J189" i="29" s="1"/>
  <c r="N50" i="18"/>
  <c r="AM79" i="35"/>
  <c r="AM77" i="35"/>
  <c r="K84" i="16"/>
  <c r="DO56" i="17"/>
  <c r="H28" i="30" s="1"/>
  <c r="DO55" i="17"/>
  <c r="H26" i="30" s="1"/>
  <c r="DG56" i="17"/>
  <c r="DG55" i="17"/>
  <c r="DE57" i="17"/>
  <c r="DD56" i="17"/>
  <c r="DD55" i="17"/>
  <c r="DC57" i="17"/>
  <c r="H24" i="30" s="1"/>
  <c r="DO52" i="17"/>
  <c r="H13" i="30" s="1"/>
  <c r="DO51" i="17"/>
  <c r="H11" i="30" s="1"/>
  <c r="DC51" i="17"/>
  <c r="DO57" i="17"/>
  <c r="H30" i="30" s="1"/>
  <c r="DG57" i="17"/>
  <c r="DE56" i="17"/>
  <c r="DE55" i="17"/>
  <c r="DD57" i="17"/>
  <c r="DC56" i="17"/>
  <c r="H22" i="30" s="1"/>
  <c r="DC55" i="17"/>
  <c r="H20" i="30" s="1"/>
  <c r="DO53" i="17"/>
  <c r="H15" i="30" s="1"/>
  <c r="DG53" i="17"/>
  <c r="DE53" i="17"/>
  <c r="DD53" i="17"/>
  <c r="DC53" i="17"/>
  <c r="H9" i="30" s="1"/>
  <c r="I26" i="31"/>
  <c r="DW31" i="17"/>
  <c r="DV31" i="17"/>
  <c r="DR30" i="17"/>
  <c r="DS30" i="17"/>
  <c r="DS31" i="17"/>
  <c r="DR31" i="17"/>
  <c r="DN38" i="17"/>
  <c r="DI38" i="17"/>
  <c r="DP38" i="17"/>
  <c r="DK38" i="17"/>
  <c r="DN34" i="17"/>
  <c r="DI34" i="17"/>
  <c r="DP34" i="17"/>
  <c r="DK34" i="17"/>
  <c r="DK41" i="17"/>
  <c r="DP41" i="17"/>
  <c r="DI41" i="17"/>
  <c r="DN41" i="17"/>
  <c r="DK37" i="17"/>
  <c r="DP37" i="17"/>
  <c r="DI37" i="17"/>
  <c r="DN37" i="17"/>
  <c r="DK33" i="17"/>
  <c r="DP33" i="17"/>
  <c r="DI33" i="17"/>
  <c r="DN33" i="17"/>
  <c r="DN40" i="17"/>
  <c r="DI40" i="17"/>
  <c r="DP40" i="17"/>
  <c r="DK40" i="17"/>
  <c r="DN36" i="17"/>
  <c r="DI36" i="17"/>
  <c r="DP36" i="17"/>
  <c r="DK36" i="17"/>
  <c r="DN32" i="17"/>
  <c r="DI32" i="17"/>
  <c r="DP32" i="17"/>
  <c r="DK32" i="17"/>
  <c r="DK39" i="17"/>
  <c r="DN39" i="17"/>
  <c r="DP39" i="17"/>
  <c r="DI39" i="17"/>
  <c r="DK35" i="17"/>
  <c r="DN35" i="17"/>
  <c r="DP35" i="17"/>
  <c r="DI35" i="17"/>
  <c r="DK31" i="17"/>
  <c r="DI31" i="17"/>
  <c r="DI30" i="17"/>
  <c r="DK30" i="17"/>
  <c r="KF41" i="17"/>
  <c r="KD41" i="17" s="1"/>
  <c r="KF40" i="17"/>
  <c r="KD40" i="17" s="1"/>
  <c r="KF39" i="17"/>
  <c r="KD39" i="17" s="1"/>
  <c r="KF38" i="17"/>
  <c r="KD38" i="17" s="1"/>
  <c r="KF37" i="17"/>
  <c r="KD37" i="17" s="1"/>
  <c r="BA37" i="17"/>
  <c r="KS37" i="17"/>
  <c r="BA35" i="17"/>
  <c r="KS35" i="17"/>
  <c r="BA36" i="17"/>
  <c r="KS36" i="17"/>
  <c r="BA38" i="17"/>
  <c r="KS38" i="17"/>
  <c r="BA39" i="17"/>
  <c r="KS39" i="17"/>
  <c r="BA40" i="17"/>
  <c r="KS40" i="17"/>
  <c r="BA41" i="17"/>
  <c r="KS41" i="17"/>
  <c r="CQ36" i="17"/>
  <c r="CQ37" i="17"/>
  <c r="CQ33" i="17"/>
  <c r="CQ38" i="17"/>
  <c r="CQ35" i="17"/>
  <c r="CQ34" i="17"/>
  <c r="CQ32" i="17"/>
  <c r="CQ30" i="17"/>
  <c r="BQ61" i="17"/>
  <c r="CQ31" i="17"/>
  <c r="CY30" i="17"/>
  <c r="BN61" i="17"/>
  <c r="BP61" i="17"/>
  <c r="BN53" i="17"/>
  <c r="CY32" i="17"/>
  <c r="CY33" i="17"/>
  <c r="CY35" i="17"/>
  <c r="CY34" i="17"/>
  <c r="CY31" i="17"/>
  <c r="CY38" i="17"/>
  <c r="CY36" i="17"/>
  <c r="CY37" i="17"/>
  <c r="J17" i="7"/>
  <c r="AP36" i="17"/>
  <c r="AP35" i="17"/>
  <c r="AP34" i="17"/>
  <c r="G41" i="18"/>
  <c r="G42" i="18"/>
  <c r="G39" i="18"/>
  <c r="G37" i="18"/>
  <c r="G38" i="18"/>
  <c r="G43" i="18"/>
  <c r="G40" i="18"/>
  <c r="G36" i="18"/>
  <c r="G35" i="18"/>
  <c r="C52" i="18"/>
  <c r="N52" i="18" s="1"/>
  <c r="C49" i="18"/>
  <c r="N49" i="18" s="1"/>
  <c r="C51" i="18"/>
  <c r="N51" i="18" s="1"/>
  <c r="H9" i="7"/>
  <c r="I9" i="7" s="1"/>
  <c r="F9" i="19"/>
  <c r="G9" i="19" s="1"/>
  <c r="L9" i="7"/>
  <c r="M9" i="7" s="1"/>
  <c r="L15" i="7"/>
  <c r="M15" i="7" s="1"/>
  <c r="H15" i="7"/>
  <c r="I15" i="7" s="1"/>
  <c r="F12" i="19"/>
  <c r="L21" i="7"/>
  <c r="H21" i="7"/>
  <c r="F15" i="19"/>
  <c r="W33" i="17"/>
  <c r="U33" i="17"/>
  <c r="V33" i="17" s="1"/>
  <c r="L25" i="7"/>
  <c r="H25" i="7"/>
  <c r="F17" i="19"/>
  <c r="L19" i="7"/>
  <c r="H19" i="7"/>
  <c r="F14" i="19"/>
  <c r="W32" i="17"/>
  <c r="DG32" i="17" s="1"/>
  <c r="F11" i="19"/>
  <c r="H13" i="7"/>
  <c r="I13" i="7" s="1"/>
  <c r="L13" i="7"/>
  <c r="M13" i="7" s="1"/>
  <c r="W31" i="17"/>
  <c r="DG31" i="17" s="1"/>
  <c r="F10" i="19"/>
  <c r="H11" i="7"/>
  <c r="I11" i="7" s="1"/>
  <c r="L11" i="7"/>
  <c r="M11" i="7" s="1"/>
  <c r="H17" i="7"/>
  <c r="I17" i="7" s="1"/>
  <c r="F13" i="19"/>
  <c r="L17" i="7"/>
  <c r="M17" i="7" s="1"/>
  <c r="L23" i="7"/>
  <c r="H23" i="7"/>
  <c r="F16" i="19"/>
  <c r="BF33" i="17"/>
  <c r="CB32" i="17"/>
  <c r="U30" i="17"/>
  <c r="V30" i="17" s="1"/>
  <c r="W30" i="17"/>
  <c r="DG30" i="17" s="1"/>
  <c r="DC52" i="17" s="1"/>
  <c r="U35" i="17"/>
  <c r="V35" i="17" s="1"/>
  <c r="W35" i="17"/>
  <c r="DG35" i="17" s="1"/>
  <c r="U36" i="17"/>
  <c r="W36" i="17"/>
  <c r="DG36" i="17" s="1"/>
  <c r="U37" i="17"/>
  <c r="W37" i="17"/>
  <c r="DG37" i="17" s="1"/>
  <c r="U34" i="17"/>
  <c r="AA34" i="17" s="1"/>
  <c r="W34" i="17"/>
  <c r="DG34" i="17" s="1"/>
  <c r="U38" i="17"/>
  <c r="V38" i="17" s="1"/>
  <c r="W38" i="17"/>
  <c r="DG38" i="17" s="1"/>
  <c r="U32" i="17"/>
  <c r="V32" i="17" s="1"/>
  <c r="U31" i="17"/>
  <c r="V31" i="17" s="1"/>
  <c r="CK30" i="17"/>
  <c r="CJ30" i="17"/>
  <c r="BA34" i="17"/>
  <c r="AZ42" i="17"/>
  <c r="BA42" i="17" s="1"/>
  <c r="AA41" i="17"/>
  <c r="AA39" i="17"/>
  <c r="AA40" i="17"/>
  <c r="A19" i="29"/>
  <c r="A8" i="16"/>
  <c r="B43" i="18"/>
  <c r="B17" i="19"/>
  <c r="B210" i="29"/>
  <c r="B25" i="7"/>
  <c r="B45" i="18"/>
  <c r="B212" i="29"/>
  <c r="B29" i="7"/>
  <c r="B19" i="19"/>
  <c r="B46" i="18"/>
  <c r="B213" i="29"/>
  <c r="B31" i="7"/>
  <c r="B20" i="19"/>
  <c r="B44" i="18"/>
  <c r="B18" i="19"/>
  <c r="B27" i="7"/>
  <c r="B211" i="29"/>
  <c r="B42" i="18"/>
  <c r="B16" i="19"/>
  <c r="B209" i="29"/>
  <c r="B23" i="7"/>
  <c r="J153" i="16"/>
  <c r="K153" i="16" s="1"/>
  <c r="C52" i="17"/>
  <c r="E47" i="17"/>
  <c r="AA38" i="17"/>
  <c r="C54" i="17"/>
  <c r="C56" i="17"/>
  <c r="C55" i="17"/>
  <c r="C53" i="17"/>
  <c r="V39" i="17"/>
  <c r="V41" i="17"/>
  <c r="V40" i="17"/>
  <c r="G1" i="30"/>
  <c r="J71" i="16"/>
  <c r="J106" i="16"/>
  <c r="J119" i="29"/>
  <c r="BQ59" i="17"/>
  <c r="CU37" i="17"/>
  <c r="CW31" i="17"/>
  <c r="CW39" i="17"/>
  <c r="CX41" i="17"/>
  <c r="CX37" i="17"/>
  <c r="CZ31" i="17"/>
  <c r="CM33" i="17"/>
  <c r="CU33" i="17"/>
  <c r="CM38" i="17"/>
  <c r="CO35" i="17"/>
  <c r="CO38" i="17"/>
  <c r="CW36" i="17"/>
  <c r="CR35" i="17"/>
  <c r="CW33" i="17"/>
  <c r="CM34" i="17"/>
  <c r="CO32" i="17"/>
  <c r="BN62" i="17"/>
  <c r="CW30" i="17"/>
  <c r="CX33" i="17"/>
  <c r="BN60" i="17"/>
  <c r="CV35" i="17"/>
  <c r="BN51" i="17"/>
  <c r="CU40" i="17"/>
  <c r="CW37" i="17"/>
  <c r="CW41" i="17"/>
  <c r="BQ56" i="17"/>
  <c r="CM35" i="17"/>
  <c r="CW32" i="17"/>
  <c r="CO34" i="17"/>
  <c r="CX30" i="17"/>
  <c r="CX39" i="17"/>
  <c r="CU34" i="17"/>
  <c r="CV36" i="17"/>
  <c r="CV41" i="17"/>
  <c r="CV37" i="17"/>
  <c r="CM37" i="17"/>
  <c r="BQ58" i="17"/>
  <c r="CO39" i="17"/>
  <c r="BN57" i="17"/>
  <c r="CR34" i="17"/>
  <c r="CV31" i="17"/>
  <c r="BQ51" i="17"/>
  <c r="BQ57" i="17"/>
  <c r="CO30" i="17"/>
  <c r="CR40" i="17"/>
  <c r="CR33" i="17"/>
  <c r="BN56" i="17"/>
  <c r="BP51" i="17"/>
  <c r="CW34" i="17"/>
  <c r="CM40" i="17"/>
  <c r="BN58" i="17"/>
  <c r="CU31" i="17"/>
  <c r="BP58" i="17"/>
  <c r="CR38" i="17"/>
  <c r="BN59" i="17"/>
  <c r="CO36" i="17"/>
  <c r="CU41" i="17"/>
  <c r="CZ37" i="17"/>
  <c r="CR39" i="17"/>
  <c r="CZ34" i="17"/>
  <c r="BP62" i="17"/>
  <c r="CX32" i="17"/>
  <c r="CR32" i="17"/>
  <c r="CV30" i="17"/>
  <c r="CZ38" i="17"/>
  <c r="BP57" i="17"/>
  <c r="CR37" i="17"/>
  <c r="CM36" i="17"/>
  <c r="CO40" i="17"/>
  <c r="CX35" i="17"/>
  <c r="CZ35" i="17"/>
  <c r="BP60" i="17"/>
  <c r="CU32" i="17"/>
  <c r="CO41" i="17"/>
  <c r="CV39" i="17"/>
  <c r="CU35" i="17"/>
  <c r="CX31" i="17"/>
  <c r="CU30" i="17"/>
  <c r="CR30" i="17"/>
  <c r="CV32" i="17"/>
  <c r="CX36" i="17"/>
  <c r="CZ32" i="17"/>
  <c r="BP59" i="17"/>
  <c r="CO31" i="17"/>
  <c r="CW38" i="17"/>
  <c r="BQ62" i="17"/>
  <c r="CV34" i="17"/>
  <c r="CZ36" i="17"/>
  <c r="CX34" i="17"/>
  <c r="CZ33" i="17"/>
  <c r="CZ30" i="17"/>
  <c r="CZ40" i="17"/>
  <c r="CW35" i="17"/>
  <c r="BP56" i="17"/>
  <c r="CR36" i="17"/>
  <c r="CX38" i="17"/>
  <c r="CU36" i="17"/>
  <c r="CM32" i="17"/>
  <c r="CO33" i="17"/>
  <c r="CM31" i="17"/>
  <c r="CU38" i="17"/>
  <c r="CV33" i="17"/>
  <c r="CV38" i="17"/>
  <c r="CO37" i="17"/>
  <c r="I30" i="30" l="1"/>
  <c r="J30" i="30" s="1"/>
  <c r="H31" i="30"/>
  <c r="M30" i="30"/>
  <c r="H27" i="30"/>
  <c r="I26" i="30"/>
  <c r="J26" i="30" s="1"/>
  <c r="M26" i="30"/>
  <c r="O26" i="30" s="1"/>
  <c r="P26" i="30" s="1"/>
  <c r="Q26" i="30" s="1"/>
  <c r="I28" i="30"/>
  <c r="J28" i="30" s="1"/>
  <c r="H29" i="30"/>
  <c r="M28" i="30"/>
  <c r="I20" i="30"/>
  <c r="H21" i="30"/>
  <c r="M20" i="30"/>
  <c r="O20" i="30" s="1"/>
  <c r="P20" i="30" s="1"/>
  <c r="Q20" i="30" s="1"/>
  <c r="I24" i="30"/>
  <c r="J24" i="30" s="1"/>
  <c r="M24" i="30"/>
  <c r="H25" i="30"/>
  <c r="Z92" i="32"/>
  <c r="I22" i="30"/>
  <c r="J22" i="30" s="1"/>
  <c r="M22" i="30"/>
  <c r="O22" i="30" s="1"/>
  <c r="P22" i="30" s="1"/>
  <c r="Q22" i="30" s="1"/>
  <c r="H23" i="30"/>
  <c r="I11" i="30"/>
  <c r="J11" i="30" s="1"/>
  <c r="H12" i="30"/>
  <c r="M11" i="30"/>
  <c r="I15" i="30"/>
  <c r="J15" i="30" s="1"/>
  <c r="H16" i="30"/>
  <c r="I13" i="30"/>
  <c r="J13" i="30" s="1"/>
  <c r="H14" i="30"/>
  <c r="H10" i="30"/>
  <c r="M9" i="30"/>
  <c r="O9" i="30" s="1"/>
  <c r="P9" i="30" s="1"/>
  <c r="Q9" i="30" s="1"/>
  <c r="R9" i="30" s="1"/>
  <c r="S9" i="30" s="1"/>
  <c r="T9" i="30" s="1"/>
  <c r="M827" i="30"/>
  <c r="I827" i="30"/>
  <c r="I826" i="30" s="1"/>
  <c r="I845" i="30" s="1"/>
  <c r="A203" i="16"/>
  <c r="A204" i="16" s="1"/>
  <c r="A205" i="16" s="1"/>
  <c r="A206" i="16" s="1"/>
  <c r="A207" i="16" s="1"/>
  <c r="A208" i="16" s="1"/>
  <c r="DW30" i="17"/>
  <c r="DW42" i="17" s="1"/>
  <c r="CP36" i="17"/>
  <c r="CN35" i="17"/>
  <c r="CP39" i="17"/>
  <c r="CN38" i="17"/>
  <c r="CN34" i="17"/>
  <c r="CP35" i="17"/>
  <c r="CP33" i="17"/>
  <c r="CN32" i="17"/>
  <c r="BB38" i="17"/>
  <c r="KY38" i="17" s="1"/>
  <c r="AB66" i="35"/>
  <c r="BB40" i="17"/>
  <c r="KY40" i="17" s="1"/>
  <c r="AB68" i="35"/>
  <c r="AE68" i="35"/>
  <c r="AI68" i="35" s="1"/>
  <c r="BB41" i="17"/>
  <c r="KY41" i="17" s="1"/>
  <c r="AB69" i="35"/>
  <c r="AE69" i="35"/>
  <c r="AI69" i="35" s="1"/>
  <c r="BB34" i="17"/>
  <c r="KY34" i="17" s="1"/>
  <c r="AB62" i="35"/>
  <c r="BB39" i="17"/>
  <c r="KY39" i="17" s="1"/>
  <c r="AB67" i="35"/>
  <c r="AE67" i="35"/>
  <c r="AI67" i="35" s="1"/>
  <c r="AE62" i="35"/>
  <c r="AI62" i="35" s="1"/>
  <c r="AE66" i="35"/>
  <c r="AI66" i="35" s="1"/>
  <c r="C19" i="11"/>
  <c r="E79" i="35"/>
  <c r="C21" i="11"/>
  <c r="E80" i="35"/>
  <c r="C18" i="11"/>
  <c r="E77" i="35"/>
  <c r="I9" i="30"/>
  <c r="J9" i="30" s="1"/>
  <c r="DH55" i="17"/>
  <c r="H7" i="30"/>
  <c r="M15" i="30"/>
  <c r="DH51" i="17"/>
  <c r="H5" i="30"/>
  <c r="M13" i="30"/>
  <c r="DF55" i="17"/>
  <c r="DH57" i="17"/>
  <c r="DH56" i="17"/>
  <c r="DH53" i="17"/>
  <c r="B19" i="32"/>
  <c r="DJ30" i="17"/>
  <c r="DO30" i="17"/>
  <c r="DP30" i="17" s="1"/>
  <c r="DS42" i="17"/>
  <c r="DR42" i="17"/>
  <c r="DX38" i="17"/>
  <c r="DT38" i="17"/>
  <c r="DX34" i="17"/>
  <c r="DT34" i="17"/>
  <c r="DT37" i="17"/>
  <c r="DX37" i="17"/>
  <c r="DX36" i="17"/>
  <c r="DT36" i="17"/>
  <c r="DT35" i="17"/>
  <c r="DX35" i="17"/>
  <c r="DT30" i="17"/>
  <c r="DT31" i="17"/>
  <c r="DX31" i="17"/>
  <c r="DX32" i="17"/>
  <c r="DT32" i="17"/>
  <c r="DI42" i="17"/>
  <c r="DN31" i="17"/>
  <c r="DJ38" i="17"/>
  <c r="DO38" i="17"/>
  <c r="DJ34" i="17"/>
  <c r="DO34" i="17"/>
  <c r="DO37" i="17"/>
  <c r="DJ37" i="17"/>
  <c r="DJ36" i="17"/>
  <c r="DO36" i="17"/>
  <c r="DO35" i="17"/>
  <c r="DJ35" i="17"/>
  <c r="DO31" i="17"/>
  <c r="DP31" i="17" s="1"/>
  <c r="DJ31" i="17"/>
  <c r="DJ32" i="17"/>
  <c r="DO32" i="17"/>
  <c r="CD33" i="17"/>
  <c r="DG33" i="17"/>
  <c r="E48" i="17"/>
  <c r="I20" i="18"/>
  <c r="J111" i="16"/>
  <c r="K111" i="16" s="1"/>
  <c r="K106" i="16"/>
  <c r="K71" i="16"/>
  <c r="CN41" i="17"/>
  <c r="CP40" i="17"/>
  <c r="CN39" i="17"/>
  <c r="CN40" i="17"/>
  <c r="CP41" i="17"/>
  <c r="DA40" i="17"/>
  <c r="DA39" i="17"/>
  <c r="DA38" i="17"/>
  <c r="DA31" i="17"/>
  <c r="DA35" i="17"/>
  <c r="DA32" i="17"/>
  <c r="KM40" i="17"/>
  <c r="KB40" i="17" s="1"/>
  <c r="KN40" i="17"/>
  <c r="KP40" i="17" s="1"/>
  <c r="KO40" i="17"/>
  <c r="KR40" i="17"/>
  <c r="KM39" i="17"/>
  <c r="KB39" i="17" s="1"/>
  <c r="KN39" i="17"/>
  <c r="KP39" i="17" s="1"/>
  <c r="KO39" i="17"/>
  <c r="KR39" i="17"/>
  <c r="KM41" i="17"/>
  <c r="KB41" i="17" s="1"/>
  <c r="KN41" i="17"/>
  <c r="KP41" i="17" s="1"/>
  <c r="KO41" i="17"/>
  <c r="KR41" i="17"/>
  <c r="KM37" i="17"/>
  <c r="KB37" i="17" s="1"/>
  <c r="KN37" i="17"/>
  <c r="KP37" i="17" s="1"/>
  <c r="KO37" i="17"/>
  <c r="KR37" i="17"/>
  <c r="KM38" i="17"/>
  <c r="KB38" i="17" s="1"/>
  <c r="KN38" i="17"/>
  <c r="KP38" i="17" s="1"/>
  <c r="KO38" i="17"/>
  <c r="KR38" i="17"/>
  <c r="KI40" i="17"/>
  <c r="KK40" i="17"/>
  <c r="KG40" i="17"/>
  <c r="KL40" i="17"/>
  <c r="KI41" i="17"/>
  <c r="KK41" i="17"/>
  <c r="KG41" i="17"/>
  <c r="KL41" i="17"/>
  <c r="KI37" i="17"/>
  <c r="KK37" i="17"/>
  <c r="KG37" i="17"/>
  <c r="KL37" i="17"/>
  <c r="KI39" i="17"/>
  <c r="KK39" i="17"/>
  <c r="KG39" i="17"/>
  <c r="KL39" i="17"/>
  <c r="KI38" i="17"/>
  <c r="KK38" i="17"/>
  <c r="KG38" i="17"/>
  <c r="KL38" i="17"/>
  <c r="CE32" i="17"/>
  <c r="BF30" i="17"/>
  <c r="KQ30" i="17"/>
  <c r="KQ31" i="17" s="1"/>
  <c r="CH31" i="17"/>
  <c r="CP38" i="17"/>
  <c r="CN37" i="17"/>
  <c r="CN36" i="17"/>
  <c r="CP37" i="17"/>
  <c r="DA41" i="17"/>
  <c r="CN33" i="17"/>
  <c r="CP34" i="17"/>
  <c r="DA30" i="17"/>
  <c r="DA33" i="17"/>
  <c r="DA34" i="17"/>
  <c r="DA37" i="17"/>
  <c r="BP65" i="17"/>
  <c r="DA36" i="17"/>
  <c r="J15" i="7"/>
  <c r="K15" i="7" s="1"/>
  <c r="AP33" i="17"/>
  <c r="LF33" i="17" s="1"/>
  <c r="LH33" i="17" s="1"/>
  <c r="CD32" i="17"/>
  <c r="CF32" i="17"/>
  <c r="CE33" i="17"/>
  <c r="AA33" i="17"/>
  <c r="BH33" i="17"/>
  <c r="CF33" i="17"/>
  <c r="BH32" i="17"/>
  <c r="CA33" i="17"/>
  <c r="AO40" i="17"/>
  <c r="AQ40" i="17" s="1"/>
  <c r="I45" i="18"/>
  <c r="J45" i="18"/>
  <c r="H45" i="18"/>
  <c r="AO41" i="17"/>
  <c r="AQ41" i="17" s="1"/>
  <c r="H46" i="18"/>
  <c r="I46" i="18"/>
  <c r="J46" i="18"/>
  <c r="AO34" i="17"/>
  <c r="AQ34" i="17" s="1"/>
  <c r="H39" i="18"/>
  <c r="I39" i="18"/>
  <c r="K39" i="18" s="1"/>
  <c r="AB43" i="31" s="1"/>
  <c r="J39" i="18"/>
  <c r="AO38" i="17"/>
  <c r="AQ38" i="17" s="1"/>
  <c r="H43" i="18"/>
  <c r="J43" i="18"/>
  <c r="I43" i="18"/>
  <c r="AO39" i="17"/>
  <c r="AQ39" i="17" s="1"/>
  <c r="H44" i="18"/>
  <c r="I44" i="18"/>
  <c r="J44" i="18"/>
  <c r="J132" i="32"/>
  <c r="C132" i="32" s="1"/>
  <c r="I47" i="31"/>
  <c r="B47" i="31" s="1"/>
  <c r="A47" i="31" s="1"/>
  <c r="J134" i="32"/>
  <c r="C134" i="32" s="1"/>
  <c r="I49" i="31"/>
  <c r="B49" i="31" s="1"/>
  <c r="A49" i="31" s="1"/>
  <c r="J135" i="32"/>
  <c r="C135" i="32" s="1"/>
  <c r="I50" i="31"/>
  <c r="B50" i="31" s="1"/>
  <c r="A50" i="31" s="1"/>
  <c r="J133" i="32"/>
  <c r="C133" i="32" s="1"/>
  <c r="I48" i="31"/>
  <c r="B48" i="31" s="1"/>
  <c r="A48" i="31" s="1"/>
  <c r="J131" i="32"/>
  <c r="C131" i="32" s="1"/>
  <c r="I46" i="31"/>
  <c r="B46" i="31" s="1"/>
  <c r="A46" i="31" s="1"/>
  <c r="M33" i="7"/>
  <c r="I49" i="18"/>
  <c r="U77" i="35" s="1"/>
  <c r="CC33" i="17"/>
  <c r="K17" i="7"/>
  <c r="K27" i="7"/>
  <c r="K29" i="7"/>
  <c r="K31" i="7"/>
  <c r="K25" i="7"/>
  <c r="CD30" i="17"/>
  <c r="C33" i="17"/>
  <c r="C32" i="17"/>
  <c r="B60" i="35" s="1"/>
  <c r="C36" i="17"/>
  <c r="B64" i="35" s="1"/>
  <c r="C35" i="17"/>
  <c r="B63" i="35" s="1"/>
  <c r="C34" i="17"/>
  <c r="B62" i="35" s="1"/>
  <c r="LF38" i="17"/>
  <c r="LH38" i="17" s="1"/>
  <c r="LF41" i="17"/>
  <c r="LH41" i="17" s="1"/>
  <c r="LF39" i="17"/>
  <c r="LH39" i="17" s="1"/>
  <c r="LF40" i="17"/>
  <c r="LH40" i="17" s="1"/>
  <c r="LF34" i="17"/>
  <c r="LH34" i="17" s="1"/>
  <c r="AA35" i="17"/>
  <c r="J70" i="16"/>
  <c r="K70" i="16" s="1"/>
  <c r="CE31" i="17"/>
  <c r="BG31" i="17"/>
  <c r="CB31" i="17"/>
  <c r="CL30" i="17"/>
  <c r="CJ31" i="17"/>
  <c r="CL31" i="17"/>
  <c r="CI31" i="17"/>
  <c r="CG31" i="17"/>
  <c r="BG30" i="17"/>
  <c r="CG30" i="17"/>
  <c r="CA30" i="17"/>
  <c r="CB30" i="17"/>
  <c r="CC30" i="17"/>
  <c r="CI30" i="17"/>
  <c r="CH30" i="17"/>
  <c r="I50" i="18"/>
  <c r="U78" i="35" s="1"/>
  <c r="CC39" i="17"/>
  <c r="CA39" i="17"/>
  <c r="BG37" i="17"/>
  <c r="CC37" i="17"/>
  <c r="CA37" i="17"/>
  <c r="CA40" i="17"/>
  <c r="CC40" i="17"/>
  <c r="CC32" i="17"/>
  <c r="CA32" i="17"/>
  <c r="BF35" i="17"/>
  <c r="CC35" i="17"/>
  <c r="CA35" i="17"/>
  <c r="I52" i="18"/>
  <c r="U80" i="35" s="1"/>
  <c r="CC38" i="17"/>
  <c r="CA38" i="17"/>
  <c r="BF36" i="17"/>
  <c r="CC36" i="17"/>
  <c r="CA36" i="17"/>
  <c r="BG41" i="17"/>
  <c r="CC41" i="17"/>
  <c r="CA41" i="17"/>
  <c r="BF34" i="17"/>
  <c r="CC34" i="17"/>
  <c r="CA34" i="17"/>
  <c r="CD31" i="17"/>
  <c r="CF31" i="17"/>
  <c r="BF31" i="17"/>
  <c r="CC31" i="17"/>
  <c r="CA31" i="17"/>
  <c r="I51" i="18"/>
  <c r="U79" i="35" s="1"/>
  <c r="AB4" i="32"/>
  <c r="AA4" i="31"/>
  <c r="F27" i="7"/>
  <c r="G12" i="19"/>
  <c r="F29" i="7"/>
  <c r="F31" i="7"/>
  <c r="G10" i="19"/>
  <c r="F17" i="7"/>
  <c r="G17" i="7" s="1"/>
  <c r="J206" i="29" s="1"/>
  <c r="G13" i="19"/>
  <c r="F25" i="7"/>
  <c r="BH31" i="17"/>
  <c r="BG32" i="17"/>
  <c r="V37" i="17"/>
  <c r="AA37" i="17"/>
  <c r="BH38" i="17"/>
  <c r="BG38" i="17"/>
  <c r="V36" i="17"/>
  <c r="AA36" i="17"/>
  <c r="BF37" i="17"/>
  <c r="BF39" i="17"/>
  <c r="BG40" i="17"/>
  <c r="J176" i="16"/>
  <c r="BH34" i="17"/>
  <c r="BH36" i="17"/>
  <c r="BH35" i="17"/>
  <c r="BG35" i="17"/>
  <c r="BG34" i="17"/>
  <c r="V34" i="17"/>
  <c r="A21" i="29"/>
  <c r="CT37" i="17"/>
  <c r="X32" i="17"/>
  <c r="CT35" i="17"/>
  <c r="X33" i="17"/>
  <c r="CN30" i="17"/>
  <c r="CN31" i="17"/>
  <c r="CT30" i="17"/>
  <c r="CT36" i="17"/>
  <c r="X36" i="17"/>
  <c r="X39" i="17"/>
  <c r="CT38" i="17"/>
  <c r="CP30" i="17"/>
  <c r="CT32" i="17"/>
  <c r="CT39" i="17"/>
  <c r="CT33" i="17"/>
  <c r="X34" i="17"/>
  <c r="X40" i="17"/>
  <c r="CT34" i="17"/>
  <c r="CT40" i="17"/>
  <c r="X37" i="17"/>
  <c r="CP31" i="17"/>
  <c r="X38" i="17"/>
  <c r="CT31" i="17"/>
  <c r="CP32" i="17"/>
  <c r="X41" i="17"/>
  <c r="CT41" i="17"/>
  <c r="X35" i="17"/>
  <c r="U9" i="30" l="1"/>
  <c r="AE9" i="30"/>
  <c r="O827" i="30"/>
  <c r="P827" i="30" s="1"/>
  <c r="Q827" i="30" s="1"/>
  <c r="R827" i="30" s="1"/>
  <c r="S827" i="30" s="1"/>
  <c r="T827" i="30" s="1"/>
  <c r="AE827" i="30" s="1"/>
  <c r="AE845" i="30" s="1"/>
  <c r="M845" i="30"/>
  <c r="I29" i="30"/>
  <c r="J29" i="30" s="1"/>
  <c r="M29" i="30"/>
  <c r="R26" i="30"/>
  <c r="S26" i="30" s="1"/>
  <c r="T26" i="30" s="1"/>
  <c r="M27" i="30"/>
  <c r="I27" i="30"/>
  <c r="J27" i="30" s="1"/>
  <c r="M31" i="30"/>
  <c r="I31" i="30"/>
  <c r="J31" i="30" s="1"/>
  <c r="O28" i="30"/>
  <c r="P28" i="30" s="1"/>
  <c r="Q28" i="30" s="1"/>
  <c r="O30" i="30"/>
  <c r="P30" i="30" s="1"/>
  <c r="Q30" i="30" s="1"/>
  <c r="M23" i="30"/>
  <c r="O23" i="30" s="1"/>
  <c r="P23" i="30" s="1"/>
  <c r="Q23" i="30" s="1"/>
  <c r="I23" i="30"/>
  <c r="J23" i="30" s="1"/>
  <c r="I25" i="30"/>
  <c r="J25" i="30" s="1"/>
  <c r="M25" i="30"/>
  <c r="M21" i="30"/>
  <c r="I21" i="30"/>
  <c r="J21" i="30" s="1"/>
  <c r="R22" i="30"/>
  <c r="S22" i="30" s="1"/>
  <c r="T22" i="30" s="1"/>
  <c r="O24" i="30"/>
  <c r="P24" i="30" s="1"/>
  <c r="R20" i="30"/>
  <c r="S20" i="30" s="1"/>
  <c r="J20" i="30"/>
  <c r="J827" i="30"/>
  <c r="M12" i="30"/>
  <c r="I12" i="30"/>
  <c r="J12" i="30" s="1"/>
  <c r="M14" i="30"/>
  <c r="I14" i="30"/>
  <c r="J14" i="30" s="1"/>
  <c r="M16" i="30"/>
  <c r="I16" i="30"/>
  <c r="J16" i="30" s="1"/>
  <c r="M5" i="30"/>
  <c r="H17" i="30"/>
  <c r="H18" i="30" s="1"/>
  <c r="H6" i="30"/>
  <c r="H8" i="30"/>
  <c r="M7" i="30"/>
  <c r="M10" i="30"/>
  <c r="I10" i="30"/>
  <c r="J10" i="30" s="1"/>
  <c r="DE52" i="17"/>
  <c r="DE51" i="17"/>
  <c r="CS35" i="17"/>
  <c r="CS34" i="17"/>
  <c r="CS36" i="17"/>
  <c r="CS32" i="17"/>
  <c r="CS33" i="17"/>
  <c r="CS39" i="17"/>
  <c r="CS38" i="17"/>
  <c r="DS43" i="17"/>
  <c r="BB37" i="17"/>
  <c r="KY37" i="17" s="1"/>
  <c r="AB65" i="35"/>
  <c r="AE65" i="35"/>
  <c r="AI65" i="35" s="1"/>
  <c r="BB33" i="17"/>
  <c r="KY33" i="17" s="1"/>
  <c r="AB61" i="35"/>
  <c r="AE61" i="35"/>
  <c r="AI61" i="35" s="1"/>
  <c r="BB36" i="17"/>
  <c r="KY36" i="17" s="1"/>
  <c r="AB64" i="35"/>
  <c r="AE64" i="35"/>
  <c r="AI64" i="35" s="1"/>
  <c r="BB35" i="17"/>
  <c r="KY35" i="17" s="1"/>
  <c r="AB63" i="35"/>
  <c r="AE63" i="35"/>
  <c r="AI63" i="35" s="1"/>
  <c r="KF33" i="17"/>
  <c r="KD33" i="17" s="1"/>
  <c r="B61" i="35"/>
  <c r="D19" i="11"/>
  <c r="D20" i="11"/>
  <c r="D21" i="11"/>
  <c r="D18" i="11"/>
  <c r="I5" i="30"/>
  <c r="A209" i="16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O15" i="30"/>
  <c r="P15" i="30" s="1"/>
  <c r="Q15" i="30" s="1"/>
  <c r="R15" i="30" s="1"/>
  <c r="S15" i="30" s="1"/>
  <c r="T15" i="30" s="1"/>
  <c r="O11" i="30"/>
  <c r="P11" i="30" s="1"/>
  <c r="Q11" i="30" s="1"/>
  <c r="O13" i="30"/>
  <c r="P13" i="30" s="1"/>
  <c r="Q13" i="30" s="1"/>
  <c r="DF57" i="17"/>
  <c r="DF53" i="17"/>
  <c r="DF56" i="17"/>
  <c r="B20" i="32"/>
  <c r="DT33" i="17"/>
  <c r="DT42" i="17" s="1"/>
  <c r="DX33" i="17"/>
  <c r="J104" i="16"/>
  <c r="K104" i="16" s="1"/>
  <c r="CS30" i="17"/>
  <c r="DO33" i="17"/>
  <c r="DJ33" i="17"/>
  <c r="CS31" i="17"/>
  <c r="E49" i="17"/>
  <c r="DK42" i="17"/>
  <c r="DK43" i="17" s="1"/>
  <c r="DP42" i="17"/>
  <c r="J188" i="16"/>
  <c r="J119" i="16" s="1"/>
  <c r="K119" i="16" s="1"/>
  <c r="K176" i="16"/>
  <c r="CS40" i="17"/>
  <c r="CS41" i="17"/>
  <c r="KF36" i="17"/>
  <c r="KD36" i="17" s="1"/>
  <c r="KF35" i="17"/>
  <c r="KD35" i="17" s="1"/>
  <c r="KF34" i="17"/>
  <c r="KD34" i="17" s="1"/>
  <c r="KF32" i="17"/>
  <c r="KD32" i="17" s="1"/>
  <c r="N40" i="31"/>
  <c r="O125" i="32"/>
  <c r="KQ32" i="17"/>
  <c r="N39" i="31"/>
  <c r="O124" i="32"/>
  <c r="CS37" i="17"/>
  <c r="J13" i="7"/>
  <c r="K13" i="7" s="1"/>
  <c r="AP32" i="17"/>
  <c r="LF32" i="17" s="1"/>
  <c r="LH32" i="17" s="1"/>
  <c r="AA32" i="17"/>
  <c r="F15" i="7"/>
  <c r="G15" i="7" s="1"/>
  <c r="J205" i="29" s="1"/>
  <c r="AO33" i="17"/>
  <c r="AQ33" i="17" s="1"/>
  <c r="AR33" i="17" s="1"/>
  <c r="H38" i="18"/>
  <c r="J38" i="18"/>
  <c r="A38" i="18" s="1"/>
  <c r="I38" i="18"/>
  <c r="K38" i="18" s="1"/>
  <c r="AB42" i="31" s="1"/>
  <c r="LL34" i="17"/>
  <c r="G49" i="18"/>
  <c r="Q77" i="35" s="1"/>
  <c r="AO37" i="17"/>
  <c r="AQ37" i="17" s="1"/>
  <c r="H42" i="18"/>
  <c r="I42" i="18"/>
  <c r="J42" i="18"/>
  <c r="KW38" i="17"/>
  <c r="KW39" i="17"/>
  <c r="KW40" i="17"/>
  <c r="AO35" i="17"/>
  <c r="AQ35" i="17" s="1"/>
  <c r="H40" i="18"/>
  <c r="I40" i="18"/>
  <c r="J40" i="18"/>
  <c r="KW41" i="17"/>
  <c r="AO36" i="17"/>
  <c r="AQ36" i="17" s="1"/>
  <c r="H41" i="18"/>
  <c r="I41" i="18"/>
  <c r="J41" i="18"/>
  <c r="KW34" i="17"/>
  <c r="AC133" i="32"/>
  <c r="A133" i="32" s="1"/>
  <c r="AC134" i="32"/>
  <c r="A134" i="32" s="1"/>
  <c r="AC132" i="32"/>
  <c r="A132" i="32" s="1"/>
  <c r="AC135" i="32"/>
  <c r="A135" i="32" s="1"/>
  <c r="A43" i="18"/>
  <c r="A44" i="18"/>
  <c r="K21" i="7"/>
  <c r="K19" i="7"/>
  <c r="K23" i="7"/>
  <c r="C51" i="17"/>
  <c r="B21" i="7"/>
  <c r="B41" i="18"/>
  <c r="B208" i="29"/>
  <c r="B15" i="19"/>
  <c r="B12" i="19"/>
  <c r="C48" i="17"/>
  <c r="B205" i="29"/>
  <c r="B38" i="18"/>
  <c r="B15" i="7"/>
  <c r="C47" i="17"/>
  <c r="B37" i="18"/>
  <c r="B204" i="29"/>
  <c r="B11" i="19"/>
  <c r="B13" i="7"/>
  <c r="B14" i="19"/>
  <c r="B207" i="29"/>
  <c r="B40" i="18"/>
  <c r="C50" i="17"/>
  <c r="B19" i="7"/>
  <c r="B13" i="19"/>
  <c r="B206" i="29"/>
  <c r="B17" i="7"/>
  <c r="C49" i="17"/>
  <c r="B39" i="18"/>
  <c r="LF37" i="17"/>
  <c r="LH37" i="17" s="1"/>
  <c r="LF36" i="17"/>
  <c r="LH36" i="17" s="1"/>
  <c r="LF35" i="17"/>
  <c r="LH35" i="17" s="1"/>
  <c r="F19" i="7"/>
  <c r="G19" i="7" s="1"/>
  <c r="J207" i="29" s="1"/>
  <c r="G14" i="19"/>
  <c r="I212" i="29"/>
  <c r="O29" i="7"/>
  <c r="O30" i="7" s="1"/>
  <c r="I213" i="29"/>
  <c r="O31" i="7"/>
  <c r="O32" i="7" s="1"/>
  <c r="I211" i="29"/>
  <c r="O27" i="7"/>
  <c r="O28" i="7" s="1"/>
  <c r="I210" i="29"/>
  <c r="O25" i="7"/>
  <c r="O26" i="7" s="1"/>
  <c r="I206" i="29"/>
  <c r="O17" i="7"/>
  <c r="O18" i="7" s="1"/>
  <c r="G11" i="19"/>
  <c r="G50" i="18"/>
  <c r="Q78" i="35" s="1"/>
  <c r="G51" i="18"/>
  <c r="Q79" i="35" s="1"/>
  <c r="G52" i="18"/>
  <c r="Q80" i="35" s="1"/>
  <c r="BH30" i="17"/>
  <c r="BH42" i="17" s="1"/>
  <c r="CE30" i="17"/>
  <c r="CF30" i="17"/>
  <c r="F23" i="7"/>
  <c r="F21" i="7"/>
  <c r="G21" i="7" s="1"/>
  <c r="J208" i="29" s="1"/>
  <c r="G15" i="19"/>
  <c r="BF42" i="17"/>
  <c r="BG42" i="17"/>
  <c r="A9" i="16"/>
  <c r="A39" i="18"/>
  <c r="A45" i="18"/>
  <c r="A46" i="18"/>
  <c r="C9" i="20"/>
  <c r="X31" i="17"/>
  <c r="X30" i="17"/>
  <c r="U827" i="30" l="1"/>
  <c r="A253" i="16"/>
  <c r="A254" i="16" s="1"/>
  <c r="A255" i="16" s="1"/>
  <c r="A256" i="16" s="1"/>
  <c r="A257" i="16" s="1"/>
  <c r="A258" i="16" s="1"/>
  <c r="A259" i="16" s="1"/>
  <c r="A260" i="16" s="1"/>
  <c r="A261" i="16" s="1"/>
  <c r="C31" i="17"/>
  <c r="J11" i="7"/>
  <c r="K11" i="7" s="1"/>
  <c r="AP31" i="17"/>
  <c r="LF31" i="17" s="1"/>
  <c r="LH31" i="17" s="1"/>
  <c r="AA31" i="17"/>
  <c r="BB31" i="17" s="1"/>
  <c r="KY31" i="17" s="1"/>
  <c r="U26" i="30"/>
  <c r="AE26" i="30"/>
  <c r="U15" i="30"/>
  <c r="AE15" i="30"/>
  <c r="U22" i="30"/>
  <c r="AE22" i="30"/>
  <c r="S826" i="30"/>
  <c r="T845" i="30"/>
  <c r="T20" i="30"/>
  <c r="Q24" i="30"/>
  <c r="R24" i="30" s="1"/>
  <c r="S24" i="30" s="1"/>
  <c r="T24" i="30" s="1"/>
  <c r="R30" i="30"/>
  <c r="S30" i="30" s="1"/>
  <c r="T30" i="30" s="1"/>
  <c r="R28" i="30"/>
  <c r="S28" i="30" s="1"/>
  <c r="T28" i="30" s="1"/>
  <c r="O29" i="30"/>
  <c r="P29" i="30" s="1"/>
  <c r="Q29" i="30" s="1"/>
  <c r="R29" i="30" s="1"/>
  <c r="S29" i="30" s="1"/>
  <c r="T29" i="30" s="1"/>
  <c r="O31" i="30"/>
  <c r="P31" i="30" s="1"/>
  <c r="Q31" i="30" s="1"/>
  <c r="R31" i="30" s="1"/>
  <c r="S31" i="30" s="1"/>
  <c r="T31" i="30" s="1"/>
  <c r="O27" i="30"/>
  <c r="P27" i="30" s="1"/>
  <c r="Q27" i="30" s="1"/>
  <c r="O25" i="30"/>
  <c r="P25" i="30" s="1"/>
  <c r="Q25" i="30" s="1"/>
  <c r="O21" i="30"/>
  <c r="P21" i="30" s="1"/>
  <c r="Q21" i="30" s="1"/>
  <c r="R23" i="30"/>
  <c r="S23" i="30" s="1"/>
  <c r="T23" i="30" s="1"/>
  <c r="I17" i="30"/>
  <c r="J17" i="30" s="1"/>
  <c r="O16" i="30"/>
  <c r="P16" i="30" s="1"/>
  <c r="Q16" i="30" s="1"/>
  <c r="R16" i="30" s="1"/>
  <c r="S16" i="30" s="1"/>
  <c r="T16" i="30" s="1"/>
  <c r="O14" i="30"/>
  <c r="P14" i="30" s="1"/>
  <c r="Q14" i="30" s="1"/>
  <c r="R14" i="30" s="1"/>
  <c r="S14" i="30" s="1"/>
  <c r="T14" i="30" s="1"/>
  <c r="O12" i="30"/>
  <c r="P12" i="30" s="1"/>
  <c r="Q12" i="30" s="1"/>
  <c r="O10" i="30"/>
  <c r="P10" i="30" s="1"/>
  <c r="Q10" i="30" s="1"/>
  <c r="R10" i="30" s="1"/>
  <c r="S10" i="30" s="1"/>
  <c r="T10" i="30" s="1"/>
  <c r="M8" i="30"/>
  <c r="O8" i="30" s="1"/>
  <c r="P8" i="30" s="1"/>
  <c r="J5" i="30"/>
  <c r="M6" i="30"/>
  <c r="I6" i="30"/>
  <c r="J6" i="30" s="1"/>
  <c r="M18" i="30"/>
  <c r="I18" i="30"/>
  <c r="J18" i="30" s="1"/>
  <c r="KO33" i="17"/>
  <c r="KL33" i="17"/>
  <c r="A262" i="16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KR33" i="17"/>
  <c r="KK33" i="17"/>
  <c r="KM33" i="17"/>
  <c r="KB33" i="17" s="1"/>
  <c r="BB32" i="17"/>
  <c r="KY32" i="17" s="1"/>
  <c r="AB60" i="35"/>
  <c r="AE60" i="35"/>
  <c r="AI60" i="35" s="1"/>
  <c r="KI33" i="17"/>
  <c r="KG33" i="17"/>
  <c r="KN33" i="17"/>
  <c r="KP33" i="17" s="1"/>
  <c r="M17" i="30"/>
  <c r="O17" i="30" s="1"/>
  <c r="P17" i="30" s="1"/>
  <c r="Q17" i="30" s="1"/>
  <c r="R17" i="30" s="1"/>
  <c r="S17" i="30" s="1"/>
  <c r="R13" i="30"/>
  <c r="S13" i="30" s="1"/>
  <c r="R11" i="30"/>
  <c r="S11" i="30" s="1"/>
  <c r="B21" i="32"/>
  <c r="J9" i="7"/>
  <c r="K9" i="7" s="1"/>
  <c r="AP30" i="17"/>
  <c r="LF30" i="17" s="1"/>
  <c r="LH30" i="17" s="1"/>
  <c r="AA30" i="17"/>
  <c r="F9" i="7" s="1"/>
  <c r="E50" i="17"/>
  <c r="K188" i="16"/>
  <c r="KM32" i="17"/>
  <c r="KB32" i="17" s="1"/>
  <c r="KO32" i="17"/>
  <c r="KR32" i="17"/>
  <c r="KN32" i="17"/>
  <c r="KP32" i="17" s="1"/>
  <c r="KM35" i="17"/>
  <c r="KB35" i="17" s="1"/>
  <c r="KN35" i="17"/>
  <c r="KP35" i="17" s="1"/>
  <c r="KR35" i="17"/>
  <c r="KO35" i="17"/>
  <c r="KM34" i="17"/>
  <c r="KB34" i="17" s="1"/>
  <c r="KN34" i="17"/>
  <c r="KP34" i="17" s="1"/>
  <c r="KR34" i="17"/>
  <c r="KO34" i="17"/>
  <c r="KM36" i="17"/>
  <c r="KB36" i="17" s="1"/>
  <c r="KN36" i="17"/>
  <c r="KP36" i="17" s="1"/>
  <c r="KO36" i="17"/>
  <c r="KR36" i="17"/>
  <c r="KI35" i="17"/>
  <c r="KK35" i="17"/>
  <c r="KG35" i="17"/>
  <c r="KL35" i="17"/>
  <c r="KI36" i="17"/>
  <c r="KK36" i="17"/>
  <c r="KG36" i="17"/>
  <c r="KL36" i="17"/>
  <c r="KK34" i="17"/>
  <c r="KG34" i="17"/>
  <c r="KL34" i="17"/>
  <c r="KI34" i="17"/>
  <c r="KK32" i="17"/>
  <c r="KG32" i="17"/>
  <c r="KL32" i="17"/>
  <c r="KI32" i="17"/>
  <c r="KQ33" i="17"/>
  <c r="N41" i="31"/>
  <c r="O126" i="32"/>
  <c r="A22" i="29"/>
  <c r="H37" i="18"/>
  <c r="F13" i="7"/>
  <c r="G13" i="7" s="1"/>
  <c r="J204" i="29" s="1"/>
  <c r="AO32" i="17"/>
  <c r="AQ32" i="17" s="1"/>
  <c r="AR32" i="17" s="1"/>
  <c r="J37" i="18"/>
  <c r="A37" i="18" s="1"/>
  <c r="I37" i="18"/>
  <c r="K37" i="18" s="1"/>
  <c r="AB41" i="31" s="1"/>
  <c r="O15" i="7"/>
  <c r="O16" i="7" s="1"/>
  <c r="I205" i="29"/>
  <c r="KW33" i="17"/>
  <c r="LL36" i="17"/>
  <c r="LL35" i="17"/>
  <c r="LL33" i="17"/>
  <c r="KW37" i="17"/>
  <c r="KW35" i="17"/>
  <c r="KW36" i="17"/>
  <c r="AC131" i="32"/>
  <c r="A131" i="32" s="1"/>
  <c r="AC128" i="32"/>
  <c r="A42" i="18"/>
  <c r="J129" i="32"/>
  <c r="C129" i="32" s="1"/>
  <c r="I44" i="31"/>
  <c r="B44" i="31" s="1"/>
  <c r="A44" i="31" s="1"/>
  <c r="J128" i="32"/>
  <c r="C128" i="32" s="1"/>
  <c r="I43" i="31"/>
  <c r="B43" i="31" s="1"/>
  <c r="A43" i="31" s="1"/>
  <c r="J130" i="32"/>
  <c r="C130" i="32" s="1"/>
  <c r="I45" i="31"/>
  <c r="B45" i="31" s="1"/>
  <c r="A45" i="31" s="1"/>
  <c r="J127" i="32"/>
  <c r="C127" i="32" s="1"/>
  <c r="I42" i="31"/>
  <c r="B42" i="31" s="1"/>
  <c r="A42" i="31" s="1"/>
  <c r="J126" i="32"/>
  <c r="C126" i="32" s="1"/>
  <c r="I41" i="31"/>
  <c r="B41" i="31" s="1"/>
  <c r="AC127" i="32"/>
  <c r="I207" i="29"/>
  <c r="A41" i="18"/>
  <c r="O19" i="7"/>
  <c r="O20" i="7" s="1"/>
  <c r="A40" i="18"/>
  <c r="I209" i="29"/>
  <c r="O23" i="7"/>
  <c r="O24" i="7" s="1"/>
  <c r="I208" i="29"/>
  <c r="O21" i="7"/>
  <c r="O22" i="7" s="1"/>
  <c r="D22" i="20"/>
  <c r="C17" i="20"/>
  <c r="B17" i="20"/>
  <c r="C13" i="20"/>
  <c r="B22" i="20"/>
  <c r="C10" i="20"/>
  <c r="C22" i="20"/>
  <c r="D13" i="20"/>
  <c r="A10" i="16"/>
  <c r="D12" i="20"/>
  <c r="C21" i="20"/>
  <c r="B23" i="20"/>
  <c r="D18" i="20"/>
  <c r="B21" i="20"/>
  <c r="C19" i="20"/>
  <c r="D19" i="20"/>
  <c r="C14" i="20"/>
  <c r="D24" i="20"/>
  <c r="C24" i="20"/>
  <c r="C16" i="20"/>
  <c r="D15" i="20"/>
  <c r="D9" i="20"/>
  <c r="C20" i="20"/>
  <c r="B18" i="20"/>
  <c r="C15" i="20"/>
  <c r="D23" i="20"/>
  <c r="D10" i="20"/>
  <c r="C11" i="20"/>
  <c r="D14" i="20"/>
  <c r="C18" i="20"/>
  <c r="D20" i="20"/>
  <c r="B19" i="20"/>
  <c r="D21" i="20"/>
  <c r="D11" i="20"/>
  <c r="D17" i="20"/>
  <c r="B24" i="20"/>
  <c r="C12" i="20"/>
  <c r="B20" i="20"/>
  <c r="D16" i="20"/>
  <c r="C23" i="20"/>
  <c r="B59" i="35" l="1"/>
  <c r="C46" i="17"/>
  <c r="B36" i="18"/>
  <c r="B11" i="7"/>
  <c r="B10" i="19"/>
  <c r="B203" i="29"/>
  <c r="KF31" i="17"/>
  <c r="J36" i="18"/>
  <c r="A36" i="18" s="1"/>
  <c r="F11" i="7"/>
  <c r="G11" i="7" s="1"/>
  <c r="J203" i="29" s="1"/>
  <c r="H36" i="18"/>
  <c r="AO31" i="17"/>
  <c r="KW31" i="17" s="1"/>
  <c r="I36" i="18"/>
  <c r="K36" i="18" s="1"/>
  <c r="AB40" i="31" s="1"/>
  <c r="AE59" i="35"/>
  <c r="AI59" i="35" s="1"/>
  <c r="AB59" i="35"/>
  <c r="K33" i="7"/>
  <c r="U10" i="30"/>
  <c r="AE10" i="30"/>
  <c r="U14" i="30"/>
  <c r="AE14" i="30"/>
  <c r="U29" i="30"/>
  <c r="AE29" i="30"/>
  <c r="U30" i="30"/>
  <c r="AE30" i="30"/>
  <c r="U20" i="30"/>
  <c r="AE20" i="30"/>
  <c r="U16" i="30"/>
  <c r="AE16" i="30"/>
  <c r="U23" i="30"/>
  <c r="AE23" i="30"/>
  <c r="U31" i="30"/>
  <c r="AE31" i="30"/>
  <c r="U28" i="30"/>
  <c r="AE28" i="30"/>
  <c r="U24" i="30"/>
  <c r="AE24" i="30"/>
  <c r="R27" i="30"/>
  <c r="S27" i="30" s="1"/>
  <c r="T27" i="30" s="1"/>
  <c r="R21" i="30"/>
  <c r="S21" i="30" s="1"/>
  <c r="T21" i="30" s="1"/>
  <c r="R25" i="30"/>
  <c r="S25" i="30" s="1"/>
  <c r="T25" i="30" s="1"/>
  <c r="R12" i="30"/>
  <c r="S12" i="30" s="1"/>
  <c r="T12" i="30" s="1"/>
  <c r="Q8" i="30"/>
  <c r="R8" i="30" s="1"/>
  <c r="S8" i="30" s="1"/>
  <c r="O18" i="30"/>
  <c r="A289" i="16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BB30" i="17"/>
  <c r="KY30" i="17" s="1"/>
  <c r="AB58" i="35"/>
  <c r="AE58" i="35"/>
  <c r="AI58" i="35" s="1"/>
  <c r="T17" i="30"/>
  <c r="T11" i="30"/>
  <c r="T13" i="30"/>
  <c r="B22" i="32"/>
  <c r="AB30" i="17"/>
  <c r="AC30" i="17" s="1"/>
  <c r="I35" i="18"/>
  <c r="K35" i="18" s="1"/>
  <c r="AB39" i="31" s="1"/>
  <c r="J35" i="18"/>
  <c r="H35" i="18"/>
  <c r="AO30" i="17"/>
  <c r="AQ30" i="17" s="1"/>
  <c r="AR30" i="17" s="1"/>
  <c r="KX30" i="17" s="1"/>
  <c r="G72" i="17"/>
  <c r="E82" i="17"/>
  <c r="I82" i="17" s="1"/>
  <c r="J71" i="17"/>
  <c r="J87" i="17"/>
  <c r="H78" i="17"/>
  <c r="H77" i="17"/>
  <c r="H76" i="17"/>
  <c r="E81" i="17"/>
  <c r="I81" i="17" s="1"/>
  <c r="G85" i="17"/>
  <c r="H74" i="17"/>
  <c r="J81" i="17"/>
  <c r="G81" i="17"/>
  <c r="H71" i="17"/>
  <c r="H87" i="17"/>
  <c r="G86" i="17"/>
  <c r="J76" i="17"/>
  <c r="G84" i="17"/>
  <c r="H83" i="17"/>
  <c r="H82" i="17"/>
  <c r="G79" i="17"/>
  <c r="J78" i="17"/>
  <c r="G76" i="17"/>
  <c r="H75" i="17"/>
  <c r="G75" i="17"/>
  <c r="G73" i="17"/>
  <c r="G74" i="17"/>
  <c r="G70" i="17"/>
  <c r="E85" i="17"/>
  <c r="I85" i="17" s="1"/>
  <c r="J77" i="17"/>
  <c r="H69" i="17"/>
  <c r="J80" i="17"/>
  <c r="H80" i="17"/>
  <c r="G69" i="17"/>
  <c r="E86" i="17"/>
  <c r="I86" i="17" s="1"/>
  <c r="E76" i="17"/>
  <c r="I76" i="17" s="1"/>
  <c r="E87" i="17"/>
  <c r="I87" i="17" s="1"/>
  <c r="E73" i="17"/>
  <c r="I73" i="17" s="1"/>
  <c r="G80" i="17"/>
  <c r="J72" i="17"/>
  <c r="J79" i="17"/>
  <c r="J86" i="17"/>
  <c r="G78" i="17"/>
  <c r="G77" i="17"/>
  <c r="J73" i="17"/>
  <c r="G87" i="17"/>
  <c r="J74" i="17"/>
  <c r="G82" i="17"/>
  <c r="H81" i="17"/>
  <c r="E80" i="17"/>
  <c r="I80" i="17" s="1"/>
  <c r="H79" i="17"/>
  <c r="H86" i="17"/>
  <c r="H85" i="17"/>
  <c r="H84" i="17"/>
  <c r="J75" i="17"/>
  <c r="J82" i="17"/>
  <c r="G71" i="17"/>
  <c r="J70" i="17"/>
  <c r="J84" i="17"/>
  <c r="J83" i="17"/>
  <c r="E83" i="17"/>
  <c r="I83" i="17" s="1"/>
  <c r="G83" i="17"/>
  <c r="H70" i="17"/>
  <c r="E78" i="17"/>
  <c r="I78" i="17" s="1"/>
  <c r="E84" i="17"/>
  <c r="I84" i="17" s="1"/>
  <c r="J69" i="17"/>
  <c r="J85" i="17"/>
  <c r="E79" i="17"/>
  <c r="I79" i="17" s="1"/>
  <c r="H72" i="17"/>
  <c r="H73" i="17"/>
  <c r="E77" i="17"/>
  <c r="I77" i="17" s="1"/>
  <c r="E75" i="17"/>
  <c r="I75" i="17" s="1"/>
  <c r="E74" i="17"/>
  <c r="I74" i="17" s="1"/>
  <c r="E72" i="17"/>
  <c r="I72" i="17" s="1"/>
  <c r="E51" i="17"/>
  <c r="H65" i="17"/>
  <c r="G68" i="17"/>
  <c r="J64" i="17"/>
  <c r="J65" i="17"/>
  <c r="E66" i="17"/>
  <c r="G66" i="17"/>
  <c r="E68" i="17"/>
  <c r="E71" i="17"/>
  <c r="I71" i="17" s="1"/>
  <c r="E67" i="17"/>
  <c r="G67" i="17"/>
  <c r="J66" i="17"/>
  <c r="G65" i="17"/>
  <c r="J67" i="17"/>
  <c r="G64" i="17"/>
  <c r="E64" i="17"/>
  <c r="H66" i="17"/>
  <c r="J68" i="17"/>
  <c r="E69" i="17"/>
  <c r="I69" i="17" s="1"/>
  <c r="E70" i="17"/>
  <c r="I70" i="17" s="1"/>
  <c r="H67" i="17"/>
  <c r="E65" i="17"/>
  <c r="H64" i="17"/>
  <c r="A41" i="31"/>
  <c r="A128" i="32"/>
  <c r="A127" i="32"/>
  <c r="KQ34" i="17"/>
  <c r="N42" i="31"/>
  <c r="O127" i="32"/>
  <c r="A23" i="29"/>
  <c r="KW32" i="17"/>
  <c r="O13" i="7"/>
  <c r="O14" i="7" s="1"/>
  <c r="I204" i="29"/>
  <c r="LL32" i="17"/>
  <c r="AC130" i="32"/>
  <c r="A130" i="32" s="1"/>
  <c r="AC129" i="32"/>
  <c r="A129" i="32" s="1"/>
  <c r="AC126" i="32"/>
  <c r="A126" i="32" s="1"/>
  <c r="Z12" i="31"/>
  <c r="A11" i="16"/>
  <c r="KD31" i="17" l="1"/>
  <c r="KI31" i="17"/>
  <c r="KK31" i="17"/>
  <c r="KM31" i="17"/>
  <c r="KB31" i="17" s="1"/>
  <c r="KO31" i="17"/>
  <c r="KR31" i="17"/>
  <c r="KG31" i="17"/>
  <c r="KN31" i="17"/>
  <c r="KP31" i="17" s="1"/>
  <c r="KL31" i="17"/>
  <c r="J125" i="32"/>
  <c r="C125" i="32" s="1"/>
  <c r="I40" i="31"/>
  <c r="B40" i="31" s="1"/>
  <c r="A40" i="31" s="1"/>
  <c r="I203" i="29"/>
  <c r="AQ31" i="17"/>
  <c r="AR31" i="17" s="1"/>
  <c r="LL31" i="17" s="1"/>
  <c r="AC125" i="32"/>
  <c r="O11" i="7"/>
  <c r="O12" i="7" s="1"/>
  <c r="U11" i="30"/>
  <c r="AE11" i="30"/>
  <c r="U12" i="30"/>
  <c r="AE12" i="30"/>
  <c r="U21" i="30"/>
  <c r="AE21" i="30"/>
  <c r="U13" i="30"/>
  <c r="AE13" i="30"/>
  <c r="U17" i="30"/>
  <c r="AE17" i="30"/>
  <c r="U25" i="30"/>
  <c r="AE25" i="30"/>
  <c r="U27" i="30"/>
  <c r="AE27" i="30"/>
  <c r="T8" i="30"/>
  <c r="P18" i="30"/>
  <c r="Q18" i="30" s="1"/>
  <c r="G9" i="7"/>
  <c r="G33" i="7" s="1"/>
  <c r="O9" i="7"/>
  <c r="O10" i="7" s="1"/>
  <c r="AB31" i="17"/>
  <c r="AC31" i="17" s="1"/>
  <c r="B23" i="32"/>
  <c r="AJ30" i="17"/>
  <c r="AK30" i="17"/>
  <c r="I202" i="29"/>
  <c r="BP30" i="17"/>
  <c r="LG30" i="17"/>
  <c r="P39" i="31" s="1"/>
  <c r="LL30" i="17"/>
  <c r="KW30" i="17"/>
  <c r="KX31" i="17"/>
  <c r="N69" i="17"/>
  <c r="N70" i="17"/>
  <c r="N71" i="17"/>
  <c r="N80" i="17"/>
  <c r="N76" i="17"/>
  <c r="N82" i="17"/>
  <c r="N83" i="17"/>
  <c r="N87" i="17"/>
  <c r="N77" i="17"/>
  <c r="N73" i="17"/>
  <c r="N84" i="17"/>
  <c r="N86" i="17"/>
  <c r="N85" i="17"/>
  <c r="N72" i="17"/>
  <c r="E52" i="17"/>
  <c r="N78" i="17"/>
  <c r="N74" i="17"/>
  <c r="N75" i="17"/>
  <c r="N79" i="17"/>
  <c r="N81" i="17"/>
  <c r="KQ35" i="17"/>
  <c r="O128" i="32"/>
  <c r="N43" i="31"/>
  <c r="A24" i="29"/>
  <c r="A12" i="16"/>
  <c r="A125" i="32" l="1"/>
  <c r="KX32" i="17"/>
  <c r="KX33" i="17" s="1"/>
  <c r="KX34" i="17" s="1"/>
  <c r="KX35" i="17" s="1"/>
  <c r="KX36" i="17" s="1"/>
  <c r="KX37" i="17" s="1"/>
  <c r="KX38" i="17" s="1"/>
  <c r="KX39" i="17" s="1"/>
  <c r="KX40" i="17" s="1"/>
  <c r="KX41" i="17" s="1"/>
  <c r="I64" i="17"/>
  <c r="N64" i="17" s="1"/>
  <c r="U8" i="30"/>
  <c r="AE8" i="30"/>
  <c r="BP31" i="17"/>
  <c r="AK31" i="17"/>
  <c r="R18" i="30"/>
  <c r="S18" i="30" s="1"/>
  <c r="T18" i="30" s="1"/>
  <c r="AB32" i="17"/>
  <c r="AB33" i="17" s="1"/>
  <c r="BP33" i="17" s="1"/>
  <c r="AJ31" i="17"/>
  <c r="B47" i="32"/>
  <c r="LG31" i="17"/>
  <c r="LG32" i="17" s="1"/>
  <c r="Q126" i="32" s="1"/>
  <c r="U126" i="32" s="1"/>
  <c r="Q124" i="32"/>
  <c r="U124" i="32" s="1"/>
  <c r="E53" i="17"/>
  <c r="KQ36" i="17"/>
  <c r="N44" i="31"/>
  <c r="O129" i="32"/>
  <c r="A25" i="29"/>
  <c r="A13" i="16"/>
  <c r="U18" i="30" l="1"/>
  <c r="AE18" i="30"/>
  <c r="AC33" i="17"/>
  <c r="AK32" i="17"/>
  <c r="AK33" i="17" s="1"/>
  <c r="AC32" i="17"/>
  <c r="AB34" i="17"/>
  <c r="BP32" i="17"/>
  <c r="AJ32" i="17"/>
  <c r="AJ33" i="17" s="1"/>
  <c r="P40" i="31"/>
  <c r="Q125" i="32"/>
  <c r="U125" i="32" s="1"/>
  <c r="LG33" i="17"/>
  <c r="Q127" i="32" s="1"/>
  <c r="U127" i="32" s="1"/>
  <c r="P41" i="31"/>
  <c r="B75" i="32"/>
  <c r="E54" i="17"/>
  <c r="KQ37" i="17"/>
  <c r="O130" i="32"/>
  <c r="N45" i="31"/>
  <c r="I67" i="17"/>
  <c r="N67" i="17" s="1"/>
  <c r="I65" i="17"/>
  <c r="N65" i="17" s="1"/>
  <c r="I66" i="17"/>
  <c r="N66" i="17" s="1"/>
  <c r="A26" i="29"/>
  <c r="A15" i="16"/>
  <c r="AJ34" i="17" l="1"/>
  <c r="AK34" i="17"/>
  <c r="AB35" i="17"/>
  <c r="BP35" i="17" s="1"/>
  <c r="AC34" i="17"/>
  <c r="BP34" i="17"/>
  <c r="LG34" i="17"/>
  <c r="P43" i="31" s="1"/>
  <c r="P42" i="31"/>
  <c r="B76" i="32"/>
  <c r="E55" i="17"/>
  <c r="KQ38" i="17"/>
  <c r="O131" i="32"/>
  <c r="N46" i="31"/>
  <c r="A16" i="16"/>
  <c r="A28" i="29"/>
  <c r="AJ35" i="17" l="1"/>
  <c r="AC35" i="17"/>
  <c r="AB36" i="17"/>
  <c r="AB37" i="17" s="1"/>
  <c r="AK35" i="17"/>
  <c r="LG35" i="17"/>
  <c r="LG36" i="17" s="1"/>
  <c r="Q128" i="32"/>
  <c r="U128" i="32" s="1"/>
  <c r="B77" i="32"/>
  <c r="E56" i="17"/>
  <c r="KQ39" i="17"/>
  <c r="O132" i="32"/>
  <c r="N47" i="31"/>
  <c r="I68" i="17"/>
  <c r="AJ36" i="17" l="1"/>
  <c r="AJ37" i="17" s="1"/>
  <c r="BP36" i="17"/>
  <c r="AK36" i="17"/>
  <c r="AK37" i="17" s="1"/>
  <c r="AC36" i="17"/>
  <c r="P44" i="31"/>
  <c r="Q129" i="32"/>
  <c r="U129" i="32" s="1"/>
  <c r="B78" i="32"/>
  <c r="E57" i="17"/>
  <c r="KQ40" i="17"/>
  <c r="O133" i="32"/>
  <c r="N48" i="31"/>
  <c r="LG37" i="17"/>
  <c r="Q130" i="32"/>
  <c r="U130" i="32" s="1"/>
  <c r="P45" i="31"/>
  <c r="BP37" i="17"/>
  <c r="AC37" i="17"/>
  <c r="AB38" i="17"/>
  <c r="A29" i="29"/>
  <c r="H68" i="17" l="1"/>
  <c r="N68" i="17" s="1"/>
  <c r="G61" i="17"/>
  <c r="E62" i="17"/>
  <c r="I62" i="17" s="1"/>
  <c r="H61" i="17"/>
  <c r="H62" i="17"/>
  <c r="E61" i="17"/>
  <c r="I61" i="17" s="1"/>
  <c r="N61" i="17" s="1"/>
  <c r="J63" i="17"/>
  <c r="H63" i="17"/>
  <c r="E63" i="17"/>
  <c r="I63" i="17" s="1"/>
  <c r="G63" i="17"/>
  <c r="G62" i="17"/>
  <c r="J62" i="17"/>
  <c r="E60" i="17"/>
  <c r="I60" i="17" s="1"/>
  <c r="J60" i="17"/>
  <c r="J61" i="17"/>
  <c r="B86" i="32"/>
  <c r="LG38" i="17"/>
  <c r="P46" i="31"/>
  <c r="Q131" i="32"/>
  <c r="U131" i="32" s="1"/>
  <c r="KQ41" i="17"/>
  <c r="O134" i="32"/>
  <c r="N49" i="31"/>
  <c r="BP38" i="17"/>
  <c r="AJ38" i="17"/>
  <c r="AK38" i="17"/>
  <c r="AB39" i="17"/>
  <c r="AC38" i="17"/>
  <c r="A17" i="16"/>
  <c r="A18" i="16" s="1"/>
  <c r="N63" i="17" l="1"/>
  <c r="N62" i="17"/>
  <c r="B87" i="32"/>
  <c r="N50" i="31"/>
  <c r="O135" i="32"/>
  <c r="LG39" i="17"/>
  <c r="P47" i="31"/>
  <c r="Q132" i="32"/>
  <c r="U132" i="32" s="1"/>
  <c r="BP39" i="17"/>
  <c r="AK39" i="17"/>
  <c r="AJ39" i="17"/>
  <c r="AC39" i="17"/>
  <c r="AB40" i="17"/>
  <c r="A30" i="29"/>
  <c r="B88" i="32" l="1"/>
  <c r="LG40" i="17"/>
  <c r="Q133" i="32"/>
  <c r="U133" i="32" s="1"/>
  <c r="P48" i="31"/>
  <c r="AK40" i="17"/>
  <c r="BP40" i="17"/>
  <c r="AJ40" i="17"/>
  <c r="AC40" i="17"/>
  <c r="AB41" i="17"/>
  <c r="B89" i="32" l="1"/>
  <c r="LG41" i="17"/>
  <c r="P49" i="31"/>
  <c r="Q134" i="32"/>
  <c r="U134" i="32" s="1"/>
  <c r="AC41" i="17"/>
  <c r="AJ41" i="17"/>
  <c r="AK41" i="17"/>
  <c r="BP41" i="17"/>
  <c r="B90" i="32" l="1"/>
  <c r="P50" i="31"/>
  <c r="Q135" i="32"/>
  <c r="U135" i="32" s="1"/>
  <c r="A31" i="29"/>
  <c r="A20" i="16"/>
  <c r="A33" i="29" l="1"/>
  <c r="A21" i="16"/>
  <c r="R56" i="17" l="1"/>
  <c r="A22" i="16"/>
  <c r="A35" i="29" s="1"/>
  <c r="A34" i="29"/>
  <c r="A23" i="16" l="1"/>
  <c r="A36" i="29" s="1"/>
  <c r="A24" i="16" l="1"/>
  <c r="A37" i="29" s="1"/>
  <c r="A25" i="16" l="1"/>
  <c r="A38" i="29" s="1"/>
  <c r="A26" i="16" l="1"/>
  <c r="A39" i="29" l="1"/>
  <c r="A27" i="16"/>
  <c r="A40" i="29" s="1"/>
  <c r="C70" i="17"/>
  <c r="C69" i="17"/>
  <c r="C71" i="17"/>
  <c r="C68" i="17"/>
  <c r="A28" i="16" l="1"/>
  <c r="A41" i="29" s="1"/>
  <c r="B14" i="20"/>
  <c r="B15" i="20"/>
  <c r="B16" i="20"/>
  <c r="B13" i="20"/>
  <c r="A29" i="16" l="1"/>
  <c r="A42" i="29" s="1"/>
  <c r="AE40" i="17"/>
  <c r="AD40" i="17" s="1"/>
  <c r="AE34" i="17"/>
  <c r="AD34" i="17" s="1"/>
  <c r="AE38" i="17"/>
  <c r="AD38" i="17" s="1"/>
  <c r="AE37" i="17"/>
  <c r="AD37" i="17" s="1"/>
  <c r="AE35" i="17"/>
  <c r="AD35" i="17" s="1"/>
  <c r="AE41" i="17"/>
  <c r="AD41" i="17" s="1"/>
  <c r="AE36" i="17"/>
  <c r="AD36" i="17" s="1"/>
  <c r="AE39" i="17"/>
  <c r="AD39" i="17" s="1"/>
  <c r="A30" i="16" l="1"/>
  <c r="A43" i="29" s="1"/>
  <c r="A31" i="16" l="1"/>
  <c r="A44" i="29" s="1"/>
  <c r="A32" i="16" l="1"/>
  <c r="A45" i="29" s="1"/>
  <c r="H60" i="17"/>
  <c r="A33" i="16" l="1"/>
  <c r="A46" i="29" s="1"/>
  <c r="H202" i="29"/>
  <c r="E9" i="19"/>
  <c r="A34" i="16" l="1"/>
  <c r="A47" i="29" s="1"/>
  <c r="C30" i="17"/>
  <c r="L197" i="16" s="1"/>
  <c r="G201" i="16" l="1"/>
  <c r="G200" i="16"/>
  <c r="G288" i="16"/>
  <c r="H288" i="16" s="1"/>
  <c r="J288" i="16" s="1"/>
  <c r="B58" i="35"/>
  <c r="G202" i="16"/>
  <c r="G230" i="16"/>
  <c r="G203" i="16"/>
  <c r="G239" i="16"/>
  <c r="G204" i="16"/>
  <c r="G240" i="16"/>
  <c r="G241" i="16"/>
  <c r="G242" i="16"/>
  <c r="G243" i="16"/>
  <c r="G244" i="16"/>
  <c r="G245" i="16"/>
  <c r="G231" i="16"/>
  <c r="G229" i="16"/>
  <c r="G232" i="16"/>
  <c r="KF30" i="17"/>
  <c r="KD30" i="17" s="1"/>
  <c r="A35" i="16"/>
  <c r="A48" i="29" s="1"/>
  <c r="G236" i="16"/>
  <c r="G238" i="16"/>
  <c r="G211" i="16"/>
  <c r="G213" i="16"/>
  <c r="G214" i="16"/>
  <c r="G192" i="16"/>
  <c r="R192" i="16" s="1"/>
  <c r="G193" i="16"/>
  <c r="R193" i="16" s="1"/>
  <c r="G206" i="16"/>
  <c r="G218" i="16"/>
  <c r="G227" i="16"/>
  <c r="G221" i="16"/>
  <c r="G233" i="16"/>
  <c r="G215" i="16"/>
  <c r="G223" i="16"/>
  <c r="G217" i="16"/>
  <c r="G224" i="16"/>
  <c r="G216" i="16"/>
  <c r="G234" i="16"/>
  <c r="G226" i="16"/>
  <c r="G220" i="16"/>
  <c r="G196" i="16"/>
  <c r="R196" i="16" s="1"/>
  <c r="G205" i="16"/>
  <c r="G199" i="16"/>
  <c r="G197" i="16"/>
  <c r="R197" i="16" s="1"/>
  <c r="G207" i="16"/>
  <c r="G208" i="16"/>
  <c r="G209" i="16"/>
  <c r="G212" i="16"/>
  <c r="G219" i="16"/>
  <c r="G222" i="16"/>
  <c r="G228" i="16"/>
  <c r="G210" i="16"/>
  <c r="G198" i="16"/>
  <c r="G307" i="16"/>
  <c r="G246" i="16"/>
  <c r="G247" i="16"/>
  <c r="G248" i="16"/>
  <c r="G249" i="16"/>
  <c r="G250" i="16"/>
  <c r="G251" i="16"/>
  <c r="G252" i="16"/>
  <c r="G253" i="16"/>
  <c r="G254" i="16"/>
  <c r="G257" i="16"/>
  <c r="G258" i="16"/>
  <c r="G259" i="16"/>
  <c r="G260" i="16"/>
  <c r="G261" i="16"/>
  <c r="G263" i="16"/>
  <c r="G264" i="16"/>
  <c r="G266" i="16"/>
  <c r="G267" i="16"/>
  <c r="G268" i="16"/>
  <c r="G269" i="16"/>
  <c r="G270" i="16"/>
  <c r="G272" i="16"/>
  <c r="G271" i="16"/>
  <c r="G273" i="16"/>
  <c r="G274" i="16"/>
  <c r="G275" i="16"/>
  <c r="G276" i="16"/>
  <c r="G277" i="16"/>
  <c r="G278" i="16"/>
  <c r="G279" i="16"/>
  <c r="G280" i="16"/>
  <c r="G282" i="16"/>
  <c r="G281" i="16"/>
  <c r="G283" i="16"/>
  <c r="G284" i="16"/>
  <c r="G285" i="16"/>
  <c r="G286" i="16"/>
  <c r="G287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B9" i="7"/>
  <c r="I33" i="7" s="1"/>
  <c r="G305" i="16"/>
  <c r="B202" i="29"/>
  <c r="B9" i="19"/>
  <c r="B35" i="18"/>
  <c r="G303" i="16"/>
  <c r="G304" i="16"/>
  <c r="C45" i="17"/>
  <c r="G308" i="16"/>
  <c r="R308" i="16" s="1"/>
  <c r="H200" i="16" l="1"/>
  <c r="J200" i="16" s="1"/>
  <c r="K200" i="16" s="1"/>
  <c r="R200" i="16"/>
  <c r="R201" i="16"/>
  <c r="H201" i="16"/>
  <c r="J201" i="16" s="1"/>
  <c r="K201" i="16" s="1"/>
  <c r="KO30" i="17"/>
  <c r="R244" i="16"/>
  <c r="H244" i="16"/>
  <c r="J244" i="16" s="1"/>
  <c r="K244" i="16" s="1"/>
  <c r="R242" i="16"/>
  <c r="H242" i="16"/>
  <c r="J242" i="16" s="1"/>
  <c r="K242" i="16" s="1"/>
  <c r="H240" i="16"/>
  <c r="J240" i="16" s="1"/>
  <c r="K240" i="16" s="1"/>
  <c r="R240" i="16"/>
  <c r="R239" i="16"/>
  <c r="H239" i="16"/>
  <c r="J239" i="16" s="1"/>
  <c r="K239" i="16" s="1"/>
  <c r="R230" i="16"/>
  <c r="H230" i="16"/>
  <c r="J230" i="16" s="1"/>
  <c r="K230" i="16" s="1"/>
  <c r="R245" i="16"/>
  <c r="H245" i="16"/>
  <c r="J245" i="16" s="1"/>
  <c r="K245" i="16" s="1"/>
  <c r="H243" i="16"/>
  <c r="J243" i="16" s="1"/>
  <c r="K243" i="16" s="1"/>
  <c r="R243" i="16"/>
  <c r="H241" i="16"/>
  <c r="J241" i="16" s="1"/>
  <c r="K241" i="16" s="1"/>
  <c r="R241" i="16"/>
  <c r="R204" i="16"/>
  <c r="H204" i="16"/>
  <c r="J204" i="16" s="1"/>
  <c r="K204" i="16" s="1"/>
  <c r="H203" i="16"/>
  <c r="J203" i="16" s="1"/>
  <c r="K203" i="16" s="1"/>
  <c r="R203" i="16"/>
  <c r="R202" i="16"/>
  <c r="H202" i="16"/>
  <c r="J202" i="16" s="1"/>
  <c r="K202" i="16" s="1"/>
  <c r="R232" i="16"/>
  <c r="H232" i="16"/>
  <c r="J232" i="16" s="1"/>
  <c r="K232" i="16" s="1"/>
  <c r="R229" i="16"/>
  <c r="H229" i="16"/>
  <c r="J229" i="16" s="1"/>
  <c r="K229" i="16" s="1"/>
  <c r="R231" i="16"/>
  <c r="H231" i="16"/>
  <c r="J231" i="16" s="1"/>
  <c r="K231" i="16" s="1"/>
  <c r="KM30" i="17"/>
  <c r="KB30" i="17" s="1"/>
  <c r="KK30" i="17"/>
  <c r="KL30" i="17"/>
  <c r="KR30" i="17"/>
  <c r="KI30" i="17"/>
  <c r="KG30" i="17"/>
  <c r="KN30" i="17"/>
  <c r="R288" i="16"/>
  <c r="K288" i="16"/>
  <c r="A36" i="16"/>
  <c r="A49" i="29" s="1"/>
  <c r="LW35" i="17"/>
  <c r="LV35" i="17" s="1"/>
  <c r="LW36" i="17"/>
  <c r="LV36" i="17" s="1"/>
  <c r="LW34" i="17"/>
  <c r="LV34" i="17" s="1"/>
  <c r="LW32" i="17"/>
  <c r="LV32" i="17" s="1"/>
  <c r="J124" i="32"/>
  <c r="C124" i="32" s="1"/>
  <c r="I39" i="31"/>
  <c r="B39" i="31" s="1"/>
  <c r="A39" i="31" s="1"/>
  <c r="A38" i="31" s="1"/>
  <c r="H236" i="16"/>
  <c r="J236" i="16" s="1"/>
  <c r="K236" i="16" s="1"/>
  <c r="R236" i="16"/>
  <c r="H238" i="16"/>
  <c r="J238" i="16" s="1"/>
  <c r="K238" i="16" s="1"/>
  <c r="R238" i="16"/>
  <c r="H211" i="16"/>
  <c r="J211" i="16" s="1"/>
  <c r="K211" i="16" s="1"/>
  <c r="R211" i="16"/>
  <c r="H213" i="16"/>
  <c r="J213" i="16" s="1"/>
  <c r="K213" i="16" s="1"/>
  <c r="R213" i="16"/>
  <c r="H214" i="16"/>
  <c r="J214" i="16" s="1"/>
  <c r="K214" i="16" s="1"/>
  <c r="R214" i="16"/>
  <c r="H206" i="16"/>
  <c r="J206" i="16" s="1"/>
  <c r="K206" i="16" s="1"/>
  <c r="R206" i="16"/>
  <c r="H266" i="16"/>
  <c r="J266" i="16" s="1"/>
  <c r="K266" i="16" s="1"/>
  <c r="R266" i="16"/>
  <c r="H272" i="16"/>
  <c r="J272" i="16" s="1"/>
  <c r="K272" i="16" s="1"/>
  <c r="R272" i="16"/>
  <c r="H218" i="16"/>
  <c r="J218" i="16" s="1"/>
  <c r="K218" i="16" s="1"/>
  <c r="R218" i="16"/>
  <c r="H199" i="16"/>
  <c r="J199" i="16" s="1"/>
  <c r="K199" i="16" s="1"/>
  <c r="R199" i="16"/>
  <c r="H222" i="16"/>
  <c r="J222" i="16" s="1"/>
  <c r="K222" i="16" s="1"/>
  <c r="R222" i="16"/>
  <c r="H296" i="16"/>
  <c r="J296" i="16" s="1"/>
  <c r="K296" i="16" s="1"/>
  <c r="R296" i="16"/>
  <c r="H300" i="16"/>
  <c r="J300" i="16" s="1"/>
  <c r="K300" i="16" s="1"/>
  <c r="R300" i="16"/>
  <c r="H273" i="16"/>
  <c r="J273" i="16" s="1"/>
  <c r="K273" i="16" s="1"/>
  <c r="R273" i="16"/>
  <c r="H249" i="16"/>
  <c r="J249" i="16" s="1"/>
  <c r="K249" i="16" s="1"/>
  <c r="R249" i="16"/>
  <c r="H227" i="16"/>
  <c r="J227" i="16" s="1"/>
  <c r="K227" i="16" s="1"/>
  <c r="R227" i="16"/>
  <c r="H295" i="16"/>
  <c r="J295" i="16" s="1"/>
  <c r="K295" i="16" s="1"/>
  <c r="R295" i="16"/>
  <c r="H297" i="16"/>
  <c r="J297" i="16" s="1"/>
  <c r="K297" i="16" s="1"/>
  <c r="R297" i="16"/>
  <c r="H269" i="16"/>
  <c r="J269" i="16" s="1"/>
  <c r="K269" i="16" s="1"/>
  <c r="R269" i="16"/>
  <c r="H275" i="16"/>
  <c r="J275" i="16" s="1"/>
  <c r="K275" i="16" s="1"/>
  <c r="R275" i="16"/>
  <c r="H250" i="16"/>
  <c r="J250" i="16" s="1"/>
  <c r="K250" i="16" s="1"/>
  <c r="R250" i="16"/>
  <c r="H221" i="16"/>
  <c r="J221" i="16" s="1"/>
  <c r="K221" i="16" s="1"/>
  <c r="R221" i="16"/>
  <c r="H263" i="16"/>
  <c r="J263" i="16" s="1"/>
  <c r="K263" i="16" s="1"/>
  <c r="R263" i="16"/>
  <c r="H267" i="16"/>
  <c r="J267" i="16" s="1"/>
  <c r="K267" i="16" s="1"/>
  <c r="R267" i="16"/>
  <c r="H274" i="16"/>
  <c r="J274" i="16" s="1"/>
  <c r="K274" i="16" s="1"/>
  <c r="R274" i="16"/>
  <c r="H281" i="16"/>
  <c r="J281" i="16" s="1"/>
  <c r="K281" i="16" s="1"/>
  <c r="R281" i="16"/>
  <c r="H251" i="16"/>
  <c r="J251" i="16" s="1"/>
  <c r="K251" i="16" s="1"/>
  <c r="R251" i="16"/>
  <c r="H233" i="16"/>
  <c r="J233" i="16" s="1"/>
  <c r="K233" i="16" s="1"/>
  <c r="R233" i="16"/>
  <c r="LW33" i="17" s="1"/>
  <c r="LV33" i="17" s="1"/>
  <c r="H264" i="16"/>
  <c r="J264" i="16" s="1"/>
  <c r="K264" i="16" s="1"/>
  <c r="R264" i="16"/>
  <c r="H268" i="16"/>
  <c r="J268" i="16" s="1"/>
  <c r="K268" i="16" s="1"/>
  <c r="R268" i="16"/>
  <c r="H198" i="16"/>
  <c r="J198" i="16" s="1"/>
  <c r="K198" i="16" s="1"/>
  <c r="R198" i="16"/>
  <c r="H283" i="16"/>
  <c r="J283" i="16" s="1"/>
  <c r="K283" i="16" s="1"/>
  <c r="R283" i="16"/>
  <c r="H252" i="16"/>
  <c r="J252" i="16" s="1"/>
  <c r="K252" i="16" s="1"/>
  <c r="R252" i="16"/>
  <c r="H207" i="16"/>
  <c r="J207" i="16" s="1"/>
  <c r="K207" i="16" s="1"/>
  <c r="R207" i="16"/>
  <c r="H228" i="16"/>
  <c r="J228" i="16" s="1"/>
  <c r="K228" i="16" s="1"/>
  <c r="R228" i="16"/>
  <c r="H248" i="16"/>
  <c r="J248" i="16" s="1"/>
  <c r="K248" i="16" s="1"/>
  <c r="R248" i="16"/>
  <c r="H284" i="16"/>
  <c r="J284" i="16" s="1"/>
  <c r="K284" i="16" s="1"/>
  <c r="R284" i="16"/>
  <c r="H253" i="16"/>
  <c r="J253" i="16" s="1"/>
  <c r="K253" i="16" s="1"/>
  <c r="R253" i="16"/>
  <c r="H215" i="16"/>
  <c r="J215" i="16" s="1"/>
  <c r="K215" i="16" s="1"/>
  <c r="R215" i="16"/>
  <c r="H270" i="16"/>
  <c r="J270" i="16" s="1"/>
  <c r="K270" i="16" s="1"/>
  <c r="R270" i="16"/>
  <c r="H246" i="16"/>
  <c r="J246" i="16" s="1"/>
  <c r="K246" i="16" s="1"/>
  <c r="R246" i="16"/>
  <c r="H305" i="16"/>
  <c r="J305" i="16" s="1"/>
  <c r="K305" i="16" s="1"/>
  <c r="R305" i="16"/>
  <c r="H285" i="16"/>
  <c r="J285" i="16" s="1"/>
  <c r="K285" i="16" s="1"/>
  <c r="R285" i="16"/>
  <c r="H254" i="16"/>
  <c r="J254" i="16" s="1"/>
  <c r="K254" i="16" s="1"/>
  <c r="R254" i="16"/>
  <c r="H223" i="16"/>
  <c r="J223" i="16" s="1"/>
  <c r="K223" i="16" s="1"/>
  <c r="R223" i="16"/>
  <c r="H205" i="16"/>
  <c r="J205" i="16" s="1"/>
  <c r="K205" i="16" s="1"/>
  <c r="R205" i="16"/>
  <c r="H299" i="16"/>
  <c r="J299" i="16" s="1"/>
  <c r="K299" i="16" s="1"/>
  <c r="R299" i="16"/>
  <c r="H247" i="16"/>
  <c r="J247" i="16" s="1"/>
  <c r="K247" i="16" s="1"/>
  <c r="R247" i="16"/>
  <c r="H217" i="16"/>
  <c r="J217" i="16" s="1"/>
  <c r="K217" i="16" s="1"/>
  <c r="R217" i="16"/>
  <c r="H219" i="16"/>
  <c r="J219" i="16" s="1"/>
  <c r="K219" i="16" s="1"/>
  <c r="R219" i="16"/>
  <c r="H277" i="16"/>
  <c r="J277" i="16" s="1"/>
  <c r="K277" i="16" s="1"/>
  <c r="R277" i="16"/>
  <c r="H287" i="16"/>
  <c r="J287" i="16" s="1"/>
  <c r="K287" i="16" s="1"/>
  <c r="R287" i="16"/>
  <c r="H224" i="16"/>
  <c r="J224" i="16" s="1"/>
  <c r="K224" i="16" s="1"/>
  <c r="R224" i="16"/>
  <c r="H209" i="16"/>
  <c r="J209" i="16" s="1"/>
  <c r="K209" i="16" s="1"/>
  <c r="R209" i="16"/>
  <c r="H210" i="16"/>
  <c r="J210" i="16" s="1"/>
  <c r="K210" i="16" s="1"/>
  <c r="R210" i="16"/>
  <c r="H282" i="16"/>
  <c r="J282" i="16" s="1"/>
  <c r="K282" i="16" s="1"/>
  <c r="R282" i="16"/>
  <c r="H289" i="16"/>
  <c r="J289" i="16" s="1"/>
  <c r="K289" i="16" s="1"/>
  <c r="R289" i="16"/>
  <c r="H257" i="16"/>
  <c r="J257" i="16" s="1"/>
  <c r="K257" i="16" s="1"/>
  <c r="R257" i="16"/>
  <c r="H216" i="16"/>
  <c r="J216" i="16" s="1"/>
  <c r="K216" i="16" s="1"/>
  <c r="R216" i="16"/>
  <c r="H301" i="16"/>
  <c r="J301" i="16" s="1"/>
  <c r="K301" i="16" s="1"/>
  <c r="R301" i="16"/>
  <c r="H276" i="16"/>
  <c r="J276" i="16" s="1"/>
  <c r="K276" i="16" s="1"/>
  <c r="R276" i="16"/>
  <c r="H302" i="16"/>
  <c r="J302" i="16" s="1"/>
  <c r="K302" i="16" s="1"/>
  <c r="R302" i="16"/>
  <c r="H303" i="16"/>
  <c r="J303" i="16" s="1"/>
  <c r="K303" i="16" s="1"/>
  <c r="R303" i="16"/>
  <c r="H290" i="16"/>
  <c r="J290" i="16" s="1"/>
  <c r="K290" i="16" s="1"/>
  <c r="R290" i="16"/>
  <c r="H234" i="16"/>
  <c r="J234" i="16" s="1"/>
  <c r="K234" i="16" s="1"/>
  <c r="R234" i="16"/>
  <c r="H279" i="16"/>
  <c r="J279" i="16" s="1"/>
  <c r="K279" i="16" s="1"/>
  <c r="R279" i="16"/>
  <c r="H304" i="16"/>
  <c r="J304" i="16" s="1"/>
  <c r="K304" i="16" s="1"/>
  <c r="R304" i="16"/>
  <c r="H291" i="16"/>
  <c r="J291" i="16" s="1"/>
  <c r="K291" i="16" s="1"/>
  <c r="R291" i="16"/>
  <c r="H258" i="16"/>
  <c r="J258" i="16" s="1"/>
  <c r="K258" i="16" s="1"/>
  <c r="R258" i="16"/>
  <c r="H298" i="16"/>
  <c r="J298" i="16" s="1"/>
  <c r="K298" i="16" s="1"/>
  <c r="R298" i="16"/>
  <c r="H307" i="16"/>
  <c r="J307" i="16" s="1"/>
  <c r="K307" i="16" s="1"/>
  <c r="R307" i="16"/>
  <c r="H292" i="16"/>
  <c r="J292" i="16" s="1"/>
  <c r="K292" i="16" s="1"/>
  <c r="R292" i="16"/>
  <c r="H259" i="16"/>
  <c r="J259" i="16" s="1"/>
  <c r="K259" i="16" s="1"/>
  <c r="R259" i="16"/>
  <c r="H226" i="16"/>
  <c r="J226" i="16" s="1"/>
  <c r="K226" i="16" s="1"/>
  <c r="R226" i="16"/>
  <c r="H208" i="16"/>
  <c r="J208" i="16" s="1"/>
  <c r="K208" i="16" s="1"/>
  <c r="R208" i="16"/>
  <c r="H271" i="16"/>
  <c r="J271" i="16" s="1"/>
  <c r="K271" i="16" s="1"/>
  <c r="R271" i="16"/>
  <c r="H278" i="16"/>
  <c r="J278" i="16" s="1"/>
  <c r="K278" i="16" s="1"/>
  <c r="R278" i="16"/>
  <c r="H286" i="16"/>
  <c r="J286" i="16" s="1"/>
  <c r="K286" i="16" s="1"/>
  <c r="R286" i="16"/>
  <c r="H293" i="16"/>
  <c r="J293" i="16" s="1"/>
  <c r="K293" i="16" s="1"/>
  <c r="R293" i="16"/>
  <c r="H260" i="16"/>
  <c r="J260" i="16" s="1"/>
  <c r="K260" i="16" s="1"/>
  <c r="R260" i="16"/>
  <c r="H220" i="16"/>
  <c r="J220" i="16" s="1"/>
  <c r="K220" i="16" s="1"/>
  <c r="R220" i="16"/>
  <c r="H212" i="16"/>
  <c r="J212" i="16" s="1"/>
  <c r="K212" i="16" s="1"/>
  <c r="R212" i="16"/>
  <c r="H280" i="16"/>
  <c r="J280" i="16" s="1"/>
  <c r="K280" i="16" s="1"/>
  <c r="R280" i="16"/>
  <c r="H294" i="16"/>
  <c r="J294" i="16" s="1"/>
  <c r="K294" i="16" s="1"/>
  <c r="R294" i="16"/>
  <c r="H261" i="16"/>
  <c r="J261" i="16" s="1"/>
  <c r="K261" i="16" s="1"/>
  <c r="R261" i="16"/>
  <c r="H193" i="16"/>
  <c r="J193" i="16" s="1"/>
  <c r="K193" i="16" s="1"/>
  <c r="H192" i="16"/>
  <c r="J192" i="16" s="1"/>
  <c r="K192" i="16" s="1"/>
  <c r="V197" i="16"/>
  <c r="V196" i="16"/>
  <c r="J845" i="30"/>
  <c r="K5" i="18" s="1"/>
  <c r="E55" i="18" s="1"/>
  <c r="G309" i="16"/>
  <c r="H308" i="16"/>
  <c r="J308" i="16" s="1"/>
  <c r="K308" i="16" s="1"/>
  <c r="A37" i="16" l="1"/>
  <c r="A50" i="29" s="1"/>
  <c r="H309" i="16"/>
  <c r="J309" i="16" s="1"/>
  <c r="K309" i="16" s="1"/>
  <c r="R309" i="16"/>
  <c r="O845" i="30"/>
  <c r="G310" i="16"/>
  <c r="R310" i="16" s="1"/>
  <c r="A38" i="16" l="1"/>
  <c r="Q845" i="30"/>
  <c r="H310" i="16"/>
  <c r="J310" i="16" s="1"/>
  <c r="K310" i="16" s="1"/>
  <c r="A51" i="29" l="1"/>
  <c r="C61" i="17"/>
  <c r="C67" i="17"/>
  <c r="C66" i="17"/>
  <c r="C65" i="17"/>
  <c r="B11" i="20" s="1"/>
  <c r="C64" i="17"/>
  <c r="C62" i="17"/>
  <c r="C63" i="17"/>
  <c r="B10" i="20" s="1"/>
  <c r="C60" i="17"/>
  <c r="A39" i="16"/>
  <c r="A52" i="29" s="1"/>
  <c r="G38" i="16"/>
  <c r="H38" i="16" s="1"/>
  <c r="J51" i="29" s="1"/>
  <c r="F1" i="30"/>
  <c r="B12" i="20" l="1"/>
  <c r="G16" i="16"/>
  <c r="H16" i="16" s="1"/>
  <c r="G30" i="16"/>
  <c r="H30" i="16" s="1"/>
  <c r="G17" i="16"/>
  <c r="H17" i="16" s="1"/>
  <c r="G24" i="16"/>
  <c r="G27" i="16"/>
  <c r="H27" i="16" s="1"/>
  <c r="G20" i="16"/>
  <c r="H20" i="16" s="1"/>
  <c r="G26" i="16"/>
  <c r="G28" i="16"/>
  <c r="H28" i="16" s="1"/>
  <c r="G18" i="16"/>
  <c r="G29" i="16"/>
  <c r="H29" i="16" s="1"/>
  <c r="G25" i="16"/>
  <c r="G23" i="16"/>
  <c r="G15" i="16"/>
  <c r="H15" i="16" s="1"/>
  <c r="G21" i="16"/>
  <c r="H21" i="16" s="1"/>
  <c r="G22" i="16"/>
  <c r="H22" i="16" s="1"/>
  <c r="G31" i="16"/>
  <c r="H31" i="16" s="1"/>
  <c r="G32" i="16"/>
  <c r="H32" i="16" s="1"/>
  <c r="G33" i="16"/>
  <c r="H33" i="16" s="1"/>
  <c r="G34" i="16"/>
  <c r="H34" i="16" s="1"/>
  <c r="G35" i="16"/>
  <c r="H35" i="16" s="1"/>
  <c r="G36" i="16"/>
  <c r="H36" i="16" s="1"/>
  <c r="G37" i="16"/>
  <c r="H37" i="16" s="1"/>
  <c r="B9" i="20"/>
  <c r="G10" i="16"/>
  <c r="G9" i="16"/>
  <c r="G8" i="16"/>
  <c r="E31" i="11"/>
  <c r="J38" i="16"/>
  <c r="K38" i="16" s="1"/>
  <c r="A40" i="16"/>
  <c r="A53" i="29" s="1"/>
  <c r="G39" i="16"/>
  <c r="H39" i="16" s="1"/>
  <c r="J52" i="29" s="1"/>
  <c r="U845" i="30"/>
  <c r="J34" i="29" l="1"/>
  <c r="J21" i="16"/>
  <c r="K21" i="16" s="1"/>
  <c r="J29" i="16"/>
  <c r="K29" i="16" s="1"/>
  <c r="J42" i="29"/>
  <c r="J28" i="16"/>
  <c r="K28" i="16" s="1"/>
  <c r="J41" i="29"/>
  <c r="J48" i="29"/>
  <c r="J35" i="16"/>
  <c r="K35" i="16" s="1"/>
  <c r="J15" i="16"/>
  <c r="K15" i="16" s="1"/>
  <c r="J28" i="29"/>
  <c r="J50" i="29"/>
  <c r="J37" i="16"/>
  <c r="K37" i="16" s="1"/>
  <c r="J44" i="29"/>
  <c r="J31" i="16"/>
  <c r="K31" i="16" s="1"/>
  <c r="J33" i="29"/>
  <c r="J20" i="16"/>
  <c r="K20" i="16" s="1"/>
  <c r="J27" i="16"/>
  <c r="K27" i="16" s="1"/>
  <c r="J40" i="29"/>
  <c r="J46" i="29"/>
  <c r="J33" i="16"/>
  <c r="K33" i="16" s="1"/>
  <c r="J49" i="29"/>
  <c r="J36" i="16"/>
  <c r="K36" i="16" s="1"/>
  <c r="J45" i="29"/>
  <c r="J32" i="16"/>
  <c r="K32" i="16" s="1"/>
  <c r="J17" i="16"/>
  <c r="K17" i="16" s="1"/>
  <c r="J30" i="29"/>
  <c r="J35" i="29"/>
  <c r="J22" i="16"/>
  <c r="K22" i="16" s="1"/>
  <c r="J43" i="29"/>
  <c r="J30" i="16"/>
  <c r="K30" i="16" s="1"/>
  <c r="J47" i="29"/>
  <c r="J34" i="16"/>
  <c r="K34" i="16" s="1"/>
  <c r="J16" i="16"/>
  <c r="K16" i="16" s="1"/>
  <c r="J29" i="29"/>
  <c r="J39" i="16"/>
  <c r="K39" i="16" s="1"/>
  <c r="A41" i="16"/>
  <c r="A54" i="29" s="1"/>
  <c r="G40" i="16"/>
  <c r="H40" i="16" s="1"/>
  <c r="J53" i="29" s="1"/>
  <c r="J40" i="16" l="1"/>
  <c r="K40" i="16" s="1"/>
  <c r="A42" i="16"/>
  <c r="A55" i="29" s="1"/>
  <c r="G41" i="16"/>
  <c r="H41" i="16" s="1"/>
  <c r="J54" i="29" s="1"/>
  <c r="C9" i="19"/>
  <c r="J41" i="16" l="1"/>
  <c r="K41" i="16" s="1"/>
  <c r="A43" i="16"/>
  <c r="A56" i="29" s="1"/>
  <c r="G42" i="16"/>
  <c r="H42" i="16" s="1"/>
  <c r="J55" i="29" s="1"/>
  <c r="G60" i="17"/>
  <c r="N60" i="17" s="1"/>
  <c r="G21" i="19"/>
  <c r="G306" i="16"/>
  <c r="G202" i="29"/>
  <c r="A44" i="16" l="1"/>
  <c r="A57" i="29" s="1"/>
  <c r="G43" i="16"/>
  <c r="H43" i="16" s="1"/>
  <c r="J56" i="29" s="1"/>
  <c r="J42" i="16"/>
  <c r="K42" i="16" s="1"/>
  <c r="H306" i="16"/>
  <c r="J306" i="16" s="1"/>
  <c r="K306" i="16" s="1"/>
  <c r="R306" i="16"/>
  <c r="O60" i="17"/>
  <c r="G311" i="16"/>
  <c r="G34" i="7"/>
  <c r="J202" i="29"/>
  <c r="J43" i="16" l="1"/>
  <c r="K43" i="16" s="1"/>
  <c r="A45" i="16"/>
  <c r="A58" i="29" s="1"/>
  <c r="G44" i="16"/>
  <c r="H44" i="16" s="1"/>
  <c r="J57" i="29" s="1"/>
  <c r="H311" i="16"/>
  <c r="J311" i="16" s="1"/>
  <c r="K311" i="16" s="1"/>
  <c r="R311" i="16"/>
  <c r="O61" i="17"/>
  <c r="G6" i="16" s="1"/>
  <c r="J44" i="16" l="1"/>
  <c r="K44" i="16" s="1"/>
  <c r="A46" i="16"/>
  <c r="A59" i="29" s="1"/>
  <c r="G45" i="16"/>
  <c r="H45" i="16" s="1"/>
  <c r="J58" i="29" s="1"/>
  <c r="H5" i="16"/>
  <c r="J5" i="16" s="1"/>
  <c r="K5" i="16" s="1"/>
  <c r="H196" i="16"/>
  <c r="H197" i="16"/>
  <c r="H6" i="16"/>
  <c r="J6" i="16" s="1"/>
  <c r="K6" i="16" s="1"/>
  <c r="O62" i="17"/>
  <c r="J45" i="16" l="1"/>
  <c r="K45" i="16" s="1"/>
  <c r="A47" i="16"/>
  <c r="A60" i="29" s="1"/>
  <c r="G46" i="16"/>
  <c r="H46" i="16" s="1"/>
  <c r="J59" i="29" s="1"/>
  <c r="J18" i="29"/>
  <c r="J4" i="16"/>
  <c r="K4" i="16" s="1"/>
  <c r="J19" i="29"/>
  <c r="O63" i="17"/>
  <c r="G11" i="16" s="1"/>
  <c r="J46" i="16" l="1"/>
  <c r="K46" i="16" s="1"/>
  <c r="A48" i="16"/>
  <c r="A61" i="29" s="1"/>
  <c r="G47" i="16"/>
  <c r="H47" i="16" s="1"/>
  <c r="J60" i="29" s="1"/>
  <c r="H11" i="16"/>
  <c r="J11" i="16" s="1"/>
  <c r="K11" i="16" s="1"/>
  <c r="H8" i="16"/>
  <c r="J8" i="16" s="1"/>
  <c r="K8" i="16" s="1"/>
  <c r="O64" i="17"/>
  <c r="J47" i="16" l="1"/>
  <c r="K47" i="16" s="1"/>
  <c r="A49" i="16"/>
  <c r="A62" i="29" s="1"/>
  <c r="G48" i="16"/>
  <c r="H48" i="16" s="1"/>
  <c r="J61" i="29" s="1"/>
  <c r="J24" i="29"/>
  <c r="O65" i="17"/>
  <c r="J21" i="29"/>
  <c r="H18" i="16"/>
  <c r="H9" i="16"/>
  <c r="J9" i="16" s="1"/>
  <c r="K9" i="16" s="1"/>
  <c r="H10" i="16"/>
  <c r="J10" i="16" s="1"/>
  <c r="K10" i="16" s="1"/>
  <c r="G12" i="16" l="1"/>
  <c r="H12" i="16" s="1"/>
  <c r="J48" i="16"/>
  <c r="K48" i="16" s="1"/>
  <c r="A50" i="16"/>
  <c r="A63" i="29" s="1"/>
  <c r="G49" i="16"/>
  <c r="H49" i="16" s="1"/>
  <c r="J62" i="29" s="1"/>
  <c r="J18" i="16"/>
  <c r="O66" i="17"/>
  <c r="H23" i="16"/>
  <c r="J36" i="29" s="1"/>
  <c r="J31" i="29"/>
  <c r="J22" i="29"/>
  <c r="J23" i="29"/>
  <c r="J12" i="16" l="1"/>
  <c r="K12" i="16" s="1"/>
  <c r="J25" i="29"/>
  <c r="J14" i="16"/>
  <c r="K14" i="16" s="1"/>
  <c r="K18" i="16"/>
  <c r="J49" i="16"/>
  <c r="K49" i="16" s="1"/>
  <c r="A51" i="16"/>
  <c r="A64" i="29" s="1"/>
  <c r="G50" i="16"/>
  <c r="H50" i="16" s="1"/>
  <c r="J63" i="29" s="1"/>
  <c r="O67" i="17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 s="1"/>
  <c r="O86" i="17" s="1"/>
  <c r="O87" i="17" s="1"/>
  <c r="H24" i="16"/>
  <c r="J37" i="29" s="1"/>
  <c r="J23" i="16"/>
  <c r="K23" i="16" s="1"/>
  <c r="H25" i="16"/>
  <c r="G13" i="16" l="1"/>
  <c r="H13" i="16" s="1"/>
  <c r="J13" i="16" s="1"/>
  <c r="J25" i="16"/>
  <c r="K25" i="16" s="1"/>
  <c r="J38" i="29"/>
  <c r="J50" i="16"/>
  <c r="K50" i="16" s="1"/>
  <c r="A52" i="16"/>
  <c r="A65" i="29" s="1"/>
  <c r="G51" i="16"/>
  <c r="H51" i="16" s="1"/>
  <c r="J64" i="29" s="1"/>
  <c r="J24" i="16"/>
  <c r="K24" i="16" s="1"/>
  <c r="H26" i="16"/>
  <c r="J7" i="16" l="1"/>
  <c r="K7" i="16" s="1"/>
  <c r="K13" i="16"/>
  <c r="J26" i="16"/>
  <c r="K26" i="16" s="1"/>
  <c r="J39" i="29"/>
  <c r="J51" i="16"/>
  <c r="K51" i="16" s="1"/>
  <c r="A53" i="16"/>
  <c r="A66" i="29" s="1"/>
  <c r="G52" i="16"/>
  <c r="H52" i="16" s="1"/>
  <c r="J65" i="29" s="1"/>
  <c r="J26" i="29"/>
  <c r="A54" i="16" l="1"/>
  <c r="A67" i="29" s="1"/>
  <c r="G53" i="16"/>
  <c r="H53" i="16" s="1"/>
  <c r="J66" i="29" s="1"/>
  <c r="J52" i="16"/>
  <c r="K52" i="16" s="1"/>
  <c r="J53" i="16" l="1"/>
  <c r="K53" i="16" s="1"/>
  <c r="A55" i="16"/>
  <c r="A68" i="29" s="1"/>
  <c r="G54" i="16"/>
  <c r="H54" i="16" s="1"/>
  <c r="J67" i="29" s="1"/>
  <c r="A35" i="18"/>
  <c r="A56" i="16" l="1"/>
  <c r="G55" i="16"/>
  <c r="H55" i="16" s="1"/>
  <c r="J68" i="29" s="1"/>
  <c r="J54" i="16"/>
  <c r="K54" i="16" s="1"/>
  <c r="AC124" i="32"/>
  <c r="A124" i="32" s="1"/>
  <c r="A57" i="16" l="1"/>
  <c r="A69" i="29"/>
  <c r="J55" i="16"/>
  <c r="K55" i="16" s="1"/>
  <c r="G56" i="16"/>
  <c r="H56" i="16" s="1"/>
  <c r="J69" i="29" s="1"/>
  <c r="A123" i="32"/>
  <c r="KL45" i="17"/>
  <c r="LH62" i="17"/>
  <c r="KO45" i="17"/>
  <c r="KS60" i="17"/>
  <c r="KP45" i="17"/>
  <c r="KX67" i="17"/>
  <c r="LG48" i="17"/>
  <c r="LF64" i="17"/>
  <c r="KI67" i="17"/>
  <c r="I197" i="16"/>
  <c r="J197" i="16" l="1"/>
  <c r="K197" i="16" s="1"/>
  <c r="A70" i="29"/>
  <c r="A58" i="16"/>
  <c r="G57" i="16"/>
  <c r="H57" i="16" s="1"/>
  <c r="J70" i="29" s="1"/>
  <c r="J56" i="16"/>
  <c r="K56" i="16" s="1"/>
  <c r="L195" i="16"/>
  <c r="I195" i="16" s="1"/>
  <c r="L196" i="16"/>
  <c r="I196" i="16" s="1"/>
  <c r="KT65" i="17"/>
  <c r="KI58" i="17"/>
  <c r="KQ66" i="17"/>
  <c r="KI45" i="17"/>
  <c r="KR68" i="17"/>
  <c r="KG68" i="17" s="1"/>
  <c r="LW45" i="17"/>
  <c r="LV45" i="17" s="1"/>
  <c r="L191" i="16"/>
  <c r="I191" i="16" s="1"/>
  <c r="L194" i="16"/>
  <c r="I194" i="16" s="1"/>
  <c r="LW63" i="17"/>
  <c r="LV63" i="17" s="1"/>
  <c r="LH57" i="17"/>
  <c r="LG55" i="17"/>
  <c r="LG63" i="17"/>
  <c r="LH66" i="17"/>
  <c r="LF58" i="17"/>
  <c r="LG45" i="17"/>
  <c r="KT45" i="17"/>
  <c r="KQ53" i="17"/>
  <c r="KX66" i="17"/>
  <c r="LF47" i="17"/>
  <c r="KI68" i="17"/>
  <c r="KY65" i="17"/>
  <c r="LG46" i="17"/>
  <c r="KY68" i="17"/>
  <c r="LH55" i="17"/>
  <c r="KT52" i="17"/>
  <c r="KY67" i="17"/>
  <c r="KX56" i="17"/>
  <c r="LF66" i="17"/>
  <c r="KT54" i="17"/>
  <c r="KT67" i="17"/>
  <c r="KT60" i="17"/>
  <c r="KQ67" i="17"/>
  <c r="KW59" i="17"/>
  <c r="KN51" i="17"/>
  <c r="KX63" i="17"/>
  <c r="KR61" i="17"/>
  <c r="KO61" i="17" s="1"/>
  <c r="LG56" i="17"/>
  <c r="KN55" i="17"/>
  <c r="KT58" i="17"/>
  <c r="KT59" i="17"/>
  <c r="KI55" i="17"/>
  <c r="KY66" i="17"/>
  <c r="KX46" i="17"/>
  <c r="LG65" i="17"/>
  <c r="KY53" i="17"/>
  <c r="KW66" i="17"/>
  <c r="KI49" i="17"/>
  <c r="LH58" i="17"/>
  <c r="KW57" i="17"/>
  <c r="LF55" i="17"/>
  <c r="LG58" i="17"/>
  <c r="LF57" i="17"/>
  <c r="LG53" i="17"/>
  <c r="KS62" i="17"/>
  <c r="LF67" i="17"/>
  <c r="KS47" i="17"/>
  <c r="KW62" i="17"/>
  <c r="KI53" i="17"/>
  <c r="KQ50" i="17"/>
  <c r="LH51" i="17"/>
  <c r="KS55" i="17"/>
  <c r="KT61" i="17"/>
  <c r="KT50" i="17"/>
  <c r="KW48" i="17"/>
  <c r="LG49" i="17"/>
  <c r="KI59" i="17"/>
  <c r="KY54" i="17"/>
  <c r="KY56" i="17"/>
  <c r="KW65" i="17"/>
  <c r="KQ46" i="17"/>
  <c r="KY46" i="17"/>
  <c r="KQ61" i="17"/>
  <c r="KX45" i="17"/>
  <c r="KN52" i="17"/>
  <c r="KY59" i="17"/>
  <c r="KI54" i="17"/>
  <c r="KS50" i="17"/>
  <c r="KT64" i="17"/>
  <c r="LF59" i="17"/>
  <c r="KY61" i="17"/>
  <c r="KX62" i="17"/>
  <c r="KR60" i="17"/>
  <c r="KD60" i="17" s="1"/>
  <c r="KI66" i="17"/>
  <c r="KN45" i="17"/>
  <c r="KX68" i="17"/>
  <c r="KQ51" i="17"/>
  <c r="KN68" i="17"/>
  <c r="KS51" i="17"/>
  <c r="KY52" i="17"/>
  <c r="LF51" i="17"/>
  <c r="KR51" i="17"/>
  <c r="KG51" i="17" s="1"/>
  <c r="KN62" i="17"/>
  <c r="KN54" i="17"/>
  <c r="KQ59" i="17"/>
  <c r="KW50" i="17"/>
  <c r="KX50" i="17"/>
  <c r="KW53" i="17"/>
  <c r="KI61" i="17"/>
  <c r="KS66" i="17"/>
  <c r="LH56" i="17"/>
  <c r="KX65" i="17"/>
  <c r="KI50" i="17"/>
  <c r="KY57" i="17"/>
  <c r="KY50" i="17"/>
  <c r="LG66" i="17"/>
  <c r="LG51" i="17"/>
  <c r="KX47" i="17"/>
  <c r="KS64" i="17"/>
  <c r="KR59" i="17"/>
  <c r="LW59" i="17"/>
  <c r="LV59" i="17" s="1"/>
  <c r="LW61" i="17"/>
  <c r="LV61" i="17" s="1"/>
  <c r="LH61" i="17"/>
  <c r="KS52" i="17"/>
  <c r="KQ49" i="17"/>
  <c r="KQ62" i="17"/>
  <c r="KX54" i="17"/>
  <c r="KN63" i="17"/>
  <c r="KI52" i="17"/>
  <c r="KR57" i="17"/>
  <c r="KO57" i="17" s="1"/>
  <c r="KY60" i="17"/>
  <c r="KR64" i="17"/>
  <c r="KD64" i="17" s="1"/>
  <c r="LF50" i="17"/>
  <c r="LH52" i="17"/>
  <c r="KX48" i="17"/>
  <c r="KS67" i="17"/>
  <c r="KX58" i="17"/>
  <c r="KW60" i="17"/>
  <c r="KS53" i="17"/>
  <c r="KT48" i="17"/>
  <c r="LW52" i="17"/>
  <c r="LV52" i="17" s="1"/>
  <c r="KW45" i="17"/>
  <c r="LG59" i="17"/>
  <c r="KN64" i="17"/>
  <c r="LF65" i="17"/>
  <c r="KW55" i="17"/>
  <c r="LH47" i="17"/>
  <c r="LH48" i="17"/>
  <c r="KW54" i="17"/>
  <c r="LW64" i="17"/>
  <c r="LV64" i="17" s="1"/>
  <c r="LW58" i="17"/>
  <c r="LV58" i="17" s="1"/>
  <c r="KS63" i="17"/>
  <c r="KN57" i="17"/>
  <c r="LG50" i="17"/>
  <c r="KX64" i="17"/>
  <c r="KT56" i="17"/>
  <c r="KS59" i="17"/>
  <c r="LH68" i="17"/>
  <c r="KW49" i="17"/>
  <c r="KQ48" i="17"/>
  <c r="LH45" i="17"/>
  <c r="KY58" i="17"/>
  <c r="LF56" i="17"/>
  <c r="KQ58" i="17"/>
  <c r="KT49" i="17"/>
  <c r="KS45" i="17"/>
  <c r="KY55" i="17"/>
  <c r="KR54" i="17"/>
  <c r="KL54" i="17" s="1"/>
  <c r="KX55" i="17"/>
  <c r="KI57" i="17"/>
  <c r="LF54" i="17"/>
  <c r="LG57" i="17"/>
  <c r="KX57" i="17"/>
  <c r="KS46" i="17"/>
  <c r="LH67" i="17"/>
  <c r="KN58" i="17"/>
  <c r="KI47" i="17"/>
  <c r="KN61" i="17"/>
  <c r="KT46" i="17"/>
  <c r="KN48" i="17"/>
  <c r="LH54" i="17"/>
  <c r="KT53" i="17"/>
  <c r="LH46" i="17"/>
  <c r="KT66" i="17"/>
  <c r="KN60" i="17"/>
  <c r="LH63" i="17"/>
  <c r="LW50" i="17"/>
  <c r="LV50" i="17" s="1"/>
  <c r="KS54" i="17"/>
  <c r="KR50" i="17"/>
  <c r="KO50" i="17" s="1"/>
  <c r="KN47" i="17"/>
  <c r="LH49" i="17"/>
  <c r="KQ60" i="17"/>
  <c r="KY48" i="17"/>
  <c r="KN59" i="17"/>
  <c r="KN65" i="17"/>
  <c r="KS58" i="17"/>
  <c r="LF60" i="17"/>
  <c r="LH59" i="17"/>
  <c r="KR58" i="17"/>
  <c r="KO58" i="17" s="1"/>
  <c r="LW60" i="17"/>
  <c r="LV60" i="17" s="1"/>
  <c r="LF48" i="17"/>
  <c r="LH65" i="17"/>
  <c r="KW64" i="17"/>
  <c r="KQ68" i="17"/>
  <c r="KQ57" i="17"/>
  <c r="KX51" i="17"/>
  <c r="KI56" i="17"/>
  <c r="LW62" i="17"/>
  <c r="LV62" i="17" s="1"/>
  <c r="LW55" i="17"/>
  <c r="LV55" i="17" s="1"/>
  <c r="KW58" i="17"/>
  <c r="LG47" i="17"/>
  <c r="LW54" i="17"/>
  <c r="LV54" i="17" s="1"/>
  <c r="LW56" i="17"/>
  <c r="LV56" i="17" s="1"/>
  <c r="KY45" i="17"/>
  <c r="LG68" i="17"/>
  <c r="LF45" i="17"/>
  <c r="KT62" i="17"/>
  <c r="KQ54" i="17"/>
  <c r="KI48" i="17"/>
  <c r="KI65" i="17"/>
  <c r="LG60" i="17"/>
  <c r="KQ64" i="17"/>
  <c r="KQ55" i="17"/>
  <c r="KR66" i="17"/>
  <c r="KG66" i="17" s="1"/>
  <c r="KR56" i="17"/>
  <c r="KG56" i="17" s="1"/>
  <c r="KW46" i="17"/>
  <c r="KS48" i="17"/>
  <c r="KR67" i="17"/>
  <c r="KR46" i="17"/>
  <c r="KS56" i="17"/>
  <c r="KQ65" i="17"/>
  <c r="LH60" i="17"/>
  <c r="KT51" i="17"/>
  <c r="KQ52" i="17"/>
  <c r="KY49" i="17"/>
  <c r="LH53" i="17"/>
  <c r="KW67" i="17"/>
  <c r="LG62" i="17"/>
  <c r="KR62" i="17"/>
  <c r="KO62" i="17" s="1"/>
  <c r="KR63" i="17"/>
  <c r="KO63" i="17" s="1"/>
  <c r="LG54" i="17"/>
  <c r="KT63" i="17"/>
  <c r="KI63" i="17"/>
  <c r="KN56" i="17"/>
  <c r="LG52" i="17"/>
  <c r="LF52" i="17"/>
  <c r="KX61" i="17"/>
  <c r="KW61" i="17"/>
  <c r="KS57" i="17"/>
  <c r="KW52" i="17"/>
  <c r="LW53" i="17"/>
  <c r="LV53" i="17" s="1"/>
  <c r="LW57" i="17"/>
  <c r="LV57" i="17" s="1"/>
  <c r="LW66" i="17"/>
  <c r="LV66" i="17" s="1"/>
  <c r="KY51" i="17"/>
  <c r="LW65" i="17"/>
  <c r="LV65" i="17" s="1"/>
  <c r="KR48" i="17"/>
  <c r="KG48" i="17" s="1"/>
  <c r="KY47" i="17"/>
  <c r="KS49" i="17"/>
  <c r="KN46" i="17"/>
  <c r="LF49" i="17"/>
  <c r="KW51" i="17"/>
  <c r="LG61" i="17"/>
  <c r="KI60" i="17"/>
  <c r="KN49" i="17"/>
  <c r="KQ63" i="17"/>
  <c r="LF63" i="17"/>
  <c r="LG64" i="17"/>
  <c r="KI62" i="17"/>
  <c r="KY62" i="17"/>
  <c r="KT47" i="17"/>
  <c r="LH50" i="17"/>
  <c r="LF46" i="17"/>
  <c r="LF62" i="17"/>
  <c r="KN50" i="17"/>
  <c r="KN66" i="17"/>
  <c r="KT55" i="17"/>
  <c r="KQ45" i="17"/>
  <c r="KW56" i="17"/>
  <c r="LW47" i="17"/>
  <c r="LV47" i="17" s="1"/>
  <c r="LW48" i="17"/>
  <c r="LV48" i="17" s="1"/>
  <c r="LW46" i="17"/>
  <c r="LV46" i="17" s="1"/>
  <c r="KX49" i="17"/>
  <c r="LF61" i="17"/>
  <c r="KN67" i="17"/>
  <c r="KS61" i="17"/>
  <c r="KQ47" i="17"/>
  <c r="KI64" i="17"/>
  <c r="LG67" i="17"/>
  <c r="KW63" i="17"/>
  <c r="KX60" i="17"/>
  <c r="KX59" i="17"/>
  <c r="KQ56" i="17"/>
  <c r="KR45" i="17"/>
  <c r="KD45" i="17" s="1"/>
  <c r="KR65" i="17"/>
  <c r="LW51" i="17"/>
  <c r="LV51" i="17" s="1"/>
  <c r="KR55" i="17"/>
  <c r="KR53" i="17"/>
  <c r="KL53" i="17" s="1"/>
  <c r="KS65" i="17"/>
  <c r="KT57" i="17"/>
  <c r="KS68" i="17"/>
  <c r="KI51" i="17"/>
  <c r="KY64" i="17"/>
  <c r="KX52" i="17"/>
  <c r="LH64" i="17"/>
  <c r="LF53" i="17"/>
  <c r="LW67" i="17"/>
  <c r="LV67" i="17" s="1"/>
  <c r="LW49" i="17"/>
  <c r="LV49" i="17" s="1"/>
  <c r="KR47" i="17"/>
  <c r="KI46" i="17"/>
  <c r="KY63" i="17"/>
  <c r="KR52" i="17"/>
  <c r="LW68" i="17"/>
  <c r="LV68" i="17" s="1"/>
  <c r="KR49" i="17"/>
  <c r="KG49" i="17" s="1"/>
  <c r="LF68" i="17"/>
  <c r="KN53" i="17"/>
  <c r="KX53" i="17"/>
  <c r="KW68" i="17"/>
  <c r="KW47" i="17"/>
  <c r="KT68" i="17"/>
  <c r="J196" i="16" l="1"/>
  <c r="K196" i="16" s="1"/>
  <c r="A59" i="16"/>
  <c r="A71" i="29"/>
  <c r="J57" i="16"/>
  <c r="K57" i="16" s="1"/>
  <c r="G58" i="16"/>
  <c r="H58" i="16" s="1"/>
  <c r="KL51" i="17"/>
  <c r="KL60" i="17"/>
  <c r="KD66" i="17"/>
  <c r="KO66" i="17"/>
  <c r="KP66" i="17"/>
  <c r="KD61" i="17"/>
  <c r="KL61" i="17"/>
  <c r="KG61" i="17"/>
  <c r="KP61" i="17"/>
  <c r="KD51" i="17"/>
  <c r="KL66" i="17"/>
  <c r="KO68" i="17"/>
  <c r="KP68" i="17"/>
  <c r="KP49" i="17"/>
  <c r="KD68" i="17"/>
  <c r="KL68" i="17"/>
  <c r="KL63" i="17"/>
  <c r="KD63" i="17"/>
  <c r="KD62" i="17"/>
  <c r="KP62" i="17"/>
  <c r="KO53" i="17"/>
  <c r="KP63" i="17"/>
  <c r="KD56" i="17"/>
  <c r="KD48" i="17"/>
  <c r="KP56" i="17"/>
  <c r="KG47" i="17"/>
  <c r="KL47" i="17"/>
  <c r="KG50" i="17"/>
  <c r="KD50" i="17"/>
  <c r="KL50" i="17"/>
  <c r="KP50" i="17"/>
  <c r="KP60" i="17"/>
  <c r="KO60" i="17"/>
  <c r="KG60" i="17"/>
  <c r="KO52" i="17"/>
  <c r="KL52" i="17"/>
  <c r="KD52" i="17"/>
  <c r="KG57" i="17"/>
  <c r="KD57" i="17"/>
  <c r="KL57" i="17"/>
  <c r="KP57" i="17"/>
  <c r="KL67" i="17"/>
  <c r="KD67" i="17"/>
  <c r="KP67" i="17"/>
  <c r="KG67" i="17"/>
  <c r="KO64" i="17"/>
  <c r="KG64" i="17"/>
  <c r="KP64" i="17"/>
  <c r="KL64" i="17"/>
  <c r="KL46" i="17"/>
  <c r="KG46" i="17"/>
  <c r="KP46" i="17"/>
  <c r="KO46" i="17"/>
  <c r="KD46" i="17"/>
  <c r="KO51" i="17"/>
  <c r="KP51" i="17"/>
  <c r="KG58" i="17"/>
  <c r="KP58" i="17"/>
  <c r="KD58" i="17"/>
  <c r="KL58" i="17"/>
  <c r="KO48" i="17"/>
  <c r="KD59" i="17"/>
  <c r="KO59" i="17"/>
  <c r="KL59" i="17"/>
  <c r="KG59" i="17"/>
  <c r="KP54" i="17"/>
  <c r="KD54" i="17"/>
  <c r="KO54" i="17"/>
  <c r="KG54" i="17"/>
  <c r="KO47" i="17"/>
  <c r="KO55" i="17"/>
  <c r="KG55" i="17"/>
  <c r="KL55" i="17"/>
  <c r="KD55" i="17"/>
  <c r="KO56" i="17"/>
  <c r="KL65" i="17"/>
  <c r="KG65" i="17"/>
  <c r="KD65" i="17"/>
  <c r="KO65" i="17"/>
  <c r="KD53" i="17"/>
  <c r="KG53" i="17"/>
  <c r="KP53" i="17"/>
  <c r="KP52" i="17"/>
  <c r="KG52" i="17"/>
  <c r="KD47" i="17"/>
  <c r="KO49" i="17"/>
  <c r="KP55" i="17"/>
  <c r="KL56" i="17"/>
  <c r="KO67" i="17"/>
  <c r="KP48" i="17"/>
  <c r="KD49" i="17"/>
  <c r="KL49" i="17"/>
  <c r="KP47" i="17"/>
  <c r="KP59" i="17"/>
  <c r="KL62" i="17"/>
  <c r="KG62" i="17"/>
  <c r="KL48" i="17"/>
  <c r="KG45" i="17"/>
  <c r="KG63" i="17"/>
  <c r="KP65" i="17"/>
  <c r="J58" i="16" l="1"/>
  <c r="K58" i="16" s="1"/>
  <c r="J71" i="29"/>
  <c r="A60" i="16"/>
  <c r="A72" i="29"/>
  <c r="G59" i="16"/>
  <c r="H59" i="16" s="1"/>
  <c r="A61" i="16" l="1"/>
  <c r="A73" i="29"/>
  <c r="J59" i="16"/>
  <c r="K59" i="16" s="1"/>
  <c r="J72" i="29"/>
  <c r="G60" i="16"/>
  <c r="H60" i="16" l="1"/>
  <c r="J73" i="29" s="1"/>
  <c r="A62" i="16"/>
  <c r="A74" i="29"/>
  <c r="G61" i="16"/>
  <c r="H61" i="16" s="1"/>
  <c r="J60" i="16" l="1"/>
  <c r="K60" i="16" s="1"/>
  <c r="J74" i="29"/>
  <c r="J61" i="16"/>
  <c r="K61" i="16" s="1"/>
  <c r="A63" i="16"/>
  <c r="A75" i="29"/>
  <c r="G62" i="16"/>
  <c r="H62" i="16" s="1"/>
  <c r="G95" i="16" l="1"/>
  <c r="H34" i="30" s="1"/>
  <c r="A64" i="16"/>
  <c r="A76" i="29"/>
  <c r="G63" i="16"/>
  <c r="H63" i="16" s="1"/>
  <c r="J62" i="16"/>
  <c r="K62" i="16" s="1"/>
  <c r="J75" i="29"/>
  <c r="H35" i="30" l="1"/>
  <c r="M34" i="30"/>
  <c r="I34" i="30"/>
  <c r="I19" i="30" s="1"/>
  <c r="H95" i="16"/>
  <c r="J76" i="29"/>
  <c r="J63" i="16"/>
  <c r="K63" i="16" s="1"/>
  <c r="A65" i="16"/>
  <c r="A77" i="29"/>
  <c r="G64" i="16"/>
  <c r="H64" i="16" s="1"/>
  <c r="O34" i="30" l="1"/>
  <c r="P34" i="30" s="1"/>
  <c r="Q34" i="30" s="1"/>
  <c r="R34" i="30" s="1"/>
  <c r="S34" i="30" s="1"/>
  <c r="T34" i="30" s="1"/>
  <c r="J34" i="30"/>
  <c r="J19" i="30"/>
  <c r="M35" i="30"/>
  <c r="M111" i="30" s="1"/>
  <c r="I35" i="30"/>
  <c r="J35" i="30" s="1"/>
  <c r="J95" i="16"/>
  <c r="K95" i="16" s="1"/>
  <c r="J108" i="29"/>
  <c r="A66" i="16"/>
  <c r="A78" i="29"/>
  <c r="G65" i="16"/>
  <c r="H65" i="16" s="1"/>
  <c r="J77" i="29"/>
  <c r="J64" i="16"/>
  <c r="K64" i="16" s="1"/>
  <c r="U34" i="30" l="1"/>
  <c r="AE34" i="30"/>
  <c r="O35" i="30"/>
  <c r="P35" i="30" s="1"/>
  <c r="Q35" i="30" s="1"/>
  <c r="R35" i="30" s="1"/>
  <c r="S35" i="30" s="1"/>
  <c r="T35" i="30" s="1"/>
  <c r="J83" i="16"/>
  <c r="K83" i="16" s="1"/>
  <c r="J102" i="16"/>
  <c r="K102" i="16" s="1"/>
  <c r="J78" i="29"/>
  <c r="J65" i="16"/>
  <c r="K65" i="16" s="1"/>
  <c r="A67" i="16"/>
  <c r="A79" i="29"/>
  <c r="G66" i="16"/>
  <c r="H66" i="16" s="1"/>
  <c r="U35" i="30" l="1"/>
  <c r="AE35" i="30"/>
  <c r="H117" i="16"/>
  <c r="J130" i="29" s="1"/>
  <c r="H113" i="16"/>
  <c r="J113" i="16" s="1"/>
  <c r="H1" i="16"/>
  <c r="E26" i="11" s="1"/>
  <c r="J79" i="29"/>
  <c r="J66" i="16"/>
  <c r="K66" i="16" s="1"/>
  <c r="A80" i="29"/>
  <c r="G67" i="16"/>
  <c r="H67" i="16" s="1"/>
  <c r="J117" i="16" l="1"/>
  <c r="K117" i="16" s="1"/>
  <c r="J126" i="29"/>
  <c r="K113" i="16"/>
  <c r="J80" i="29"/>
  <c r="J67" i="16"/>
  <c r="J118" i="16" l="1"/>
  <c r="K118" i="16" s="1"/>
  <c r="J19" i="16"/>
  <c r="K67" i="16"/>
  <c r="J189" i="16" l="1"/>
  <c r="I1" i="16" s="1"/>
  <c r="E27" i="11" s="1"/>
  <c r="J112" i="16"/>
  <c r="K112" i="16" s="1"/>
  <c r="J69" i="16"/>
  <c r="K19" i="16"/>
  <c r="K189" i="16" l="1"/>
  <c r="J103" i="16"/>
  <c r="K103" i="16" s="1"/>
  <c r="K69" i="16"/>
  <c r="J3" i="16"/>
  <c r="K3" i="16" s="1"/>
  <c r="G1" i="16"/>
  <c r="E25" i="11" s="1"/>
  <c r="AE31" i="17" l="1"/>
  <c r="AD31" i="17" s="1"/>
  <c r="AE30" i="17"/>
  <c r="AD30" i="17" s="1"/>
  <c r="AE32" i="17"/>
  <c r="AD32" i="17" s="1"/>
  <c r="AE33" i="17"/>
  <c r="AD33" i="17" s="1"/>
  <c r="R50" i="17"/>
  <c r="R46" i="17"/>
  <c r="DC31" i="17" s="1"/>
  <c r="R49" i="17"/>
  <c r="R48" i="17"/>
  <c r="R51" i="17"/>
  <c r="R45" i="17"/>
  <c r="DC30" i="17" s="1"/>
  <c r="R47" i="17"/>
  <c r="R52" i="17"/>
  <c r="R55" i="17"/>
  <c r="R53" i="17"/>
  <c r="R54" i="17"/>
  <c r="DM31" i="17" l="1"/>
  <c r="DH31" i="17"/>
  <c r="G255" i="16"/>
  <c r="H255" i="16" s="1"/>
  <c r="J255" i="16" s="1"/>
  <c r="K255" i="16" s="1"/>
  <c r="G191" i="16"/>
  <c r="G265" i="16"/>
  <c r="H265" i="16" s="1"/>
  <c r="J265" i="16" s="1"/>
  <c r="K265" i="16" s="1"/>
  <c r="G235" i="16"/>
  <c r="G237" i="16"/>
  <c r="R237" i="16" s="1"/>
  <c r="G195" i="16"/>
  <c r="DH30" i="17"/>
  <c r="DM30" i="17"/>
  <c r="DN30" i="17" s="1"/>
  <c r="DD51" i="17" s="1"/>
  <c r="DF51" i="17" s="1"/>
  <c r="DV30" i="17"/>
  <c r="G262" i="16"/>
  <c r="H262" i="16" s="1"/>
  <c r="J262" i="16" s="1"/>
  <c r="K262" i="16" s="1"/>
  <c r="G256" i="16"/>
  <c r="G225" i="16"/>
  <c r="R225" i="16" s="1"/>
  <c r="G194" i="16"/>
  <c r="R255" i="16" l="1"/>
  <c r="R191" i="16"/>
  <c r="H191" i="16"/>
  <c r="J191" i="16" s="1"/>
  <c r="K191" i="16" s="1"/>
  <c r="R265" i="16"/>
  <c r="R235" i="16"/>
  <c r="H235" i="16"/>
  <c r="J235" i="16" s="1"/>
  <c r="K235" i="16" s="1"/>
  <c r="H237" i="16"/>
  <c r="J237" i="16" s="1"/>
  <c r="K237" i="16" s="1"/>
  <c r="R195" i="16"/>
  <c r="LW31" i="17" s="1"/>
  <c r="LV31" i="17" s="1"/>
  <c r="V195" i="16"/>
  <c r="R262" i="16"/>
  <c r="G313" i="16"/>
  <c r="DD52" i="17"/>
  <c r="DF52" i="17" s="1"/>
  <c r="DN42" i="17"/>
  <c r="DP43" i="17" s="1"/>
  <c r="DV42" i="17"/>
  <c r="DW43" i="17" s="1"/>
  <c r="DX30" i="17"/>
  <c r="DG51" i="17" s="1"/>
  <c r="O5" i="30" s="1"/>
  <c r="P5" i="30" s="1"/>
  <c r="Q5" i="30" s="1"/>
  <c r="R5" i="30" s="1"/>
  <c r="S5" i="30" s="1"/>
  <c r="T5" i="30" s="1"/>
  <c r="R256" i="16"/>
  <c r="H256" i="16"/>
  <c r="J256" i="16" s="1"/>
  <c r="K256" i="16" s="1"/>
  <c r="H225" i="16"/>
  <c r="J225" i="16" s="1"/>
  <c r="K225" i="16" s="1"/>
  <c r="R194" i="16"/>
  <c r="V194" i="16"/>
  <c r="U5" i="30" l="1"/>
  <c r="AE5" i="30"/>
  <c r="I7" i="30"/>
  <c r="I8" i="30"/>
  <c r="J8" i="30" s="1"/>
  <c r="W194" i="16"/>
  <c r="LW30" i="17"/>
  <c r="LV30" i="17" s="1"/>
  <c r="DG52" i="17"/>
  <c r="DX42" i="17"/>
  <c r="H194" i="16" l="1"/>
  <c r="J194" i="16" s="1"/>
  <c r="K194" i="16" s="1"/>
  <c r="H195" i="16"/>
  <c r="J195" i="16" s="1"/>
  <c r="K195" i="16" s="1"/>
  <c r="I4" i="30"/>
  <c r="I111" i="30" s="1"/>
  <c r="I846" i="30" s="1"/>
  <c r="J846" i="30" s="1"/>
  <c r="J7" i="30"/>
  <c r="O6" i="30"/>
  <c r="P6" i="30" s="1"/>
  <c r="Q6" i="30" s="1"/>
  <c r="M846" i="30"/>
  <c r="DH52" i="17"/>
  <c r="J313" i="16" l="1"/>
  <c r="J190" i="16" s="1"/>
  <c r="K190" i="16" s="1"/>
  <c r="J4" i="30"/>
  <c r="J111" i="30"/>
  <c r="J5" i="18" s="1"/>
  <c r="E33" i="18" s="1"/>
  <c r="R6" i="30"/>
  <c r="S6" i="30" s="1"/>
  <c r="O7" i="30"/>
  <c r="P7" i="30" s="1"/>
  <c r="Q7" i="30" s="1"/>
  <c r="K313" i="16" l="1"/>
  <c r="J314" i="16"/>
  <c r="K314" i="16" s="1"/>
  <c r="J1" i="16"/>
  <c r="E24" i="11" s="1"/>
  <c r="E23" i="11" s="1"/>
  <c r="T6" i="30"/>
  <c r="O111" i="30"/>
  <c r="O846" i="30" s="1"/>
  <c r="R7" i="30"/>
  <c r="S7" i="30" s="1"/>
  <c r="T7" i="30" s="1"/>
  <c r="AE7" i="30" s="1"/>
  <c r="Q111" i="30"/>
  <c r="U6" i="30" l="1"/>
  <c r="AE6" i="30"/>
  <c r="AE111" i="30" s="1"/>
  <c r="AE846" i="30" s="1"/>
  <c r="E34" i="11" s="1"/>
  <c r="Q846" i="30"/>
  <c r="E1" i="30"/>
  <c r="U7" i="30"/>
  <c r="T111" i="30"/>
  <c r="E30" i="11" s="1"/>
  <c r="E2" i="18"/>
  <c r="G1" i="19" s="1"/>
  <c r="D1" i="29"/>
  <c r="E28" i="11" l="1"/>
  <c r="E33" i="11" s="1"/>
  <c r="U111" i="30"/>
  <c r="T846" i="30"/>
  <c r="K1" i="7"/>
  <c r="C9" i="11"/>
  <c r="B1" i="29"/>
  <c r="W1" i="31"/>
  <c r="B5" i="34"/>
  <c r="B5" i="28"/>
  <c r="X1" i="32"/>
  <c r="AA1" i="35"/>
  <c r="U846" i="30" l="1"/>
  <c r="E35" i="11"/>
  <c r="E36" i="11" s="1"/>
  <c r="E48" i="11" s="1"/>
  <c r="H13" i="34"/>
  <c r="H5" i="34"/>
  <c r="B13" i="34"/>
  <c r="H13" i="28"/>
  <c r="H5" i="28"/>
  <c r="B13" i="28"/>
  <c r="E47" i="11" l="1"/>
  <c r="D49" i="11" l="1"/>
  <c r="E46" i="11"/>
  <c r="D48" i="11" s="1"/>
  <c r="C67" i="11" s="1"/>
  <c r="E51" i="11"/>
  <c r="E52" i="11" s="1"/>
  <c r="C68" i="11"/>
  <c r="D46" i="11" l="1"/>
  <c r="D554" i="30" l="1"/>
  <c r="AD554" i="30" s="1"/>
</calcChain>
</file>

<file path=xl/comments1.xml><?xml version="1.0" encoding="utf-8"?>
<comments xmlns="http://schemas.openxmlformats.org/spreadsheetml/2006/main">
  <authors>
    <author>mik</author>
    <author>Windows User</author>
    <author>bu</author>
    <author>+</author>
    <author>о_о</author>
    <author>alexk</author>
  </authors>
  <commentList>
    <comment ref="K2" authorId="0" shapeId="0">
      <text>
        <r>
          <rPr>
            <b/>
            <sz val="10"/>
            <color indexed="81"/>
            <rFont val="Tahoma"/>
            <family val="2"/>
            <charset val="204"/>
          </rPr>
          <t>Количество страниц,входящих на материал бумаги</t>
        </r>
        <r>
          <rPr>
            <sz val="12"/>
            <color indexed="81"/>
            <rFont val="Tahoma"/>
            <family val="2"/>
            <charset val="204"/>
          </rPr>
          <t xml:space="preserve">
</t>
        </r>
      </text>
    </comment>
    <comment ref="K3" authorId="1" shapeId="0">
      <text>
        <r>
          <rPr>
            <b/>
            <sz val="8"/>
            <color indexed="81"/>
            <rFont val="Tahoma"/>
            <family val="2"/>
            <charset val="204"/>
          </rPr>
          <t>Для газет: А4 или А3</t>
        </r>
        <r>
          <rPr>
            <sz val="8"/>
            <color indexed="81"/>
            <rFont val="Tahoma"/>
            <family val="2"/>
            <charset val="204"/>
          </rPr>
          <t xml:space="preserve">
(буква А - русская!!!)</t>
        </r>
      </text>
    </comment>
    <comment ref="B12" authorId="0" shapeId="0">
      <text>
        <r>
          <rPr>
            <sz val="10"/>
            <color indexed="81"/>
            <rFont val="Tahoma"/>
            <family val="2"/>
            <charset val="204"/>
          </rPr>
          <t>Нумеруются исполльзуемые в печати заказа машины
ПО ВОЗРАСТАНИЮ!</t>
        </r>
      </text>
    </comment>
    <comment ref="DG21" authorId="2" shapeId="0">
      <text>
        <r>
          <rPr>
            <b/>
            <sz val="9"/>
            <color indexed="81"/>
            <rFont val="Tahoma"/>
            <family val="2"/>
            <charset val="204"/>
          </rPr>
          <t>Если  меньше 500 л/пр, коэф.=1,1</t>
        </r>
      </text>
    </comment>
    <comment ref="DO21" authorId="2" shapeId="0">
      <text>
        <r>
          <rPr>
            <b/>
            <sz val="9"/>
            <color indexed="81"/>
            <rFont val="Tahoma"/>
            <family val="2"/>
            <charset val="204"/>
          </rPr>
          <t>Если  меньше 500 л/пр, коэф.=1,1</t>
        </r>
      </text>
    </comment>
    <comment ref="O22" authorId="1" shapeId="0">
      <text>
        <r>
          <rPr>
            <b/>
            <sz val="8"/>
            <color indexed="81"/>
            <rFont val="Tahoma"/>
            <family val="2"/>
            <charset val="204"/>
          </rPr>
          <t>ПОГ-60</t>
        </r>
      </text>
    </comment>
    <comment ref="O23" authorId="1" shapeId="0">
      <text>
        <r>
          <rPr>
            <b/>
            <sz val="8"/>
            <color indexed="81"/>
            <rFont val="Tahoma"/>
            <family val="2"/>
            <charset val="204"/>
          </rPr>
          <t>Циркон-62</t>
        </r>
      </text>
    </comment>
    <comment ref="O24" authorId="1" shapeId="0">
      <text>
        <r>
          <rPr>
            <b/>
            <sz val="8"/>
            <color indexed="81"/>
            <rFont val="Tahoma"/>
            <family val="2"/>
            <charset val="204"/>
          </rPr>
          <t>РО-62</t>
        </r>
      </text>
    </comment>
    <comment ref="O25" authorId="1" shapeId="0">
      <text>
        <r>
          <rPr>
            <b/>
            <sz val="8"/>
            <color indexed="81"/>
            <rFont val="Tahoma"/>
            <family val="2"/>
            <charset val="204"/>
          </rPr>
          <t>Марк-62</t>
        </r>
      </text>
    </comment>
    <comment ref="B28" authorId="0" shapeId="0">
      <text>
        <r>
          <rPr>
            <sz val="10"/>
            <color indexed="81"/>
            <rFont val="Tahoma"/>
            <family val="2"/>
            <charset val="204"/>
          </rPr>
          <t>Номер бумаги с листа материалов
ОБЯЗАТЕЛЬНО должны идти
ПО ВОЗРАСТАНИЮ</t>
        </r>
      </text>
    </comment>
    <comment ref="E28" authorId="0" shapeId="0">
      <text>
        <r>
          <rPr>
            <b/>
            <sz val="10"/>
            <color indexed="81"/>
            <rFont val="Tahoma"/>
            <family val="2"/>
            <charset val="204"/>
          </rPr>
          <t>Номер машины из ярко зеленого поля выше</t>
        </r>
      </text>
    </comment>
    <comment ref="G28" authorId="3" shapeId="0">
      <text>
        <r>
          <rPr>
            <b/>
            <sz val="8"/>
            <color indexed="81"/>
            <rFont val="Tahoma"/>
            <family val="2"/>
            <charset val="204"/>
          </rPr>
          <t>например:
если печать с 1,5 рулонов - ставим на ф.76- 1,5 рул., на ф.38- 1,5 рул.,
если печать с 2,5 рулонов -  ставим на ф.76- 2,5 рул., на ф.38- 1,5 рул.</t>
        </r>
      </text>
    </comment>
    <comment ref="H28" authorId="0" shapeId="0">
      <text>
        <r>
          <rPr>
            <b/>
            <sz val="11"/>
            <color indexed="81"/>
            <rFont val="Tahoma"/>
            <family val="2"/>
            <charset val="204"/>
          </rPr>
          <t>Наибольшая красочность, указанная в сумме красок</t>
        </r>
      </text>
    </comment>
    <comment ref="I28" authorId="4" shapeId="0">
      <text>
        <r>
          <rPr>
            <b/>
            <sz val="10"/>
            <color indexed="81"/>
            <rFont val="Tahoma"/>
            <family val="2"/>
            <charset val="204"/>
          </rPr>
          <t>Плотности мелованной бумаги:
90, 105, 115, 130, 135, 150, 170, 200, 250, 275.
книжно-журнальная: 57, 75, 80.</t>
        </r>
      </text>
    </comment>
    <comment ref="K28" authorId="4" shapeId="0">
      <text>
        <r>
          <rPr>
            <b/>
            <sz val="10"/>
            <color indexed="81"/>
            <rFont val="Tahoma"/>
            <family val="2"/>
            <charset val="204"/>
          </rPr>
          <t>Размеры мелованной бумаги:
62 х 94,  72 х 104</t>
        </r>
      </text>
    </comment>
    <comment ref="L28" authorId="0" shapeId="0">
      <text>
        <r>
          <rPr>
            <sz val="10"/>
            <color indexed="81"/>
            <rFont val="Tahoma"/>
            <family val="2"/>
            <charset val="204"/>
          </rPr>
          <t>Доля с учетом печати на обеих сторонах листа бумаги</t>
        </r>
      </text>
    </comment>
    <comment ref="M28" authorId="0" shapeId="0">
      <text>
        <r>
          <rPr>
            <b/>
            <sz val="10"/>
            <color indexed="81"/>
            <rFont val="Tahoma"/>
            <family val="2"/>
            <charset val="204"/>
          </rPr>
          <t>На сколько машинных листов режется лист материала бумаги</t>
        </r>
      </text>
    </comment>
    <comment ref="O28" authorId="0" shapeId="0">
      <text>
        <r>
          <rPr>
            <sz val="10"/>
            <color indexed="81"/>
            <rFont val="Tahoma"/>
            <family val="2"/>
            <charset val="204"/>
          </rPr>
          <t>Количество копий , укладывающихся на машинный лист</t>
        </r>
      </text>
    </comment>
    <comment ref="P28" authorId="0" shapeId="0">
      <text>
        <r>
          <rPr>
            <sz val="11"/>
            <color indexed="81"/>
            <rFont val="Tahoma"/>
            <family val="2"/>
            <charset val="204"/>
          </rPr>
          <t>Кол форм на на обе стороны маш. листа</t>
        </r>
      </text>
    </comment>
    <comment ref="Q28" authorId="0" shapeId="0">
      <text>
        <r>
          <rPr>
            <b/>
            <sz val="11"/>
            <color indexed="81"/>
            <rFont val="Tahoma"/>
            <family val="2"/>
            <charset val="204"/>
          </rPr>
          <t>Кол краско-оттисков на обе стороны маш. листа</t>
        </r>
      </text>
    </comment>
    <comment ref="R28" authorId="0" shapeId="0">
      <text>
        <r>
          <rPr>
            <sz val="10"/>
            <color indexed="81"/>
            <rFont val="Tahoma"/>
            <family val="2"/>
            <charset val="204"/>
          </rPr>
          <t>Количество прогонов машинного листа через машину (2 - для отдельного прогона второй стороны)</t>
        </r>
      </text>
    </comment>
    <comment ref="X28" authorId="3" shapeId="0">
      <text>
        <r>
          <rPr>
            <sz val="10"/>
            <color indexed="81"/>
            <rFont val="Tahoma"/>
            <family val="2"/>
            <charset val="204"/>
          </rPr>
          <t>Для определения норматива отходов бумаги используется тираж, приведенный к объему и формату. 
При печатании с двух и более рулонов различной ширины для определения нормы отходов бумаги используется норматив, соответствующий приведенному тиражу издания и количеству используемых рулонов.</t>
        </r>
      </text>
    </comment>
    <comment ref="KF42" authorId="3" shapeId="0">
      <text>
        <r>
          <rPr>
            <b/>
            <sz val="8"/>
            <color indexed="81"/>
            <rFont val="Tahoma"/>
            <family val="2"/>
            <charset val="204"/>
          </rPr>
          <t>старая формула поиска газетной бумаги</t>
        </r>
      </text>
    </comment>
    <comment ref="B59" authorId="0" shapeId="0">
      <text>
        <r>
          <rPr>
            <sz val="10"/>
            <color indexed="81"/>
            <rFont val="Tahoma"/>
            <family val="2"/>
            <charset val="204"/>
          </rPr>
          <t>Номер краски с листа материалов
ОБЯЗАТЕЛЬНО должны идти
ПО ВОЗРАСТАНИЮ</t>
        </r>
      </text>
    </comment>
    <comment ref="F59" authorId="0" shapeId="0">
      <text>
        <r>
          <rPr>
            <b/>
            <sz val="10"/>
            <color indexed="81"/>
            <rFont val="Tahoma"/>
            <family val="2"/>
            <charset val="204"/>
          </rPr>
          <t>Номер бумаги из зеленого поля</t>
        </r>
      </text>
    </comment>
    <comment ref="L59" authorId="5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Выбрать номер расхода краски из </t>
        </r>
        <r>
          <rPr>
            <b/>
            <u/>
            <sz val="8"/>
            <color indexed="81"/>
            <rFont val="Tahoma"/>
            <family val="2"/>
            <charset val="204"/>
          </rPr>
          <t>ЖЕЛТОГО</t>
        </r>
        <r>
          <rPr>
            <b/>
            <sz val="8"/>
            <color indexed="81"/>
            <rFont val="Tahoma"/>
            <family val="2"/>
            <charset val="204"/>
          </rPr>
          <t xml:space="preserve"> поля
                   </t>
        </r>
        <r>
          <rPr>
            <b/>
            <sz val="9"/>
            <color indexed="10"/>
            <rFont val="Tahoma"/>
            <family val="2"/>
            <charset val="204"/>
          </rPr>
          <t>-------&gt;</t>
        </r>
        <r>
          <rPr>
            <b/>
            <sz val="8"/>
            <color indexed="81"/>
            <rFont val="Tahoma"/>
            <family val="2"/>
            <charset val="204"/>
          </rPr>
          <t xml:space="preserve">
</t>
        </r>
      </text>
    </comment>
    <comment ref="M132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2,8</t>
        </r>
      </text>
    </comment>
    <comment ref="M133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2,3</t>
        </r>
      </text>
    </comment>
    <comment ref="M134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2,0</t>
        </r>
      </text>
    </comment>
    <comment ref="M135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1,8</t>
        </r>
      </text>
    </comment>
    <comment ref="M136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1,6</t>
        </r>
      </text>
    </comment>
    <comment ref="M137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0,8</t>
        </r>
      </text>
    </comment>
    <comment ref="M138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0,7</t>
        </r>
      </text>
    </comment>
    <comment ref="M139" authorId="4" shapeId="0">
      <text>
        <r>
          <rPr>
            <b/>
            <sz val="8"/>
            <color indexed="81"/>
            <rFont val="Tahoma"/>
            <family val="2"/>
            <charset val="204"/>
          </rPr>
          <t>было 0,5</t>
        </r>
      </text>
    </comment>
  </commentList>
</comments>
</file>

<file path=xl/comments2.xml><?xml version="1.0" encoding="utf-8"?>
<comments xmlns="http://schemas.openxmlformats.org/spreadsheetml/2006/main">
  <authors>
    <author>+</author>
  </authors>
  <commentList>
    <comment ref="B91" authorId="0" shapeId="0">
      <text>
        <r>
          <rPr>
            <b/>
            <sz val="8"/>
            <color indexed="81"/>
            <rFont val="Tahoma"/>
            <family val="2"/>
            <charset val="204"/>
          </rPr>
          <t>не брать!</t>
        </r>
      </text>
    </comment>
    <comment ref="B93" authorId="0" shapeId="0">
      <text>
        <r>
          <rPr>
            <b/>
            <sz val="8"/>
            <color indexed="81"/>
            <rFont val="Tahoma"/>
            <family val="2"/>
            <charset val="204"/>
          </rPr>
          <t>не брать!</t>
        </r>
      </text>
    </comment>
    <comment ref="B308" authorId="0" shapeId="0">
      <text>
        <r>
          <rPr>
            <sz val="10"/>
            <color indexed="81"/>
            <rFont val="Tahoma"/>
            <family val="2"/>
            <charset val="204"/>
          </rPr>
          <t xml:space="preserve">Сначала нужно написать тип бумаги из: </t>
        </r>
        <r>
          <rPr>
            <b/>
            <sz val="10"/>
            <color indexed="81"/>
            <rFont val="Tahoma"/>
            <family val="2"/>
            <charset val="204"/>
          </rPr>
          <t>(газетная, меловка, офсетная, этикеточная, картон)</t>
        </r>
        <r>
          <rPr>
            <sz val="10"/>
            <color indexed="81"/>
            <rFont val="Tahoma"/>
            <family val="2"/>
            <charset val="204"/>
          </rPr>
          <t xml:space="preserve">, а затем название и т.д. Например: меловка матовая 72*104*150 Омела (Смарт)
</t>
        </r>
      </text>
    </comment>
    <comment ref="B309" authorId="0" shapeId="0">
      <text>
        <r>
          <rPr>
            <sz val="10"/>
            <color indexed="81"/>
            <rFont val="Tahoma"/>
            <family val="2"/>
            <charset val="204"/>
          </rPr>
          <t xml:space="preserve">Сначала нужно написать тип бумаги из: </t>
        </r>
        <r>
          <rPr>
            <b/>
            <sz val="10"/>
            <color indexed="81"/>
            <rFont val="Tahoma"/>
            <family val="2"/>
            <charset val="204"/>
          </rPr>
          <t>(газетная, меловка, офсетная, этикеточная, картон)</t>
        </r>
        <r>
          <rPr>
            <sz val="10"/>
            <color indexed="81"/>
            <rFont val="Tahoma"/>
            <family val="2"/>
            <charset val="204"/>
          </rPr>
          <t xml:space="preserve">, а затем название и т.д. Например: меловка матовая 72*104*150 Омела (Смарт)
</t>
        </r>
      </text>
    </comment>
    <comment ref="B310" authorId="0" shapeId="0">
      <text>
        <r>
          <rPr>
            <sz val="10"/>
            <color indexed="81"/>
            <rFont val="Tahoma"/>
            <family val="2"/>
            <charset val="204"/>
          </rPr>
          <t xml:space="preserve">Сначала нужно написать тип бумаги из: </t>
        </r>
        <r>
          <rPr>
            <b/>
            <sz val="10"/>
            <color indexed="81"/>
            <rFont val="Tahoma"/>
            <family val="2"/>
            <charset val="204"/>
          </rPr>
          <t>(газетная, меловка, офсетная, этикеточная, картон)</t>
        </r>
        <r>
          <rPr>
            <sz val="10"/>
            <color indexed="81"/>
            <rFont val="Tahoma"/>
            <family val="2"/>
            <charset val="204"/>
          </rPr>
          <t xml:space="preserve">, а затем название и т.д. Например: меловка матовая 72*104*150 Омела (Смарт)
</t>
        </r>
      </text>
    </comment>
    <comment ref="B311" authorId="0" shapeId="0">
      <text>
        <r>
          <rPr>
            <sz val="10"/>
            <color indexed="81"/>
            <rFont val="Tahoma"/>
            <family val="2"/>
            <charset val="204"/>
          </rPr>
          <t xml:space="preserve">Сначала нужно написать тип бумаги из: </t>
        </r>
        <r>
          <rPr>
            <b/>
            <sz val="10"/>
            <color indexed="81"/>
            <rFont val="Tahoma"/>
            <family val="2"/>
            <charset val="204"/>
          </rPr>
          <t>(газетная, меловка, офсетная, этикеточная, картон)</t>
        </r>
        <r>
          <rPr>
            <sz val="10"/>
            <color indexed="81"/>
            <rFont val="Tahoma"/>
            <family val="2"/>
            <charset val="204"/>
          </rPr>
          <t xml:space="preserve">, а затем название и т.д. Например: меловка матовая 72*104*150 Омела (Смарт)
</t>
        </r>
      </text>
    </comment>
  </commentList>
</comments>
</file>

<file path=xl/comments3.xml><?xml version="1.0" encoding="utf-8"?>
<comments xmlns="http://schemas.openxmlformats.org/spreadsheetml/2006/main">
  <authors>
    <author>bu</author>
  </authors>
  <commentLis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15 минут, плюс 1 минута на каждые 1000 листов</t>
        </r>
      </text>
    </comment>
    <comment ref="B130" authorId="0" shapeId="0">
      <text>
        <r>
          <rPr>
            <b/>
            <sz val="9"/>
            <color indexed="81"/>
            <rFont val="Tahoma"/>
            <family val="2"/>
            <charset val="204"/>
          </rPr>
          <t>Подготовка бумаги</t>
        </r>
      </text>
    </comment>
    <comment ref="F573" authorId="0" shapeId="0">
      <text>
        <r>
          <rPr>
            <b/>
            <sz val="9"/>
            <color indexed="81"/>
            <rFont val="Tahoma"/>
            <family val="2"/>
            <charset val="204"/>
          </rPr>
          <t>1 секция</t>
        </r>
      </text>
    </comment>
  </commentList>
</comments>
</file>

<file path=xl/comments4.xml><?xml version="1.0" encoding="utf-8"?>
<comments xmlns="http://schemas.openxmlformats.org/spreadsheetml/2006/main">
  <authors>
    <author>pto5</author>
    <author>bu</author>
  </authors>
  <commentList>
    <comment ref="G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номер заказ</t>
        </r>
      </text>
    </comment>
    <comment ref="C4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дату</t>
        </r>
      </text>
    </comment>
    <comment ref="G4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номер телефона</t>
        </r>
      </text>
    </comment>
    <comment ref="F1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формат набора</t>
        </r>
        <r>
          <rPr>
            <sz val="12"/>
            <color indexed="81"/>
            <rFont val="Tahoma"/>
            <family val="2"/>
            <charset val="204"/>
          </rPr>
          <t xml:space="preserve">
</t>
        </r>
      </text>
    </comment>
    <comment ref="J11" authorId="0" shapeId="0">
      <text>
        <r>
          <rPr>
            <b/>
            <sz val="12"/>
            <color indexed="81"/>
            <rFont val="Tahoma"/>
            <family val="2"/>
            <charset val="204"/>
          </rPr>
          <t>Сменить формат печатного листа</t>
        </r>
      </text>
    </comment>
    <comment ref="B29" authorId="1" shapeId="0">
      <text>
        <r>
          <rPr>
            <sz val="10"/>
            <color indexed="81"/>
            <rFont val="Tahoma"/>
            <family val="2"/>
            <charset val="204"/>
          </rPr>
          <t>В этом случае будет максимальное клапанное поле.</t>
        </r>
      </text>
    </comment>
    <comment ref="B30" authorId="1" shapeId="0">
      <text>
        <r>
          <rPr>
            <sz val="10"/>
            <color indexed="81"/>
            <rFont val="Tahoma"/>
            <family val="2"/>
            <charset val="204"/>
          </rPr>
          <t>В этом случае изображение будет размещено по центру печатного листа. Для многостраничных изданий (сфальцованная тетрадь без шлейфа).</t>
        </r>
      </text>
    </comment>
    <comment ref="B31" authorId="1" shapeId="0">
      <text>
        <r>
          <rPr>
            <sz val="10"/>
            <color indexed="81"/>
            <rFont val="Tahoma"/>
            <family val="2"/>
            <charset val="204"/>
          </rPr>
          <t xml:space="preserve">В этом случае изображение будет размещено в 11 мм от переднего края листа (минимальное поле до начала запечатывания материала).
Следует учитывать, что сканирующая головка PDC-SII печатной машины KOMORI LITHRONE GL540 выполняет самоцентрирование по цветовой шкале в пределах 38 мм от границы бумаги ("в хвосте"). </t>
        </r>
      </text>
    </comment>
  </commentList>
</comments>
</file>

<file path=xl/comments5.xml><?xml version="1.0" encoding="utf-8"?>
<comments xmlns="http://schemas.openxmlformats.org/spreadsheetml/2006/main">
  <authors>
    <author>+</author>
  </authors>
  <commentList>
    <comment ref="Y18" authorId="0" shapeId="0">
      <text>
        <r>
          <rPr>
            <sz val="11"/>
            <color indexed="81"/>
            <rFont val="Tahoma"/>
            <family val="2"/>
            <charset val="204"/>
          </rPr>
          <t>В этом случае будет максимальное клапанное поле.</t>
        </r>
      </text>
    </comment>
    <comment ref="Y19" authorId="0" shapeId="0">
      <text>
        <r>
          <rPr>
            <sz val="11"/>
            <color indexed="81"/>
            <rFont val="Tahoma"/>
            <family val="2"/>
            <charset val="204"/>
          </rPr>
          <t>В этом случае изображение будет размещено по центру печатного листа. Для многостраничных изданий (сфальцованная тетрадь без шлейфа).</t>
        </r>
      </text>
    </comment>
    <comment ref="Y20" authorId="0" shapeId="0">
      <text>
        <r>
          <rPr>
            <sz val="11"/>
            <color indexed="81"/>
            <rFont val="Tahoma"/>
            <family val="2"/>
            <charset val="204"/>
          </rPr>
          <t xml:space="preserve">В этом случае изображение будет размещено в 11 мм от переднего края листа (минимальное поле до начала запечатывания материала).
Следует учитывать, что сканирующая головка PDC-SII печатной машины KOMORI LITHRONE GL540 выполняет самоцентрирование по цветовой шкале в пределах 38 мм от границы бумаги ("в хвосте"). </t>
        </r>
      </text>
    </comment>
  </commentList>
</comments>
</file>

<file path=xl/sharedStrings.xml><?xml version="1.0" encoding="utf-8"?>
<sst xmlns="http://schemas.openxmlformats.org/spreadsheetml/2006/main" count="6704" uniqueCount="1956">
  <si>
    <t>50 листов</t>
  </si>
  <si>
    <t>печать с 1 рулона</t>
  </si>
  <si>
    <t>печать с 2 рулонов</t>
  </si>
  <si>
    <t>печатный</t>
  </si>
  <si>
    <t>переплетный</t>
  </si>
  <si>
    <t xml:space="preserve">Технолог ПТО </t>
  </si>
  <si>
    <t>РАСКРУТКА БУМАГИ</t>
  </si>
  <si>
    <t>КЛЕЙ (расход на 1000 книг)</t>
  </si>
  <si>
    <t>Название клея</t>
  </si>
  <si>
    <t>№ 7БЦ</t>
  </si>
  <si>
    <t>№ 7</t>
  </si>
  <si>
    <t>№ 3</t>
  </si>
  <si>
    <t>Адгезин</t>
  </si>
  <si>
    <t>-</t>
  </si>
  <si>
    <t>ПВА</t>
  </si>
  <si>
    <t>НИР</t>
  </si>
  <si>
    <t>КМЦ</t>
  </si>
  <si>
    <t>Планатол</t>
  </si>
  <si>
    <r>
      <t xml:space="preserve">Клей КМЦ (упаковка) </t>
    </r>
    <r>
      <rPr>
        <b/>
        <sz val="10"/>
        <rFont val="Arial Cyr"/>
        <charset val="204"/>
      </rPr>
      <t>0,19</t>
    </r>
    <r>
      <rPr>
        <sz val="10"/>
        <rFont val="Arial Cyr"/>
        <charset val="204"/>
      </rPr>
      <t xml:space="preserve"> кг. на </t>
    </r>
    <r>
      <rPr>
        <b/>
        <sz val="10"/>
        <rFont val="Arial Cyr"/>
        <charset val="204"/>
      </rPr>
      <t>1000</t>
    </r>
    <r>
      <rPr>
        <sz val="10"/>
        <rFont val="Arial Cyr"/>
        <charset val="204"/>
      </rPr>
      <t xml:space="preserve"> пачек.</t>
    </r>
  </si>
  <si>
    <r>
      <t xml:space="preserve">Карандаш-клей </t>
    </r>
    <r>
      <rPr>
        <b/>
        <sz val="10"/>
        <rFont val="Arial Cyr"/>
        <charset val="204"/>
      </rPr>
      <t>1</t>
    </r>
    <r>
      <rPr>
        <sz val="10"/>
        <rFont val="Arial Cyr"/>
        <charset val="204"/>
      </rPr>
      <t xml:space="preserve"> кг. - </t>
    </r>
    <r>
      <rPr>
        <b/>
        <sz val="10"/>
        <rFont val="Arial Cyr"/>
        <charset val="204"/>
      </rPr>
      <t>33</t>
    </r>
    <r>
      <rPr>
        <sz val="10"/>
        <rFont val="Arial Cyr"/>
        <charset val="204"/>
      </rPr>
      <t xml:space="preserve"> карандаша</t>
    </r>
  </si>
  <si>
    <r>
      <t xml:space="preserve">(на </t>
    </r>
    <r>
      <rPr>
        <b/>
        <sz val="10"/>
        <rFont val="Arial Cyr"/>
        <charset val="204"/>
      </rPr>
      <t>1000</t>
    </r>
    <r>
      <rPr>
        <sz val="10"/>
        <rFont val="Arial Cyr"/>
        <charset val="204"/>
      </rPr>
      <t xml:space="preserve"> коробок "конфеты" - </t>
    </r>
    <r>
      <rPr>
        <b/>
        <sz val="10"/>
        <rFont val="Arial Cyr"/>
        <charset val="204"/>
      </rPr>
      <t>58</t>
    </r>
    <r>
      <rPr>
        <sz val="10"/>
        <rFont val="Arial Cyr"/>
        <charset val="204"/>
      </rPr>
      <t xml:space="preserve"> карандашей)</t>
    </r>
  </si>
  <si>
    <t>ПРОВОЛОКА (расход на 1000 тетрадей)</t>
  </si>
  <si>
    <t>Ø</t>
  </si>
  <si>
    <t>кг./1000тетр.</t>
  </si>
  <si>
    <t>0,5мм</t>
  </si>
  <si>
    <t>0,8мм</t>
  </si>
  <si>
    <t>ФОРМАТЫ СТАНДАРТНЫЕ</t>
  </si>
  <si>
    <t>Наборный</t>
  </si>
  <si>
    <t>Обрезной</t>
  </si>
  <si>
    <t>а1</t>
  </si>
  <si>
    <t>749х747</t>
  </si>
  <si>
    <t>576х814</t>
  </si>
  <si>
    <t>а2</t>
  </si>
  <si>
    <t>373х540</t>
  </si>
  <si>
    <t>407х576</t>
  </si>
  <si>
    <t>а3</t>
  </si>
  <si>
    <t>266х370</t>
  </si>
  <si>
    <t>288х407</t>
  </si>
  <si>
    <t>а4</t>
  </si>
  <si>
    <t>185х270</t>
  </si>
  <si>
    <t>203х288</t>
  </si>
  <si>
    <t>а5</t>
  </si>
  <si>
    <t>126х187</t>
  </si>
  <si>
    <t>144х203</t>
  </si>
  <si>
    <t>а6</t>
  </si>
  <si>
    <t>85х126</t>
  </si>
  <si>
    <t>101х144</t>
  </si>
  <si>
    <t>Старлайн</t>
  </si>
  <si>
    <t>Машина</t>
  </si>
  <si>
    <t>Комори</t>
  </si>
  <si>
    <t>Ед. измерения</t>
  </si>
  <si>
    <t>Заказчик</t>
  </si>
  <si>
    <t>Листопрогоны</t>
  </si>
  <si>
    <t>Краска</t>
  </si>
  <si>
    <t xml:space="preserve">Заказ № </t>
  </si>
  <si>
    <t>КОД</t>
  </si>
  <si>
    <t xml:space="preserve">№ счета </t>
  </si>
  <si>
    <t>Наим. заказа</t>
  </si>
  <si>
    <t>Доля</t>
  </si>
  <si>
    <t>тех.отходы
всего/переплет</t>
  </si>
  <si>
    <t>Обрезной формат</t>
  </si>
  <si>
    <t>Примечания:</t>
  </si>
  <si>
    <t>Оператор</t>
  </si>
  <si>
    <t>Корректор</t>
  </si>
  <si>
    <t>Пластины</t>
  </si>
  <si>
    <t>Плотность</t>
  </si>
  <si>
    <t>Раскрутка</t>
  </si>
  <si>
    <t>на тираж</t>
  </si>
  <si>
    <t>Марка машины</t>
  </si>
  <si>
    <t>по</t>
  </si>
  <si>
    <t>Заявка на материалы к заказу</t>
  </si>
  <si>
    <r>
      <t xml:space="preserve">Цех получатель                                     </t>
    </r>
    <r>
      <rPr>
        <b/>
        <sz val="11"/>
        <rFont val="Arial Cyr"/>
        <family val="2"/>
        <charset val="204"/>
      </rPr>
      <t xml:space="preserve">  Печатный</t>
    </r>
  </si>
  <si>
    <t>Дата</t>
  </si>
  <si>
    <t>Наименование материала</t>
  </si>
  <si>
    <t>Получатель</t>
  </si>
  <si>
    <t>отпущено</t>
  </si>
  <si>
    <t>получено</t>
  </si>
  <si>
    <t>листах</t>
  </si>
  <si>
    <t>Материалы     типографии</t>
  </si>
  <si>
    <t>Технолог ПТО</t>
  </si>
  <si>
    <t>620х480х93</t>
  </si>
  <si>
    <t>Проверил</t>
  </si>
  <si>
    <t>Изготовил формы</t>
  </si>
  <si>
    <t>"ИНОР" 045 ЧЕРНАЯ 001</t>
  </si>
  <si>
    <t>ПАНТОН VS-875 ЗОЛОТ.</t>
  </si>
  <si>
    <t>600х730</t>
  </si>
  <si>
    <t>Проявитель для СТР пластин</t>
  </si>
  <si>
    <t>Проявитель для СТР</t>
  </si>
  <si>
    <t>Пленка термоусадочная 350мм</t>
  </si>
  <si>
    <t>Пленка термоусадочная 400мм</t>
  </si>
  <si>
    <t>Пружина металлическая 6,9 мм белая</t>
  </si>
  <si>
    <t>картон мелов одностор          62*94*250</t>
  </si>
  <si>
    <t>картон мелов одностор         72*102*230</t>
  </si>
  <si>
    <t>картон мелов одностор         72*102*250</t>
  </si>
  <si>
    <t>Ролевые черные</t>
  </si>
  <si>
    <t>Наименование работы</t>
  </si>
  <si>
    <t>Условия работы</t>
  </si>
  <si>
    <t>Норма времени в часах</t>
  </si>
  <si>
    <t>Единица измерения</t>
  </si>
  <si>
    <t>Трудозатраты</t>
  </si>
  <si>
    <t>Тариф в рублях</t>
  </si>
  <si>
    <t>Заработная плата в руб</t>
  </si>
  <si>
    <t xml:space="preserve">% премии </t>
  </si>
  <si>
    <t>Премия в руб</t>
  </si>
  <si>
    <t>газетный срыв                   все форматы</t>
  </si>
  <si>
    <t>ПЛАСТИНЫ ОБЫЧНЫЕ</t>
  </si>
  <si>
    <t>ПЛАСТИНЫ ДЛЯ СТР</t>
  </si>
  <si>
    <t>офсетный срыв                 все форматы</t>
  </si>
  <si>
    <t>офсетная Колорит паперлин     А3         42*29,7*160</t>
  </si>
  <si>
    <t>катрон мелов DUO                72*102*275</t>
  </si>
  <si>
    <t>Расход итого</t>
  </si>
  <si>
    <t>катрон мелов DUO                 62*94*235</t>
  </si>
  <si>
    <t>катрон мелов DUO                 62*94*255</t>
  </si>
  <si>
    <t>катрон мелов DUO                72*102*200</t>
  </si>
  <si>
    <t>катрон мелов DUO                72*102*220</t>
  </si>
  <si>
    <t>катрон мелов DUO                72*102*235</t>
  </si>
  <si>
    <t>катрон мелов DUO                72*102*255</t>
  </si>
  <si>
    <t>картон мелов одностор         72*102*200</t>
  </si>
  <si>
    <t>картон мелов одностор         72*102*220</t>
  </si>
  <si>
    <t>самокоп Giroform CB (в)        43*61*54</t>
  </si>
  <si>
    <t>SPLENDORLUX                  70*100*250</t>
  </si>
  <si>
    <t>SIRIO                                 70*100*290</t>
  </si>
  <si>
    <t>AVANTAGE                        70*100*250</t>
  </si>
  <si>
    <t>AVANTAGE                        70*100*280</t>
  </si>
  <si>
    <t>AVANTAGE тисненый         70*100*280</t>
  </si>
  <si>
    <t>Цех (участок)</t>
  </si>
  <si>
    <t>Ф.И.О</t>
  </si>
  <si>
    <t>Группа 
сложности</t>
  </si>
  <si>
    <t>Ед.
изм.</t>
  </si>
  <si>
    <t>Тип
печ</t>
  </si>
  <si>
    <t>Норм
в гр</t>
  </si>
  <si>
    <t xml:space="preserve">УТВЕРЖДАЮ: </t>
  </si>
  <si>
    <t>Генеральный директор</t>
  </si>
  <si>
    <t>от 10 до 20 тетрадей, средний</t>
  </si>
  <si>
    <t>от 20 до 30 тетрадей, средний</t>
  </si>
  <si>
    <t>от 30 до 40 тетрадей, средний</t>
  </si>
  <si>
    <t>листы</t>
  </si>
  <si>
    <t xml:space="preserve">  </t>
  </si>
  <si>
    <t>Страниц</t>
  </si>
  <si>
    <t>Печ Листов</t>
  </si>
  <si>
    <t>Технолог _________</t>
  </si>
  <si>
    <t>1+1</t>
  </si>
  <si>
    <t>2+1</t>
  </si>
  <si>
    <t>2+2</t>
  </si>
  <si>
    <t>4+1</t>
  </si>
  <si>
    <t>4+2</t>
  </si>
  <si>
    <t>4+4</t>
  </si>
  <si>
    <t>Рулонов</t>
  </si>
  <si>
    <t>Бумвинил 1 сорт ширина 830 мм.</t>
  </si>
  <si>
    <t>м.пог.</t>
  </si>
  <si>
    <t>ПРОЧИЕ</t>
  </si>
  <si>
    <t>Проволока 0,8</t>
  </si>
  <si>
    <t>Пружина металлическая</t>
  </si>
  <si>
    <t>Кол-во краскоотт.  Чёрных</t>
  </si>
  <si>
    <t>Пружина металлическая 9,5мм</t>
  </si>
  <si>
    <t>Пластины для клише  TF РР-145 297 х 420</t>
  </si>
  <si>
    <t>п.м.</t>
  </si>
  <si>
    <t>зв.</t>
  </si>
  <si>
    <r>
      <t xml:space="preserve">Цех получатель                                     </t>
    </r>
    <r>
      <rPr>
        <b/>
        <sz val="11"/>
        <rFont val="Arial Cyr"/>
        <family val="2"/>
        <charset val="204"/>
      </rPr>
      <t xml:space="preserve">  Переплетный</t>
    </r>
  </si>
  <si>
    <t>Наименование краски</t>
  </si>
  <si>
    <t>Пленка термоусадочная 300мм</t>
  </si>
  <si>
    <t>ООО "Кировская областная типография"</t>
  </si>
  <si>
    <t>КАЛЬКУЛЯЦИЯ</t>
  </si>
  <si>
    <t>Печать текста в одну краску</t>
  </si>
  <si>
    <t>Печать текста с иллюстрациями (50% текст, 50% иллюстрации) в одну краску</t>
  </si>
  <si>
    <t>Кол-во запечатываемых сторон</t>
  </si>
  <si>
    <t>Учетная единица</t>
  </si>
  <si>
    <t>1000 кр.-отт. 100х100 см.</t>
  </si>
  <si>
    <t>Норма расхода*</t>
  </si>
  <si>
    <t>кв.м.</t>
  </si>
  <si>
    <t>Марля полиграфическая</t>
  </si>
  <si>
    <t>Нитки 50к суров. капрон</t>
  </si>
  <si>
    <t xml:space="preserve">        </t>
  </si>
  <si>
    <t>Фактич. время в час.</t>
  </si>
  <si>
    <t>Фактич. Время час/мин/сек</t>
  </si>
  <si>
    <t>Время час/мин/сек</t>
  </si>
  <si>
    <t>Подрезка</t>
  </si>
  <si>
    <t>Резка</t>
  </si>
  <si>
    <t>Лак</t>
  </si>
  <si>
    <t>Тиснение</t>
  </si>
  <si>
    <t>Высечка</t>
  </si>
  <si>
    <t>Кр отт
/тетр</t>
  </si>
  <si>
    <t>Проверка:</t>
  </si>
  <si>
    <t>Выходные сведения:</t>
  </si>
  <si>
    <t>Дизайн</t>
  </si>
  <si>
    <t>КР</t>
  </si>
  <si>
    <t>Матовый лак</t>
  </si>
  <si>
    <t>Кол.</t>
  </si>
  <si>
    <t>БУМАГА</t>
  </si>
  <si>
    <t>ИТОГО БУМАГА</t>
  </si>
  <si>
    <t>ИТОГО ДРУГИЕ МАТЕРИАЛЫ</t>
  </si>
  <si>
    <t>ИТОГО ХИМРЕАКТИВЫ</t>
  </si>
  <si>
    <t>ИТОГО ПЛАСТИНЫ</t>
  </si>
  <si>
    <t>ИТОГО КРАСКА</t>
  </si>
  <si>
    <t>ИТОГО МАТЕРИАЛЫ</t>
  </si>
  <si>
    <t xml:space="preserve">ИТОГО ПЛЕНКА </t>
  </si>
  <si>
    <t>листовая</t>
  </si>
  <si>
    <t>рулонная</t>
  </si>
  <si>
    <t>Дообрез</t>
  </si>
  <si>
    <t>К-т приведен ед изм</t>
  </si>
  <si>
    <t>Ит в ед изм</t>
  </si>
  <si>
    <t>Ед изм</t>
  </si>
  <si>
    <t>Машина и формат</t>
  </si>
  <si>
    <t>Кол-во краскоотт.  Цвет</t>
  </si>
  <si>
    <t>"ИНОР" 244 ЖЕЛТАЯ</t>
  </si>
  <si>
    <t>"ИНОР" 544 ПУРПУРНАЯ</t>
  </si>
  <si>
    <t>"ИНОР" 944 СИНЯЯ</t>
  </si>
  <si>
    <t>"ИНОР" 986 КРОЮЩИЕ БЕЛИЛА</t>
  </si>
  <si>
    <t>Форм
итого</t>
  </si>
  <si>
    <t>Тетр-к
(кн)</t>
  </si>
  <si>
    <t>Сл</t>
  </si>
  <si>
    <t>Лак глянцевый NOVACOAT</t>
  </si>
  <si>
    <t>Расх,
кг</t>
  </si>
  <si>
    <t>ИТОГО ПЕЧАТНЫЙ</t>
  </si>
  <si>
    <t>в пачке</t>
  </si>
  <si>
    <t>экз.</t>
  </si>
  <si>
    <t>ИТОГО ПЕРЕПЛЕТНЫЙ</t>
  </si>
  <si>
    <t>ИТОГО ВСЕГО</t>
  </si>
  <si>
    <t>==</t>
  </si>
  <si>
    <t>Фальц</t>
  </si>
  <si>
    <t>Брошюровка</t>
  </si>
  <si>
    <t>Форм
/маш
лист</t>
  </si>
  <si>
    <t>л</t>
  </si>
  <si>
    <t>план работ</t>
  </si>
  <si>
    <t>Заказ №</t>
  </si>
  <si>
    <t>Наименование</t>
  </si>
  <si>
    <t>Тираж</t>
  </si>
  <si>
    <t>Формат</t>
  </si>
  <si>
    <t>Статьи затрат</t>
  </si>
  <si>
    <t>%</t>
  </si>
  <si>
    <t>руб</t>
  </si>
  <si>
    <t>Копий/
маш лист</t>
  </si>
  <si>
    <t>Красок (1-8)</t>
  </si>
  <si>
    <t>Гр сложн печати</t>
  </si>
  <si>
    <t>Доп к-т для некругл рулонов</t>
  </si>
  <si>
    <t>Мастер ______________</t>
  </si>
  <si>
    <t>Экономист_______</t>
  </si>
  <si>
    <t>А.Н.Кутергин</t>
  </si>
  <si>
    <t>Целое число рулонов</t>
  </si>
  <si>
    <t>Заказ</t>
  </si>
  <si>
    <t>УПС</t>
  </si>
  <si>
    <t>Кол тетр исходн</t>
  </si>
  <si>
    <t>самокоп Giroform CFB (ср)        43*61*53</t>
  </si>
  <si>
    <t>самокоп Giroform CF (н)        43*61*55</t>
  </si>
  <si>
    <t xml:space="preserve">Директор КОГУП "Кировская </t>
  </si>
  <si>
    <t>Служебная записка</t>
  </si>
  <si>
    <t>Прошу доставить необходимые материалы</t>
  </si>
  <si>
    <t>Срок поставки</t>
  </si>
  <si>
    <t>формат</t>
  </si>
  <si>
    <t>плотность</t>
  </si>
  <si>
    <t xml:space="preserve">РАСХОД МАТЕРИАЛОВ </t>
  </si>
  <si>
    <t>№ п/п</t>
  </si>
  <si>
    <t>Наименование материалов</t>
  </si>
  <si>
    <t>Норма расхода</t>
  </si>
  <si>
    <t>Количество</t>
  </si>
  <si>
    <t>Расход</t>
  </si>
  <si>
    <t>Цена</t>
  </si>
  <si>
    <t>Сумма</t>
  </si>
  <si>
    <t>шт.</t>
  </si>
  <si>
    <t>кг</t>
  </si>
  <si>
    <t>Бумага</t>
  </si>
  <si>
    <t>Кол-во комплектов форм:</t>
  </si>
  <si>
    <t>ПС</t>
  </si>
  <si>
    <t>Кр отт</t>
  </si>
  <si>
    <t xml:space="preserve"> </t>
  </si>
  <si>
    <t>Краскооттиски</t>
  </si>
  <si>
    <t>Ромайор</t>
  </si>
  <si>
    <t>ТЗР</t>
  </si>
  <si>
    <t>писчая                                все форматы</t>
  </si>
  <si>
    <t>Дополнительные работы</t>
  </si>
  <si>
    <t>Форм</t>
  </si>
  <si>
    <t>большой</t>
  </si>
  <si>
    <t>1 раз</t>
  </si>
  <si>
    <t>Ролевые цветные</t>
  </si>
  <si>
    <t>Листовые черные</t>
  </si>
  <si>
    <t>ПАНТОН.VS-91109 ЧЕРНЫЙ</t>
  </si>
  <si>
    <t>Пакеты полиэтиленовые</t>
  </si>
  <si>
    <t>Листовые цветные</t>
  </si>
  <si>
    <t>2514-54 ЖЕЛТАЯ</t>
  </si>
  <si>
    <t>2516-10 ОРАНЖЕВАЯ</t>
  </si>
  <si>
    <t>2516-61 КОРИЧНЕВАЯ</t>
  </si>
  <si>
    <t>VS-876 ЗОЛОТАЯ  ПАНТОН</t>
  </si>
  <si>
    <t>2514-26 КРАСН.</t>
  </si>
  <si>
    <t>2516/14-40 ЗЕЛЕНАЯ</t>
  </si>
  <si>
    <t>2516/14-43 ЗЕЛЕН.</t>
  </si>
  <si>
    <t>2516/14-71 ФИОЛЕТ.</t>
  </si>
  <si>
    <t>2516/14-72 ФИОЛЕТ.</t>
  </si>
  <si>
    <t>VAN Son 877 серебряная</t>
  </si>
  <si>
    <t>ПАНТОН VS 91108 белила прозрач</t>
  </si>
  <si>
    <t>ПАНТОН VS 91135 485 РЕД.</t>
  </si>
  <si>
    <t>ПАНТОН VS-91103</t>
  </si>
  <si>
    <t>ПАНТОН VS-91104</t>
  </si>
  <si>
    <t>ПАНТОН VS-91105</t>
  </si>
  <si>
    <t>ПАНТОН VS-91106 ГОЛУБ.</t>
  </si>
  <si>
    <t>ПАНТОН VS-91114-032 КРАСН..</t>
  </si>
  <si>
    <t>ПАНТОН VS-91115 СИНИЙ</t>
  </si>
  <si>
    <t>ПАНТОН. 021 оранж. VS 91113</t>
  </si>
  <si>
    <t>ПАНТОН.VS-91100 ЖЕЛТЫЙ.</t>
  </si>
  <si>
    <t>ПАНТОН.VS-91101 КРАСНЫЙ</t>
  </si>
  <si>
    <t>ПАНТОН.VS-91102 РУБИН</t>
  </si>
  <si>
    <t>ПАНТОН.VS-91107 ЗЕЛЕНАЯ</t>
  </si>
  <si>
    <t>ПАНТОН.VS-91110 ФИОЛЕТ.</t>
  </si>
  <si>
    <t>сигнальных</t>
  </si>
  <si>
    <t>шт</t>
  </si>
  <si>
    <t>свыше 40 тетрадей, средний</t>
  </si>
  <si>
    <t>400х530 Комори СТР</t>
  </si>
  <si>
    <t>офсетная Колорит паперлин     А3         42*29,7*80</t>
  </si>
  <si>
    <t>газетная все форматы</t>
  </si>
  <si>
    <t>газетная по договорам все форматы</t>
  </si>
  <si>
    <t>Вид продукции</t>
  </si>
  <si>
    <t>Красочность</t>
  </si>
  <si>
    <t>% от себестоимости</t>
  </si>
  <si>
    <t>1000 листов</t>
  </si>
  <si>
    <t>КРАСКА</t>
  </si>
  <si>
    <t>кг.</t>
  </si>
  <si>
    <t>САКУРАЙ</t>
  </si>
  <si>
    <t>средний</t>
  </si>
  <si>
    <t xml:space="preserve">370х450 MATRIX </t>
  </si>
  <si>
    <t>530х650</t>
  </si>
  <si>
    <t>400х530</t>
  </si>
  <si>
    <t>580х506</t>
  </si>
  <si>
    <t>914х628</t>
  </si>
  <si>
    <t>479х620 Matrix</t>
  </si>
  <si>
    <t>608х844</t>
  </si>
  <si>
    <t>820х1010</t>
  </si>
  <si>
    <t>600х730 б/у</t>
  </si>
  <si>
    <t>820х1010 б/у</t>
  </si>
  <si>
    <t>530х650 б/у</t>
  </si>
  <si>
    <t>608х844 б/у</t>
  </si>
  <si>
    <t>370х450 б/у</t>
  </si>
  <si>
    <t>400х530 б/у</t>
  </si>
  <si>
    <t xml:space="preserve">ПЛЕНКА </t>
  </si>
  <si>
    <t>полиэстер Кимото А4</t>
  </si>
  <si>
    <t>лист</t>
  </si>
  <si>
    <t>приложение 2</t>
  </si>
  <si>
    <t>полиэстер Кимото А3</t>
  </si>
  <si>
    <t>фотопленка Агфа для Scitex Dolev 660х60</t>
  </si>
  <si>
    <t>м.</t>
  </si>
  <si>
    <t>фотопленка Агфа для Scitex Dolev 4Prees 737х60</t>
  </si>
  <si>
    <t>пленка глянцевая</t>
  </si>
  <si>
    <t>пленка  RPV 1d6 305 мм., 75мкм, 150 м</t>
  </si>
  <si>
    <t>ХИМРЕАКТИВЫ</t>
  </si>
  <si>
    <t>ИТОГО ПРОЧИЕ</t>
  </si>
  <si>
    <t>Концентрат проявителя Агфа</t>
  </si>
  <si>
    <t>л.</t>
  </si>
  <si>
    <t>Проявитель для офсетных пластин</t>
  </si>
  <si>
    <t>Фиксаж Агфа G333C</t>
  </si>
  <si>
    <t>ДРУГИЕ МАТЕРИАЛЫ</t>
  </si>
  <si>
    <t>Люверсы</t>
  </si>
  <si>
    <t>Клей Адгезин (для переплетного)</t>
  </si>
  <si>
    <t>Дополнительная з/пл.</t>
  </si>
  <si>
    <t>Клей КМЦ</t>
  </si>
  <si>
    <t>Клей-дисперсион. ПВА</t>
  </si>
  <si>
    <t>Термоклей НМ 9470 планатол</t>
  </si>
  <si>
    <t>_____________________ А.В.Журавлев</t>
  </si>
  <si>
    <t>картон переплетный с паролоном 80*100 - 1,5/2мм</t>
  </si>
  <si>
    <t>ПОГ - 60</t>
  </si>
  <si>
    <t>450х630 ПОГ-60</t>
  </si>
  <si>
    <t>катрон мелов DUO                 62*94*275</t>
  </si>
  <si>
    <t>катрон мелов DUO                72*102*250</t>
  </si>
  <si>
    <t>печать с 2 рулона</t>
  </si>
  <si>
    <t>ПАНТОН Унипак 873 Голд(золото)</t>
  </si>
  <si>
    <t>2514-34 фиолетовая</t>
  </si>
  <si>
    <t>Лента упаковочная полипропиленовая 9мм х 0,5</t>
  </si>
  <si>
    <t>Бум на
тираж,л</t>
  </si>
  <si>
    <t>тех
отходы,л</t>
  </si>
  <si>
    <t>Доля
общ</t>
  </si>
  <si>
    <t>Скотч упаковочный</t>
  </si>
  <si>
    <t>Коленкор</t>
  </si>
  <si>
    <t>Доля рез</t>
  </si>
  <si>
    <t>картон переплетный 1мм        80*100</t>
  </si>
  <si>
    <t>Основная з/п производ.рабочих с р/к, с доп.з/пл., с ЕСН:</t>
  </si>
  <si>
    <t>N п/п</t>
  </si>
  <si>
    <t xml:space="preserve">Разряд </t>
  </si>
  <si>
    <t>Приложение  №4</t>
  </si>
  <si>
    <t>к приказу №38 от 14.02.2005г.</t>
  </si>
  <si>
    <t>Утверждаю</t>
  </si>
  <si>
    <t>Смена</t>
  </si>
  <si>
    <t>Номер
заказа</t>
  </si>
  <si>
    <t>Кол-во</t>
  </si>
  <si>
    <t>Разряд
работы</t>
  </si>
  <si>
    <t>план</t>
  </si>
  <si>
    <t>факт</t>
  </si>
  <si>
    <t>Бум</t>
  </si>
  <si>
    <t>Наим1</t>
  </si>
  <si>
    <t>Наим2</t>
  </si>
  <si>
    <t>Кр отт
всего</t>
  </si>
  <si>
    <t>Листо
прог
всего</t>
  </si>
  <si>
    <t>Формат и машина</t>
  </si>
  <si>
    <t>Район.коэф.</t>
  </si>
  <si>
    <t>Итого з/пл. с премией и Р/к</t>
  </si>
  <si>
    <t>КрОтт
/маш
лист</t>
  </si>
  <si>
    <t>Нумерация</t>
  </si>
  <si>
    <t>печать с 3 рулонов</t>
  </si>
  <si>
    <t>Формат полосы набора</t>
  </si>
  <si>
    <t xml:space="preserve">Формат печатного листа </t>
  </si>
  <si>
    <t>Объем издания в стр.</t>
  </si>
  <si>
    <t>Кол-во печ листов</t>
  </si>
  <si>
    <t>Объем в печ. листах</t>
  </si>
  <si>
    <t>Основной текст</t>
  </si>
  <si>
    <t>Вкладка</t>
  </si>
  <si>
    <t>Обложка</t>
  </si>
  <si>
    <t>Форзац</t>
  </si>
  <si>
    <t>ИТОГО л</t>
  </si>
  <si>
    <t>Итого кг</t>
  </si>
  <si>
    <t>StarLine</t>
  </si>
  <si>
    <t>Кол-во красок, какие</t>
  </si>
  <si>
    <t>В обложке типа</t>
  </si>
  <si>
    <t>Фальцовка в 3 сгиба</t>
  </si>
  <si>
    <t>Фальцовка в 2 сгиба</t>
  </si>
  <si>
    <t>Фальцовка в 1 сгиб</t>
  </si>
  <si>
    <t>Комплектовка</t>
  </si>
  <si>
    <t>Вид корешка</t>
  </si>
  <si>
    <t>Ламинирование</t>
  </si>
  <si>
    <t>Биговка</t>
  </si>
  <si>
    <t>Маш</t>
  </si>
  <si>
    <t>Ит</t>
  </si>
  <si>
    <t>ТП-320</t>
  </si>
  <si>
    <t>Клей-карандаш (большой)</t>
  </si>
  <si>
    <t>Курсор синий/красный</t>
  </si>
  <si>
    <t>Технолог</t>
  </si>
  <si>
    <t>Наименование заказа:</t>
  </si>
  <si>
    <t>Наименование работ</t>
  </si>
  <si>
    <t>до 10 тетрадей, средний</t>
  </si>
  <si>
    <t>факс</t>
  </si>
  <si>
    <t>Телефон</t>
  </si>
  <si>
    <t>Доминант</t>
  </si>
  <si>
    <t>ПТ</t>
  </si>
  <si>
    <t>А 4, ПТ</t>
  </si>
  <si>
    <t>А 5, ПТ</t>
  </si>
  <si>
    <t>Печать</t>
  </si>
  <si>
    <t>ПЕРЕПЛЕТНЫЕ ПРОЦЕССЫ</t>
  </si>
  <si>
    <t xml:space="preserve">    </t>
  </si>
  <si>
    <t xml:space="preserve">   </t>
  </si>
  <si>
    <t>Шитье</t>
  </si>
  <si>
    <t>Норма
кр цв</t>
  </si>
  <si>
    <t>Дообрезной формат</t>
  </si>
  <si>
    <t>Перфекта</t>
  </si>
  <si>
    <t>Наряд к заказу №:</t>
  </si>
  <si>
    <t>Тираж:</t>
  </si>
  <si>
    <t>Сумма
зар.платы (руб.)</t>
  </si>
  <si>
    <t>Приладок</t>
  </si>
  <si>
    <t>катрон мелов DUO                 62*94*250</t>
  </si>
  <si>
    <t>SIRIO                                 70*100*260</t>
  </si>
  <si>
    <t>Картон MJ с паролоном</t>
  </si>
  <si>
    <t>лист.</t>
  </si>
  <si>
    <t>Исполнитель:</t>
  </si>
  <si>
    <t>Вид продукции:</t>
  </si>
  <si>
    <t>Печать:</t>
  </si>
  <si>
    <t>Технолог:</t>
  </si>
  <si>
    <t>Прогон</t>
  </si>
  <si>
    <t>75 листов</t>
  </si>
  <si>
    <t>100 листов</t>
  </si>
  <si>
    <t>Страх. взносы</t>
  </si>
  <si>
    <t>ИТОГО з/пл со страх. взносами</t>
  </si>
  <si>
    <t>Ryobi</t>
  </si>
  <si>
    <t>1-10</t>
  </si>
  <si>
    <t>Ригель 200мм белый</t>
  </si>
  <si>
    <t>Организация:</t>
  </si>
  <si>
    <t>ООО "Элефант"</t>
  </si>
  <si>
    <t>картон Люкслайн                  70*100*1230</t>
  </si>
  <si>
    <t xml:space="preserve"> ПЕЧАТНЫЕ ПРОЦЕССЫ</t>
  </si>
  <si>
    <t>Тяжелые</t>
  </si>
  <si>
    <t>Печать на ПТ-4</t>
  </si>
  <si>
    <t>Операции на машинах</t>
  </si>
  <si>
    <t>Нормальные</t>
  </si>
  <si>
    <t>ВШРА РОЗБЭК-203</t>
  </si>
  <si>
    <t>КР-3 (Универсально-картонорезальный станок)</t>
  </si>
  <si>
    <t>Ламинатор ПМ-1М (большой)</t>
  </si>
  <si>
    <t>ЛП 881/12 (Листоподборочная машина )</t>
  </si>
  <si>
    <t>Машина упаковочная ТР 601D</t>
  </si>
  <si>
    <t>Пресс печатно-позолотный БПП-75</t>
  </si>
  <si>
    <t>ТП-320 (Приклеечная машина)</t>
  </si>
  <si>
    <t>УПС (Универсально-просекальный станок)</t>
  </si>
  <si>
    <t>Комплекс на календари, блокноты, каталоги</t>
  </si>
  <si>
    <t>А4, 100 листов</t>
  </si>
  <si>
    <t>Комплексное изготовление книг в твердом переплете</t>
  </si>
  <si>
    <t>Обработка книжного блока, большой</t>
  </si>
  <si>
    <t>до 10 тетрадей, большой</t>
  </si>
  <si>
    <t>большой, до 10 тетр.</t>
  </si>
  <si>
    <t>от 10 до 20 тетрадей, большой</t>
  </si>
  <si>
    <t>большой,    10-20 тетр.</t>
  </si>
  <si>
    <t>от 20 до 30 тетрадей, большой</t>
  </si>
  <si>
    <t>большой,    20-30 тетр.</t>
  </si>
  <si>
    <t>от 30 до 40 тетрадей, большой</t>
  </si>
  <si>
    <t>большой,    30-40 тетр.</t>
  </si>
  <si>
    <t>свыше 40 тетрадей, большой</t>
  </si>
  <si>
    <t>большой,  св. 40 тетр.</t>
  </si>
  <si>
    <t>Обработка книжного блока, средний</t>
  </si>
  <si>
    <t>средний, до 10 тетр.</t>
  </si>
  <si>
    <t>средний,    10-20 тетр.</t>
  </si>
  <si>
    <t>средний,    20-30 тетр.</t>
  </si>
  <si>
    <t>средний,    30-40 тетр.</t>
  </si>
  <si>
    <t>средний,  св. 40 тетр.</t>
  </si>
  <si>
    <t>Комплексное изготовление удостоверений и свидетельств</t>
  </si>
  <si>
    <t>Комплектовка вкладкой вручную</t>
  </si>
  <si>
    <t>Комплектовка лист к листу</t>
  </si>
  <si>
    <t>Приклейка форзаца вручную</t>
  </si>
  <si>
    <t>Ручная фальцовка</t>
  </si>
  <si>
    <t>Счет и сколотка</t>
  </si>
  <si>
    <t>Упаковка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</si>
  <si>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до 90 г.)</t>
    </r>
  </si>
  <si>
    <t>тяжелые</t>
  </si>
  <si>
    <t>Подрезка бумаги с одной стороны без разрезки на части (массой бумаги до 90 г.) с укладкой на стеллаж</t>
  </si>
  <si>
    <t>* Резка листа на 2 части без подрезки (массой бумаги до 90 г.) с укладкой на стеллаж</t>
  </si>
  <si>
    <t>* Резка листа на 4 части без подрезки (массой бумаги до 90 г.) с укладкой на стеллаж</t>
  </si>
  <si>
    <t>* Резка листа на 6 частей без подрезки (массой бумаги до 90 г.) с укладкой на стеллаж</t>
  </si>
  <si>
    <t>* Резка листа на 8 частей без подрезки (массой бумаги до 90 г.) с укладкой на стеллаж</t>
  </si>
  <si>
    <t>* Резка листа на 12 частей без подрезки (массой бумаги до 90 г.) с укладкой на стеллаж</t>
  </si>
  <si>
    <t>* Резка листа на 16 частей без подрезки (массой бумаги до 90 г.) с укладкой на стеллаж</t>
  </si>
  <si>
    <t>* Резка листа на 24 части без подрезки (массой бумаги до 90 г.) с укладкой на стеллаж</t>
  </si>
  <si>
    <t>* Резка листа на 32 части без подрезки (массой бумаги до 90 г.) с укладкой на стеллаж</t>
  </si>
  <si>
    <t>* Резка листа на 48 частей без подрезки (массой бумаги до 90 г.) с укладкой на стеллаж</t>
  </si>
  <si>
    <t>* Резка листа на 64 части без подрезки (массой бумаги до 90 г.) с укладкой на стеллаж</t>
  </si>
  <si>
    <t xml:space="preserve"> 1 подрезка (массой бумаги  91 - 130 г.) </t>
  </si>
  <si>
    <t>* Подрезка бумаги с каждой последующей стороны (массой бумаги 91 - 130 г.)</t>
  </si>
  <si>
    <t>Подрезка бумаги с одной стороны без разрезки на части (массой бумаги 91 - 130 г.)  с укладкой на стеллаж</t>
  </si>
  <si>
    <t>* Резка листа на 2 части без подрезки (массой бумаги  91 - 130 г.) с укладкой на стеллаж</t>
  </si>
  <si>
    <t>* Резка листа на 4 части без подрезки (массой бумаги  91 - 130 г.) с укладкой на стеллаж</t>
  </si>
  <si>
    <t>* Резка листа на 6 частей без подрезки (массой бумаги  91 - 130 г.) с укладкой на стеллаж</t>
  </si>
  <si>
    <t>* Резка листа на 8 частей без подрезки (массой бумаги  91 - 130 г.) с укладкой на стеллаж</t>
  </si>
  <si>
    <t>* Резка листа на 12 частей без подрезки (массой бумаги  91 - 130 г.) с укладкой на стеллаж</t>
  </si>
  <si>
    <t>* Резка листа на 16 частей без подрезки (массой бумаги  91 - 130 г.) с укладкой на стеллаж</t>
  </si>
  <si>
    <t>* Резка листа на 24 части без подрезки (массой бумаги  91 - 130 г.) с укладкой на стеллаж</t>
  </si>
  <si>
    <t>* Резка листа на 32 части без подрезки (массой бумаги  91 - 130 г.) с укладкой на стеллаж</t>
  </si>
  <si>
    <t>* Резка листа на 48 частей без подрезки (массой бумаги  91 - 130 г.) с укладкой на стеллаж</t>
  </si>
  <si>
    <t>* Резка листа на 64 части без подрезки (массой бумаги  91 - 130 г.) с укладкой на стеллаж</t>
  </si>
  <si>
    <t xml:space="preserve">1 подрезка (массой бумаги  131 - 160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</si>
  <si>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131 - 160 г.)</t>
    </r>
  </si>
  <si>
    <t>Подрезка бумаги с одной стороны без разрезки на части (массой бумаги 131 - 160 г.) с укладкой на стеллаж</t>
  </si>
  <si>
    <t>* Резка листа на 2 части без подрезки (массой бумаги  131 - 160 г.) с укладкой на стеллаж</t>
  </si>
  <si>
    <t>* Резка листа на 4 части без подрезки (массой бумаги  131 - 160 г.) с укладкой на стеллаж</t>
  </si>
  <si>
    <t>* Резка листа на 6 частей без подрезки (массой бумаги  131 - 160 г.) с укладкой на стеллаж</t>
  </si>
  <si>
    <t>* Резка листа на 8 частей без подрезки (массой бумаги  131 - 160 г.) с укладкой на стеллаж</t>
  </si>
  <si>
    <t>* Резка листа на 12 частей без подрезки (массой бумаги  131 - 160 г.) с укладкой на стеллаж</t>
  </si>
  <si>
    <t>* Резка листа на 16 частей без подрезки (массой бумаги  131 - 160 г.) с укладкой на стеллаж</t>
  </si>
  <si>
    <t>* Резка листа на 24 части без подрезки (массой бумаги  131 - 160 г.) с укладкой на стеллаж</t>
  </si>
  <si>
    <t>* Резка листа на 32 части без подрезки (массой бумаги  131 - 160 г.) с укладкой на стеллаж</t>
  </si>
  <si>
    <t>* Резка листа на 48 частей без подрезки (массой бумаги  131 - 160 г.) с укладкой на стеллаж</t>
  </si>
  <si>
    <t>* Резка листа на 64 части без подрезки (массой бумаги  131 - 160 г.) с укладкой на стеллаж</t>
  </si>
  <si>
    <t xml:space="preserve"> 1 подрезка (массой бумаги  161 - 200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</si>
  <si>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161 - 200 г.)</t>
    </r>
  </si>
  <si>
    <t>Подрезка бумаги с одной стороны без разрезки на части (массой бумаги 161 - 200 г.) с укладкой на стеллаж</t>
  </si>
  <si>
    <t>* Резка листа на 2 части без подрезки (массой бумаги  161 - 200 г.) с укладкой на стеллаж</t>
  </si>
  <si>
    <t>* Резка листа на 4 части без подрезки (массой бумаги  161 - 200 г.) с укладкой на стеллаж</t>
  </si>
  <si>
    <t>* Резка листа на 6 частей без подрезки (массой бумаги  161 - 200 г.) с укладкой на стеллаж</t>
  </si>
  <si>
    <t>* Резка листа на 8 частей без подрезки (массой бумаги  161 - 200 г.) с укладкой на стеллаж</t>
  </si>
  <si>
    <t>* Резка листа на 12 частей без подрезки (массой бумаги  161 - 200 г.) с укладкой на стеллаж</t>
  </si>
  <si>
    <t>* Резка листа на 16 частей без подрезки (массой бумаги  161 - 200 г.) с укладкой на стеллаж</t>
  </si>
  <si>
    <t>* Резка листа на 24 части без подрезки (массой бумаги  161 - 200 г.) с укладкой на стеллаж</t>
  </si>
  <si>
    <t>* Резка листа на 32 части без подрезки (массой бумаги  161 - 200 г.) с укладкой на стеллаж</t>
  </si>
  <si>
    <t>* Резка листа на 48 частей без подрезки (массой бумаги  161 - 200 г.) с укладкой на стеллаж</t>
  </si>
  <si>
    <t>* Резка листа на 64 части без подрезки (массой бумаги  161 - 200 г.) с укладкой на стеллаж</t>
  </si>
  <si>
    <t>1 подрезка (массой бумаги свыше 201 г.)</t>
  </si>
  <si>
    <t>* Подрезка бумаги с каждой последующей стороны (массой бумаги свыше 201 г.)</t>
  </si>
  <si>
    <t>Подрезка бумаги с одной стороны без разрезки на части (массой бумаги свыше 201 г.) с укладкой на стеллаж</t>
  </si>
  <si>
    <t>* Резка листа на 2 части без подрезки (массой бумаги свыше 201 г.) с укладкой на стеллаж</t>
  </si>
  <si>
    <t>* Резка листа на 4 части без подрезки (массой бумаги свыше 201 г.) с укладкой на стеллаж</t>
  </si>
  <si>
    <t>* Резка листа на 6 частей без подрезки (массой бумаги свыше 201 г.) с укладкой на стеллаж</t>
  </si>
  <si>
    <t>* Резка листа на 8 частей без подрезки (массой бумаги свыше 201 г.) с укладкой на стеллаж</t>
  </si>
  <si>
    <t>* Резка листа на 12 частей без подрезки (массой бумаги свыше 201 г.) с укладкой на стеллаж</t>
  </si>
  <si>
    <t>* Резка листа на 16 частей без подрезки (массой бумаги свыше 201 г.) с укладкой на стеллаж</t>
  </si>
  <si>
    <t>* Резка листа на 24 части без подрезки (массой бумаги свыше 201 г.) с укладкой на стеллаж</t>
  </si>
  <si>
    <t>* Резка листа на 32 части без подрезки (массой бумаги свыше 201 г.) с укладкой на стеллаж</t>
  </si>
  <si>
    <t>* Резка листа на 48 частей без подрезки (массой бумаги свыше 201 г.) с укладкой на стеллаж</t>
  </si>
  <si>
    <t>* Резка листа на 64 части без подрезки (массой бумаги свыше 201 г.) с укладкой на стеллаж</t>
  </si>
  <si>
    <t>1 подрезка (массой бумаги до 90 г.)</t>
  </si>
  <si>
    <t>* Подрезка бумаги с каждой последующей стороны (массой бумаги до 90 г.)</t>
  </si>
  <si>
    <t>1 подрезка (массой бумаги  91 - 130 г.)</t>
  </si>
  <si>
    <t>Подрезка бумаги с одной стороны без разрезки на части (массой бумаги 91 - 130 г.) с укладкой на стеллаж</t>
  </si>
  <si>
    <t>* Резка листа на 64 части без подрезки (массой бумаги  91 - 130 г.)  с укладкой на стеллаж</t>
  </si>
  <si>
    <t xml:space="preserve">1 подрезка (массой бумаги  161 - 200 г.) </t>
  </si>
  <si>
    <t xml:space="preserve">1 подрезка (массой бумаги свыше 201 г.) </t>
  </si>
  <si>
    <r>
      <t xml:space="preserve">* Подрезка бумаги с каждой последующей стороны </t>
    </r>
    <r>
      <rPr>
        <sz val="10"/>
        <rFont val="Arial Cyr"/>
        <family val="2"/>
        <charset val="204"/>
      </rPr>
      <t>(массой бумаги свыше 201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</si>
  <si>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до 90 г.)</t>
    </r>
  </si>
  <si>
    <t xml:space="preserve">1 подрезка (массой бумаги  91 - 130 г.) 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</si>
  <si>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91 - 130 г.)</t>
    </r>
  </si>
  <si>
    <t xml:space="preserve">Подрезка бумаги с одной стороны без разрезки на части (массой бумаги 91 - 130 г.) с укладкой на стеллаж </t>
  </si>
  <si>
    <t>* Резка листа на 2 части без подрезки (массой бумаги  91 - 130 г.)  с укладкой на стеллаж</t>
  </si>
  <si>
    <t>* Резка листа на 4 части без подрезки (массой бумаги  91 - 130 г.)  с укладкой на стеллаж</t>
  </si>
  <si>
    <t>* Резка листа на 6 частей без подрезки (массой бумаги  91 - 130 г.)  с укладкой на стеллаж</t>
  </si>
  <si>
    <t>* Резка листа на 8 частей без подрезки (массой бумаги  91 - 130 г.)  с укладкой на стеллаж</t>
  </si>
  <si>
    <t>* Резка листа на 16 частей без подрезки (массой бумаги  91 - 130 г.)  с укладкой на стеллаж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</si>
  <si>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131 - 160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</si>
  <si>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161 - 200 г.)</t>
    </r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</si>
  <si>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свыше 201 г.)</t>
    </r>
  </si>
  <si>
    <t xml:space="preserve">1 подрезка (массой бумаги до 90 г.) </t>
  </si>
  <si>
    <r>
      <t>* Подрезка бумаги с каждой последующей стороны</t>
    </r>
    <r>
      <rPr>
        <sz val="10"/>
        <rFont val="Arial Cyr"/>
        <family val="2"/>
        <charset val="204"/>
      </rPr>
      <t xml:space="preserve"> (массой бумаги  161 -  200 г.)</t>
    </r>
  </si>
  <si>
    <t>Скотч двухсторонний</t>
  </si>
  <si>
    <t>Переплетный материал</t>
  </si>
  <si>
    <t>Примечание к краскам</t>
  </si>
  <si>
    <t xml:space="preserve">   ПЕРЕПЛЕТНЫЙ ЦЕХ</t>
  </si>
  <si>
    <t>План работ, ч.</t>
  </si>
  <si>
    <t>Вырубка ПТ</t>
  </si>
  <si>
    <t xml:space="preserve">     Количество пачек</t>
  </si>
  <si>
    <t>Заказ поступил:</t>
  </si>
  <si>
    <t>Примечание:</t>
  </si>
  <si>
    <t>Экспедитор:</t>
  </si>
  <si>
    <t xml:space="preserve">   ПЕЧАТНЫЙ ЦЕХ</t>
  </si>
  <si>
    <t xml:space="preserve">   ДОПЕЧАТНЫЙ ЦЕХ</t>
  </si>
  <si>
    <t>Сервер:</t>
  </si>
  <si>
    <t>ВШРА Muller Martini 335</t>
  </si>
  <si>
    <t>до 3-х тетрадей, средний</t>
  </si>
  <si>
    <t>свыше 3-х тетрадей, средний</t>
  </si>
  <si>
    <t>до 3-х тетрадей, большой</t>
  </si>
  <si>
    <t>свыше 3-х тетрадей, большой</t>
  </si>
  <si>
    <t>ВШРА M.Martini</t>
  </si>
  <si>
    <t>1</t>
  </si>
  <si>
    <t>Генеральный директор Журавлев А.В.</t>
  </si>
  <si>
    <t>картон мелов одностор         72*102*275</t>
  </si>
  <si>
    <t>картон мелов одностор         72*102*300</t>
  </si>
  <si>
    <t>картон мелов одностор          62*94*300</t>
  </si>
  <si>
    <t>Трафаретная форма</t>
  </si>
  <si>
    <t>Трафарет</t>
  </si>
  <si>
    <t>НШ (передний шлейф)</t>
  </si>
  <si>
    <t>ВШРА Мартини (задний шлейф)</t>
  </si>
  <si>
    <t>ВШРА Розбэк (шлейф в одну сторону)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</si>
  <si>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до 90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</si>
  <si>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до 90 г.)</t>
    </r>
  </si>
  <si>
    <t>* Резка листа на 2 части 4 подрезки, сколотка листов (массой бумаги до 90 г.) с укладкой на стеллаж</t>
  </si>
  <si>
    <t>* Резка листа на 4 части 4 подрезки, сколотка листов (массой бумаги до 90 г.) с укладкой на стеллаж</t>
  </si>
  <si>
    <t>* Резка листа на 6 частей 4 подрезки, сколотка листов (массой бумаги до 90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</si>
  <si>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91 - 130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</si>
  <si>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91 - 130 г.)</t>
    </r>
  </si>
  <si>
    <t>* Резка листа на 2 части 4 подрезки, сколотка листов (массой бумаги 91 - 130 г.) с укладкой на стеллаж</t>
  </si>
  <si>
    <t>* Резка листа на 4 части 4 подрезки, сколотка листов (массой бумаги 91 - 130 г.) с укладкой на стеллаж</t>
  </si>
  <si>
    <t>* Резка листа на 6 частей 4 подрезки, сколотка листов (массой бумаги 91 - 130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</si>
  <si>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131 - 160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</si>
  <si>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131 - 160 г.)</t>
    </r>
  </si>
  <si>
    <t>* Резка листа на 2 части 4 подрезки, сколотка листов (массой бумаги 131 - 160 г.) с укладкой на стеллаж</t>
  </si>
  <si>
    <t>* Резка листа на 4 части 4 подрезки, сколотка листов (массой бумаги 131 - 160 г.) с укладкой на стеллаж</t>
  </si>
  <si>
    <t>* Резка листа на 6 частей 4 подрезки, сколотка листов (массой бумаги 131 - 160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</si>
  <si>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 161 - 200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</si>
  <si>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 161 - 200 г.)</t>
    </r>
  </si>
  <si>
    <t>* Резка листа на 2 части 4 подрезки, сколотка листов (массой бумаги  161 - 200 г.) с укладкой на стеллаж</t>
  </si>
  <si>
    <t>* Резка листа на 4 части 4 подрезки, сколотка листов (массой бумаги  161 - 200 г.) с укладкой на стеллаж</t>
  </si>
  <si>
    <t>* Резка листа на 6 частей 4 подрезки, сколотка листов (массой бумаги  161 - 200 г.) с укладкой на стеллаж</t>
  </si>
  <si>
    <r>
      <t xml:space="preserve">* Подрезка бумаги с 2-х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свыше 200 г.)</t>
    </r>
  </si>
  <si>
    <r>
      <t xml:space="preserve">* Подрезка бумаги с 4-х сторон без разрезки на части, сколотка листов </t>
    </r>
    <r>
      <rPr>
        <sz val="10"/>
        <rFont val="Arial Cyr"/>
        <family val="2"/>
        <charset val="204"/>
      </rPr>
      <t>(массой бумаги свыше 200 г.)</t>
    </r>
  </si>
  <si>
    <t>* Резка листа на 2 части 4 подрезки, сколотка листов (массой бумаги свыше 200 г.) с укладкой на стеллаж</t>
  </si>
  <si>
    <t>* Резка листа на 4 части 4 подрезки, сколотка листов (массой бумаги свыше 200 г.) с укладкой на стеллаж</t>
  </si>
  <si>
    <t>* Резка листа на 6 частей 4 подрезки, сколотка листов (массой бумаги свыше 200 г.) с укладкой на стеллаж</t>
  </si>
  <si>
    <t>Подрезка с 2-х сторон без разрезки на части</t>
  </si>
  <si>
    <t>Подрезка с 4-х сторон без разрезки на части</t>
  </si>
  <si>
    <t>Резка листа на 2 части 4 подрезки</t>
  </si>
  <si>
    <t>Резка листа на 4 части 4 подрезки</t>
  </si>
  <si>
    <t>Резка листа на 6 частей 4 подрезки</t>
  </si>
  <si>
    <t>Подг. бумаги</t>
  </si>
  <si>
    <t>Наименование операции</t>
  </si>
  <si>
    <t>Плот-ть бумаги</t>
  </si>
  <si>
    <t>Кол-во л.</t>
  </si>
  <si>
    <t>Пл-ть по группам</t>
  </si>
  <si>
    <t>ПОДГОТОВКА БУМАГИ</t>
  </si>
  <si>
    <t>Пленка для ламинир. 610мм 25-32мкм, глянцевая</t>
  </si>
  <si>
    <t>Пленка для ламинир. 610мм 25-32мкм, матовая</t>
  </si>
  <si>
    <t>Пленка для ламинир. 460мм 25-32мкм, глянцевая</t>
  </si>
  <si>
    <t>Пленка для ламинир. 460мм 25-32мкм, матовая</t>
  </si>
  <si>
    <t>Пленка для ламинир. 495мм 25-32мкм, глянцевая</t>
  </si>
  <si>
    <t>Пленка для ламинир. 495мм 25-32мкм, матовая</t>
  </si>
  <si>
    <t>Пленка для ламинир. 490мм 100мкм, глянцевая</t>
  </si>
  <si>
    <t>Пленка для ламинир. 490мм 100мкм, матовая</t>
  </si>
  <si>
    <t>Проволока полиграфическая 0,5 на ВШРА</t>
  </si>
  <si>
    <t>Пружина металлическая 8 мм белая</t>
  </si>
  <si>
    <t>Пружина металлическая 12 мм белая</t>
  </si>
  <si>
    <t>Пружина металлическая 14 мм белая</t>
  </si>
  <si>
    <t>Фольга ЛК золото 610мм</t>
  </si>
  <si>
    <t>Фольга ЛК серебро 610мм</t>
  </si>
  <si>
    <t>Фольга колорит 610мм</t>
  </si>
  <si>
    <t>Фольга галографическая 610мм</t>
  </si>
  <si>
    <t>Атласная лента</t>
  </si>
  <si>
    <t xml:space="preserve">  *добавить материал</t>
  </si>
  <si>
    <t>картон мелов Li,               62*94*200</t>
  </si>
  <si>
    <t>картон мелов Li,               62*94*220</t>
  </si>
  <si>
    <t>картон мелов Li,               62*94*240</t>
  </si>
  <si>
    <t>картон мелов Li,              72*102*200</t>
  </si>
  <si>
    <t>картон мелов Li,              72*102*215</t>
  </si>
  <si>
    <t>картон мелов Li,              72*102*240</t>
  </si>
  <si>
    <t xml:space="preserve">  * можно добавить материал</t>
  </si>
  <si>
    <t xml:space="preserve"> *можно добавить материал</t>
  </si>
  <si>
    <t>офсетная</t>
  </si>
  <si>
    <t>мелованная</t>
  </si>
  <si>
    <t>Виды работ</t>
  </si>
  <si>
    <t>Норма расхода, г. (на 1000 кр.-отт. 60х90 см)</t>
  </si>
  <si>
    <t>Бумага, используемая на тираж</t>
  </si>
  <si>
    <t>газетная</t>
  </si>
  <si>
    <t>этикеточная</t>
  </si>
  <si>
    <t>картон</t>
  </si>
  <si>
    <t>Печать на листовых печатных машинах большого и среднего формата (Планета, Доминант, Сакурай, Комори)</t>
  </si>
  <si>
    <t>Многокрасочная печать (50% текст, 50% иллюстрации)</t>
  </si>
  <si>
    <t>Печать репродукций произведений живописи с площадью запечатывания листа более 80%</t>
  </si>
  <si>
    <t>Печать фона с текстом</t>
  </si>
  <si>
    <t>Растровая печать с фоном</t>
  </si>
  <si>
    <t>Печать заливного фона</t>
  </si>
  <si>
    <t>Печать с нумерацией</t>
  </si>
  <si>
    <t>Печать на листовых печатных машинах малого формата (Ромайер)</t>
  </si>
  <si>
    <t>Печать фона, обложек, цветных плашек</t>
  </si>
  <si>
    <t>Впечатывание нумерации</t>
  </si>
  <si>
    <t>Нормы расхода печатных красок при печати на рулонных машинах</t>
  </si>
  <si>
    <t>Газетная бумага</t>
  </si>
  <si>
    <t>г.</t>
  </si>
  <si>
    <t>Печать текста с иллюстрациями (50% текст, 50% иллюстрации)</t>
  </si>
  <si>
    <t>Печать текста с иллюстрациями (более 50% иллюстрации)</t>
  </si>
  <si>
    <t>Офсетная бумага</t>
  </si>
  <si>
    <t>* Для всей печати приведена средняя расчетная норма на одну краску.</t>
  </si>
  <si>
    <t>большой, Трафарет</t>
  </si>
  <si>
    <t>средний, Трафарет</t>
  </si>
  <si>
    <t>Горизонт</t>
  </si>
  <si>
    <t>ПОГ</t>
  </si>
  <si>
    <t>Циркон</t>
  </si>
  <si>
    <t>РО</t>
  </si>
  <si>
    <t>Марк</t>
  </si>
  <si>
    <t>Марк-62, РО-62, Циркон-62</t>
  </si>
  <si>
    <t>Форм1</t>
  </si>
  <si>
    <t>Проверка</t>
  </si>
  <si>
    <t>Тираж1</t>
  </si>
  <si>
    <t>Норма1</t>
  </si>
  <si>
    <t>тираж2</t>
  </si>
  <si>
    <t>Норма2</t>
  </si>
  <si>
    <t>Наш тираж</t>
  </si>
  <si>
    <t>Наша норма</t>
  </si>
  <si>
    <t>Л/пр. черные</t>
  </si>
  <si>
    <t>Л/пр. цветные</t>
  </si>
  <si>
    <t>Л/пр. с 2-х рулонов</t>
  </si>
  <si>
    <t>Код машины</t>
  </si>
  <si>
    <t>Л/пр.цветные</t>
  </si>
  <si>
    <t>Л/пр.чёрные</t>
  </si>
  <si>
    <t>нет</t>
  </si>
  <si>
    <t>Цех: печатный</t>
  </si>
  <si>
    <t>Время проведения работ с:</t>
  </si>
  <si>
    <t>до</t>
  </si>
  <si>
    <t>Дата:</t>
  </si>
  <si>
    <t>/</t>
  </si>
  <si>
    <t>Наименование:</t>
  </si>
  <si>
    <t>Время план:</t>
  </si>
  <si>
    <t>Отчет по зарплате</t>
  </si>
  <si>
    <t>Бригада</t>
  </si>
  <si>
    <t>№</t>
  </si>
  <si>
    <t>Ед. изм.</t>
  </si>
  <si>
    <t>Сумма, руб. бригадная</t>
  </si>
  <si>
    <t>Смена рулона</t>
  </si>
  <si>
    <t>Отчет по использованию бумаги</t>
  </si>
  <si>
    <t>№ рулона</t>
  </si>
  <si>
    <t>вес,кг.</t>
  </si>
  <si>
    <t>срыв, кг.</t>
  </si>
  <si>
    <t>втулка, кг.</t>
  </si>
  <si>
    <t>Мастер:</t>
  </si>
  <si>
    <t>Экономист:</t>
  </si>
  <si>
    <t>СтарЛайн</t>
  </si>
  <si>
    <t>Разряд</t>
  </si>
  <si>
    <t>Старший печатник:</t>
  </si>
  <si>
    <t>Смена декеля, смена формата печати, красочности, час.</t>
  </si>
  <si>
    <t>Работы по цеху, час.</t>
  </si>
  <si>
    <t>Профилактика, час.</t>
  </si>
  <si>
    <t>ОКРУГЛ(ЕСЛИ(B45&lt;8;ВПР(Z30/T30*M30;ДВССЫЛ(BR30);$F30+1)+Форм;ВПР(Z30/T30/ЦЕЛОЕ(G30);ДВССЫЛ(BR30);H30+8*(AG30-1))+Форм1);2)</t>
  </si>
  <si>
    <t>Форм1=ЕСЛИОШИБКА((ВПР(Исх!Z30/Исх!T30/ЦЕЛОЕ(Исх!G30);ДВССЫЛ(Исх!BR30);Исх!H30+8*(Исх!AG30-1))-ИНДЕКС(ДВССЫЛ(Исх!BR30);ПОИСКПОЗ(Исх!Z30/Исх!T30/ЦЕЛОЕ(Исх!G30);ИНДЕКС(ДВССЫЛ(Исх!BR30);0;1))+1;Исх!H30+8*(Исх!AG30-1)))/(ВПР(Исх!Z30/Исх!T30/ЦЕЛОЕ(Исх!G30);ДВССЫЛ(Исх!BR30);1)-ИНДЕКС(ДВССЫЛ(Исх!BR30);ПОИСКПОЗ(Исх!Z30/Исх!T30/ЦЕЛОЕ(Исх!G30);ИНДЕКС(ДВССЫЛ(Исх!BR30);0;1))+1;1))*(Исх!Z30/Исх!T30/ЦЕЛОЕ(Исх!G30)-ВПР(Исх!Z30/Исх!T30/ЦЕЛОЕ(Исх!G30);ДВССЫЛ(Исх!BR30);1));0)</t>
  </si>
  <si>
    <t>Форм=ЕСЛИОШИБКА((ВПР(Исх!Z30/Исх!T30*Исх!M30;ДВССЫЛ(Исх!BR30);Исх!$F30+1)-ИНДЕКС(ДВССЫЛ(Исх!BR30);ПОИСКПОЗ(Исх!Z30/Исх!T30*Исх!M30;ИНДЕКС(ДВССЫЛ(Исх!BR30);0;1))+1;Исх!$F30+1))/(ВПР(Исх!Z30/Исх!T30*Исх!M30;ДВССЫЛ(Исх!BR30);1)-ИНДЕКС(ДВССЫЛ(Исх!BR30);ПОИСКПОЗ(Исх!Z30/Исх!T30*Исх!M30;ИНДЕКС(ДВССЫЛ(Исх!BR30);0;1))+1;1))*(Исх!Z30/Исх!T30*Исх!M30-ВПР(Исх!Z30/Исх!T30*Исх!M30;ДВССЫЛ(Исх!BR30);1));0)</t>
  </si>
  <si>
    <t>рулонов</t>
  </si>
  <si>
    <t>красочность</t>
  </si>
  <si>
    <t>красок (сумма кол-ва цветов)</t>
  </si>
  <si>
    <t>Кол-во форм</t>
  </si>
  <si>
    <t>Время, ч.</t>
  </si>
  <si>
    <t>1+1 1+1</t>
  </si>
  <si>
    <t>2+1 1+1</t>
  </si>
  <si>
    <t>2+2 2+1</t>
  </si>
  <si>
    <t>2+2 1+1</t>
  </si>
  <si>
    <t>2+2 1+2</t>
  </si>
  <si>
    <t>4+1 1+1</t>
  </si>
  <si>
    <t>4+1 1+2</t>
  </si>
  <si>
    <t>4+2 1+1</t>
  </si>
  <si>
    <t>4+2 1+2</t>
  </si>
  <si>
    <t>Время изготовления форм, ч.</t>
  </si>
  <si>
    <t>Таблица (время изготовления форм)</t>
  </si>
  <si>
    <t>Время сдачи файлов:</t>
  </si>
  <si>
    <t>Время на вывод форм:</t>
  </si>
  <si>
    <t xml:space="preserve">Время изготовления спусков </t>
  </si>
  <si>
    <t>Кругление углов</t>
  </si>
  <si>
    <t>ЛСУ-65</t>
  </si>
  <si>
    <t>EUR</t>
  </si>
  <si>
    <t>USD</t>
  </si>
  <si>
    <t>Цена за тонну без НДС</t>
  </si>
  <si>
    <t>panton</t>
  </si>
  <si>
    <t>Пленка для ламинир. 495мм 38мкм, лен</t>
  </si>
  <si>
    <t>меловка глянцевая импорт.</t>
  </si>
  <si>
    <t>меловка матовая импорт.</t>
  </si>
  <si>
    <t>меловка</t>
  </si>
  <si>
    <t>IMITLIN                          72*102*125</t>
  </si>
  <si>
    <t>этикеточная                         62*94*80</t>
  </si>
  <si>
    <t>этикеточная SINARLUX      62*94*80</t>
  </si>
  <si>
    <t>этикеточная  SINARLUX     72*104*80</t>
  </si>
  <si>
    <t>самоклейка глянцевая         43*61*195</t>
  </si>
  <si>
    <t>самоклейка глянцевая         50*70*195</t>
  </si>
  <si>
    <t>самоклейка глянцевая        70*100*195</t>
  </si>
  <si>
    <t>самоклейка матовая           43*61*195</t>
  </si>
  <si>
    <t>самоклейка матовая           50*70*195</t>
  </si>
  <si>
    <t>самоклейка матовая           70*100*195</t>
  </si>
  <si>
    <t>VENICELUX                        70*100*250</t>
  </si>
  <si>
    <t>ACQUERELLO                    72*101*160</t>
  </si>
  <si>
    <t>ACQUERELLO                    72*101*240</t>
  </si>
  <si>
    <t>CONSTELLATION                70*100*280</t>
  </si>
  <si>
    <t>NETTUNO                             72*101*280</t>
  </si>
  <si>
    <t>Картон ISPIRA                      72*102*120</t>
  </si>
  <si>
    <t>Картон ISPIRA                      72*102*150</t>
  </si>
  <si>
    <t>Картон ISPIRA                      72*102*250</t>
  </si>
  <si>
    <t>Картон ISPIRA                      72*102*360</t>
  </si>
  <si>
    <t>Мешочная ф.84 пл.80</t>
  </si>
  <si>
    <t>картон переплетный 1,75мм   70*100 импорт.</t>
  </si>
  <si>
    <t>картон переплетный 1,75мм   70*100 отеч.</t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</si>
  <si>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>, пл.57</t>
    </r>
  </si>
  <si>
    <t>меловка глянцевая импорт. ПЕРИОДИКА</t>
  </si>
  <si>
    <t>меловка глянцевая импорт.  ПЕРИОДИКА</t>
  </si>
  <si>
    <t>меловка глянцевая импорт.   ПЕРИОДИКА</t>
  </si>
  <si>
    <t>меловка матовая импорт. ПЕРИОДИКА</t>
  </si>
  <si>
    <t>меловка матовая импорт.  ПЕРИОДИКА</t>
  </si>
  <si>
    <t>меловка матовая импорт.   ПЕРИОДИКА</t>
  </si>
  <si>
    <t xml:space="preserve">меловка глянцевая импорт. </t>
  </si>
  <si>
    <t xml:space="preserve">меловка глянцевая импорт.  </t>
  </si>
  <si>
    <t xml:space="preserve">меловка матовая импорт. </t>
  </si>
  <si>
    <t xml:space="preserve">меловка матовая импорт.  </t>
  </si>
  <si>
    <t>Осн.текст</t>
  </si>
  <si>
    <t>Блок</t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</si>
  <si>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 xml:space="preserve">, пл.57 </t>
    </r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</si>
  <si>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 xml:space="preserve">, пл.57  </t>
    </r>
  </si>
  <si>
    <t xml:space="preserve">SPLENDORLUX                  70*100*250 </t>
  </si>
  <si>
    <t xml:space="preserve">IMITLIN                          72*102*125 </t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</si>
  <si>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>, пл.75</t>
    </r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</si>
  <si>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 xml:space="preserve">, пл.75 </t>
    </r>
  </si>
  <si>
    <r>
      <t xml:space="preserve">мелованная </t>
    </r>
    <r>
      <rPr>
        <b/>
        <sz val="10"/>
        <rFont val="Arial Cyr"/>
        <charset val="204"/>
      </rPr>
      <t>книжно-журнальная</t>
    </r>
    <r>
      <rPr>
        <sz val="10"/>
        <rFont val="Arial Cyr"/>
        <charset val="204"/>
      </rPr>
      <t xml:space="preserve">, пл.75  </t>
    </r>
  </si>
  <si>
    <t>СитиЛайн</t>
  </si>
  <si>
    <t>4+3</t>
  </si>
  <si>
    <t>печать с 4 рулонов</t>
  </si>
  <si>
    <t>Формат А3</t>
  </si>
  <si>
    <t>Печать с 1 рулона</t>
  </si>
  <si>
    <t>Печать с 2-х рулонов</t>
  </si>
  <si>
    <t>Печать с 3-х рулонов</t>
  </si>
  <si>
    <t>Печать с 4-х рулонов</t>
  </si>
  <si>
    <t>Л/пр черные</t>
  </si>
  <si>
    <t>Л/пр цветные</t>
  </si>
  <si>
    <t>СКРЫТЬ</t>
  </si>
  <si>
    <t>Л/пр. с 1-го рулона</t>
  </si>
  <si>
    <t>Л/пр. с 3-х рулонов</t>
  </si>
  <si>
    <t>Л/пр. с 4-х рулонов</t>
  </si>
  <si>
    <t>Печать на CityLine</t>
  </si>
  <si>
    <t>CityLine</t>
  </si>
  <si>
    <t>СityLine</t>
  </si>
  <si>
    <t>4+4 1+1</t>
  </si>
  <si>
    <t>4+4 2+1</t>
  </si>
  <si>
    <t>4+4 2+2</t>
  </si>
  <si>
    <t>4+4 4+1</t>
  </si>
  <si>
    <t>4+4 4+2</t>
  </si>
  <si>
    <t>4+4 4+4</t>
  </si>
  <si>
    <t>с техотходами</t>
  </si>
  <si>
    <t>на тираж, кр.отт.</t>
  </si>
  <si>
    <t>код маш</t>
  </si>
  <si>
    <t>1+1 1+1 1+1</t>
  </si>
  <si>
    <t>2+1 1+1 1+1</t>
  </si>
  <si>
    <t>2+2 1+2 1+1</t>
  </si>
  <si>
    <t>4+1 1+2 1+1</t>
  </si>
  <si>
    <t>4+2 1+2 1+1</t>
  </si>
  <si>
    <t>4+4 1+1 1+1</t>
  </si>
  <si>
    <t>4+4 2+1 1+1</t>
  </si>
  <si>
    <t>4+4 2+2 1+1</t>
  </si>
  <si>
    <t>4+4 4+1 1+1</t>
  </si>
  <si>
    <t>4+4 4+2 1+1</t>
  </si>
  <si>
    <t>4+4 4+4 1+1</t>
  </si>
  <si>
    <t>4+1 4+1</t>
  </si>
  <si>
    <t>М.А. Агафонова</t>
  </si>
  <si>
    <t>1-15</t>
  </si>
  <si>
    <t>Время изготовления спусков:</t>
  </si>
  <si>
    <t>Время прил.</t>
  </si>
  <si>
    <t>бум с т.отх., кг.</t>
  </si>
  <si>
    <t>Тех.отх., кг.</t>
  </si>
  <si>
    <t>бум с т.отх., л.</t>
  </si>
  <si>
    <t>Тех.отх., л.</t>
  </si>
  <si>
    <t>ВРЕМЯ ПЕЧАТИ</t>
  </si>
  <si>
    <t>БУМАГА НА ТИРАЖ</t>
  </si>
  <si>
    <t>ОТХОДЫ</t>
  </si>
  <si>
    <t>Экономия/ перерасход</t>
  </si>
  <si>
    <t>№ заказа</t>
  </si>
  <si>
    <t>Наименование продукции</t>
  </si>
  <si>
    <t>Печатная машина</t>
  </si>
  <si>
    <t>Бумага (производитель)</t>
  </si>
  <si>
    <t>Формат 1</t>
  </si>
  <si>
    <t>Формат 2</t>
  </si>
  <si>
    <t>Кол-во страниц</t>
  </si>
  <si>
    <t>Кол-во листопрог.</t>
  </si>
  <si>
    <t>Кол-во приладок</t>
  </si>
  <si>
    <t>Время на вывод форм</t>
  </si>
  <si>
    <t>Время печати план, ч.</t>
  </si>
  <si>
    <t>Время печати факт, ч.</t>
  </si>
  <si>
    <t>отклонение</t>
  </si>
  <si>
    <t>Расход бумаги на тираж с тех.отх. план, кг.</t>
  </si>
  <si>
    <t>Расход бумаги без тех.отх. план, кг.</t>
  </si>
  <si>
    <t>Расход бумаги с тех.отх. факт, кг.</t>
  </si>
  <si>
    <t>Тех.отх. план, кг.</t>
  </si>
  <si>
    <t>Тех.отх. факт, кг.</t>
  </si>
  <si>
    <t>% отходов план</t>
  </si>
  <si>
    <t>Экономия/ перерасход, кг</t>
  </si>
  <si>
    <t>Экономия/ перерасход, %</t>
  </si>
  <si>
    <t>Срыв, кг.</t>
  </si>
  <si>
    <t>Втулки, кг.</t>
  </si>
  <si>
    <t>Макулатура на склад, кг.</t>
  </si>
  <si>
    <t>Комментарии</t>
  </si>
  <si>
    <t>Крас. (сумма красок)</t>
  </si>
  <si>
    <t>% отходов факт</t>
  </si>
  <si>
    <t>Чья бумага</t>
  </si>
  <si>
    <t>СВОДНАЯ ТАБЛИЦА</t>
  </si>
  <si>
    <t>сигн.</t>
  </si>
  <si>
    <t>виды продукции</t>
  </si>
  <si>
    <t>Цена на газетную бумагу</t>
  </si>
  <si>
    <t>офсетная                           все форматы</t>
  </si>
  <si>
    <r>
      <rPr>
        <b/>
        <sz val="10"/>
        <rFont val="Arial Cyr"/>
        <charset val="204"/>
      </rPr>
      <t xml:space="preserve">газетная  </t>
    </r>
    <r>
      <rPr>
        <sz val="10"/>
        <rFont val="Arial Cyr"/>
        <charset val="204"/>
      </rPr>
      <t xml:space="preserve">                           .все форматы</t>
    </r>
  </si>
  <si>
    <r>
      <rPr>
        <b/>
        <sz val="10"/>
        <rFont val="Arial Cyr"/>
        <charset val="204"/>
      </rPr>
      <t>газетная</t>
    </r>
    <r>
      <rPr>
        <sz val="10"/>
        <rFont val="Arial Cyr"/>
        <charset val="204"/>
      </rPr>
      <t xml:space="preserve">                              все форматы</t>
    </r>
  </si>
  <si>
    <r>
      <rPr>
        <b/>
        <sz val="10"/>
        <rFont val="Arial Cyr"/>
        <charset val="204"/>
      </rPr>
      <t>газетная</t>
    </r>
    <r>
      <rPr>
        <sz val="10"/>
        <rFont val="Arial Cyr"/>
        <charset val="204"/>
      </rPr>
      <t>.                             все форматы</t>
    </r>
  </si>
  <si>
    <r>
      <rPr>
        <b/>
        <sz val="10"/>
        <rFont val="Arial Cyr"/>
        <charset val="204"/>
      </rPr>
      <t>газетная</t>
    </r>
    <r>
      <rPr>
        <sz val="10"/>
        <rFont val="Arial Cyr"/>
        <charset val="204"/>
      </rPr>
      <t xml:space="preserve">                              все форматы.</t>
    </r>
  </si>
  <si>
    <r>
      <rPr>
        <b/>
        <sz val="10"/>
        <rFont val="Arial Cyr"/>
        <charset val="204"/>
      </rPr>
      <t>газетная</t>
    </r>
    <r>
      <rPr>
        <sz val="10"/>
        <rFont val="Arial Cyr"/>
        <charset val="204"/>
      </rPr>
      <t xml:space="preserve">                             .все форматы.</t>
    </r>
  </si>
  <si>
    <t>в т.ч.+3%</t>
  </si>
  <si>
    <t>Глянцевый УФ-лак</t>
  </si>
  <si>
    <t>Трафаретный рельефный лак УФ отверждения</t>
  </si>
  <si>
    <t>Краска УФ отверждения золотая</t>
  </si>
  <si>
    <t>Краска трафаретная белая кроющая</t>
  </si>
  <si>
    <t xml:space="preserve">   Бумага</t>
  </si>
  <si>
    <t xml:space="preserve">   Краска</t>
  </si>
  <si>
    <t xml:space="preserve">   Формы</t>
  </si>
  <si>
    <t xml:space="preserve">   Прочие материалы</t>
  </si>
  <si>
    <t xml:space="preserve">   Субподрядные расходы</t>
  </si>
  <si>
    <t xml:space="preserve">   Доставка продукции</t>
  </si>
  <si>
    <t xml:space="preserve">   Агентское вознаграждение</t>
  </si>
  <si>
    <t xml:space="preserve">   НДС</t>
  </si>
  <si>
    <t>Себестоимость полная</t>
  </si>
  <si>
    <r>
      <rPr>
        <sz val="10"/>
        <rFont val="Arial Cyr"/>
        <charset val="204"/>
      </rPr>
      <t>БУМАГА факт,</t>
    </r>
    <r>
      <rPr>
        <b/>
        <sz val="10"/>
        <rFont val="Arial Cyr"/>
        <charset val="204"/>
      </rPr>
      <t xml:space="preserve"> формат "</t>
    </r>
    <r>
      <rPr>
        <sz val="10"/>
        <rFont val="Arial Cyr"/>
        <charset val="204"/>
      </rPr>
      <t>_____</t>
    </r>
    <r>
      <rPr>
        <b/>
        <sz val="10"/>
        <rFont val="Arial Cyr"/>
        <charset val="204"/>
      </rPr>
      <t>"</t>
    </r>
  </si>
  <si>
    <r>
      <rPr>
        <sz val="10"/>
        <rFont val="Arial Cyr"/>
        <charset val="204"/>
      </rPr>
      <t>БУМАГА факт,</t>
    </r>
    <r>
      <rPr>
        <b/>
        <sz val="10"/>
        <rFont val="Arial Cyr"/>
        <charset val="204"/>
      </rPr>
      <t xml:space="preserve"> формат "_____"</t>
    </r>
  </si>
  <si>
    <t>С.В.Комышев</t>
  </si>
  <si>
    <t>Бумага с тех.отх., кг.</t>
  </si>
  <si>
    <t>Бумага без тех.отх., кг.</t>
  </si>
  <si>
    <t>Тех.отх. на печать, кг.</t>
  </si>
  <si>
    <t>Итоговый % тех.отх. на печать</t>
  </si>
  <si>
    <t>% тех.отх. на печать план</t>
  </si>
  <si>
    <t>Нормы отх. на печать</t>
  </si>
  <si>
    <t>в том числе:</t>
  </si>
  <si>
    <t>Количество всего</t>
  </si>
  <si>
    <t>тех.отх. печатный</t>
  </si>
  <si>
    <t>тех.отх. переплетный</t>
  </si>
  <si>
    <t>чьи</t>
  </si>
  <si>
    <t>материалы</t>
  </si>
  <si>
    <t>БУМАГА план,</t>
  </si>
  <si>
    <r>
      <rPr>
        <b/>
        <sz val="12"/>
        <rFont val="Arial Cyr"/>
        <charset val="204"/>
      </rPr>
      <t xml:space="preserve">БУМАГА </t>
    </r>
    <r>
      <rPr>
        <i/>
        <sz val="10"/>
        <rFont val="Arial Cyr"/>
        <family val="2"/>
        <charset val="204"/>
      </rPr>
      <t>Наименование</t>
    </r>
  </si>
  <si>
    <t>ИТОГО кв.м.</t>
  </si>
  <si>
    <t>Расход бумаги на тираж с тех.отх. план, кв.м.</t>
  </si>
  <si>
    <t>Расход бумаги без тех.отх. план, л.</t>
  </si>
  <si>
    <t>Расход бумаги без тех.отх. план, кв.м.</t>
  </si>
  <si>
    <t>Тех.отх. план, л.</t>
  </si>
  <si>
    <t>Тех.отх. план, кв.м.</t>
  </si>
  <si>
    <t>Расход бумаги с тех.отх. факт, л.</t>
  </si>
  <si>
    <t>Расход бумаги с тех.отх. факт, кв.м.</t>
  </si>
  <si>
    <t>Тех.отх. факт, л.</t>
  </si>
  <si>
    <t>Тех.отх. факт, кв.м.</t>
  </si>
  <si>
    <t>Экономия/ перерасход, л.</t>
  </si>
  <si>
    <t>Экономия/ перерасход, кв.м.</t>
  </si>
  <si>
    <t>Итого кв.м.</t>
  </si>
  <si>
    <t>да</t>
  </si>
  <si>
    <t>Всего л/пр. на тираж с тех.отх. План</t>
  </si>
  <si>
    <t>л/пр. на тираж</t>
  </si>
  <si>
    <t>тех.отходы л/пр. на тираж</t>
  </si>
  <si>
    <t>Всего л/пр. на тираж</t>
  </si>
  <si>
    <t>Факт, кг.</t>
  </si>
  <si>
    <t>Итого план, кг.</t>
  </si>
  <si>
    <t>УПАКОВКА</t>
  </si>
  <si>
    <t>м2</t>
  </si>
  <si>
    <t>Пленка для ламинир. 450мм 75мкм, глянцевая</t>
  </si>
  <si>
    <t>Пленка для ламинир. 490мм 75мкм, матовая</t>
  </si>
  <si>
    <t>Пленка Софт Тач (ширина 360мм)</t>
  </si>
  <si>
    <t>Пленка Софт Тач (ширина 500мм)</t>
  </si>
  <si>
    <t>Пленка Софт Тач (ширина 530мм)</t>
  </si>
  <si>
    <t>ВСЕГО бумага на тираж с тех.отх. План,     кг.</t>
  </si>
  <si>
    <t>ВСЕГО л/пр. на тираж с тех.отх. План,    шт.</t>
  </si>
  <si>
    <t>ВСЕГО бумага на тираж с тех.отх. План,         кв.м.</t>
  </si>
  <si>
    <t>Бумага на тираж без тех.отх. план,     кг.</t>
  </si>
  <si>
    <t>Л/пр. на тираж без тех.отх. План,     шт.</t>
  </si>
  <si>
    <t>Бумага на тираж без тех.отх. план, кв.м.</t>
  </si>
  <si>
    <t>Расход бумаги с тех.отх. факт,         кг.</t>
  </si>
  <si>
    <t>Кол-во л/пр. с тех.отх. факт,        шт.</t>
  </si>
  <si>
    <t>Расход бумаги с тех.отх. факт,         кв.м.</t>
  </si>
  <si>
    <t>Тех.отх. план, л/пр.</t>
  </si>
  <si>
    <t>Кол-во рулонов</t>
  </si>
  <si>
    <t>max</t>
  </si>
  <si>
    <r>
      <t>НИТКИ</t>
    </r>
    <r>
      <rPr>
        <sz val="10"/>
        <rFont val="Arial Cyr"/>
        <charset val="204"/>
      </rPr>
      <t xml:space="preserve"> ( 0,014кг./1000 тетрадей)</t>
    </r>
  </si>
  <si>
    <t>этот</t>
  </si>
  <si>
    <t>шабл</t>
  </si>
  <si>
    <t>3рул</t>
  </si>
  <si>
    <t>Форм1=ЕСЛИОШИБКА((ВПР(Исх!Z30/Исх!T30/ЦЕЛОЕ(Исх!G30)*ЦЕЛОЕ(Исх!G30);ДВССЫЛ(Исх!BR30);Исх!H30+8*(Исх!AG30-1))-ИНДЕКС(ДВССЫЛ(Исх!BR30);ПОИСКПОЗ(Исх!Z30/Исх!T30/ЦЕЛОЕ(Исх!G30)*ЦЕЛОЕ(Исх!G30);ИНДЕКС(ДВССЫЛ(Исх!BR30);0;1))+1;Исх!H30+8*(Исх!AG30-1)))/(ВПР(Исх!Z30/Исх!T30/ЦЕЛОЕ(Исх!G30)*ЦЕЛОЕ(Исх!G30);ДВССЫЛ(Исх!BR30);1)-ИНДЕКС(ДВССЫЛ(Исх!BR30);ПОИСКПОЗ(Исх!Z30/Исх!T30/ЦЕЛОЕ(Исх!G30)*ЦЕЛОЕ(Исх!G30);ИНДЕКС(ДВССЫЛ(Исх!BR30);0;1))+1;1))*(Исх!Z30/Исх!T30/ЦЕЛОЕ(Исх!G30)*ЦЕЛОЕ(Исх!G30)-ВПР(Исх!Z30/Исх!T30/ЦЕЛОЕ(Исх!G30)*ЦЕЛОЕ(Исх!G30);ДВССЫЛ(Исх!BR30);1));0)</t>
  </si>
  <si>
    <t>для Аиф</t>
  </si>
  <si>
    <t>Fxi</t>
  </si>
  <si>
    <t>Fxi-1</t>
  </si>
  <si>
    <t>xi</t>
  </si>
  <si>
    <t>xi-1</t>
  </si>
  <si>
    <t>x</t>
  </si>
  <si>
    <t>аиф</t>
  </si>
  <si>
    <t>Формула интерполяции:</t>
  </si>
  <si>
    <t>f(xi)</t>
  </si>
  <si>
    <t>f(xi-1)</t>
  </si>
  <si>
    <t>форм1</t>
  </si>
  <si>
    <t>форм</t>
  </si>
  <si>
    <t>рулмаш</t>
  </si>
  <si>
    <t>листмаш</t>
  </si>
  <si>
    <t>CM30+((CM30-CN30)/(CO30-CP30)*(CQ30-CR30))</t>
  </si>
  <si>
    <r>
      <t xml:space="preserve">расчет.% для </t>
    </r>
    <r>
      <rPr>
        <b/>
        <sz val="10"/>
        <color rgb="FFFF0000"/>
        <rFont val="Arial Cyr"/>
        <charset val="204"/>
      </rPr>
      <t>рулонных машин</t>
    </r>
  </si>
  <si>
    <r>
      <t xml:space="preserve">расчет.% для </t>
    </r>
    <r>
      <rPr>
        <b/>
        <sz val="10"/>
        <color rgb="FFFF0000"/>
        <rFont val="Arial Cyr"/>
        <charset val="204"/>
      </rPr>
      <t>листовых машин</t>
    </r>
  </si>
  <si>
    <t>Генеральный директор Сырцев П.Н.</t>
  </si>
  <si>
    <t>с ндс за кв.м.</t>
  </si>
  <si>
    <t>РОССИЯ, 610004, г.Киров, ул.Мостовая 32/7.</t>
  </si>
  <si>
    <t>Пленка Софт Скин (ширина 460мм)</t>
  </si>
  <si>
    <t>Пленка Софт Скин (ширина 500мм)</t>
  </si>
  <si>
    <r>
      <t>Пленка для ламинир. 460мм (</t>
    </r>
    <r>
      <rPr>
        <b/>
        <sz val="10"/>
        <rFont val="Arial Cyr"/>
        <charset val="204"/>
      </rPr>
      <t>для цифры</t>
    </r>
    <r>
      <rPr>
        <sz val="10"/>
        <rFont val="Arial Cyr"/>
        <charset val="204"/>
      </rPr>
      <t>), глянцевая</t>
    </r>
  </si>
  <si>
    <r>
      <t>Пленка для ламинир. 460мм (</t>
    </r>
    <r>
      <rPr>
        <b/>
        <sz val="10"/>
        <rFont val="Arial Cyr"/>
        <charset val="204"/>
      </rPr>
      <t>для цифры</t>
    </r>
    <r>
      <rPr>
        <sz val="10"/>
        <rFont val="Arial Cyr"/>
        <charset val="204"/>
      </rPr>
      <t>), матовая</t>
    </r>
  </si>
  <si>
    <t>Картон Нева ("Диво Принт")</t>
  </si>
  <si>
    <t>ЕСЛИ(ЕОШ(ПОИСК("газетная";C31;1));0;"газетная")</t>
  </si>
  <si>
    <t>Не бросать!</t>
  </si>
  <si>
    <t>1-25</t>
  </si>
  <si>
    <t>Краска триада Quickson Supreme черная</t>
  </si>
  <si>
    <t>Краска триада Quickfast 250 черная</t>
  </si>
  <si>
    <t>Краска триада Quickson Supreme желтая</t>
  </si>
  <si>
    <t>Краска триада Quickson Supreme голубая</t>
  </si>
  <si>
    <t>Краска триада Quickson Supreme пурпурная</t>
  </si>
  <si>
    <t>Краска триада Quickfast 250 желтая</t>
  </si>
  <si>
    <t>Краска триада Quickfast 250 голубая</t>
  </si>
  <si>
    <t>Краска триада Quickfast 250 пурпурная</t>
  </si>
  <si>
    <t>Краска листовая Panton</t>
  </si>
  <si>
    <t>ВД лак W_2260 глянцевый (под заморозку)</t>
  </si>
  <si>
    <t>ВД лак W_0090 матовый</t>
  </si>
  <si>
    <t>Каптал белый, импортный</t>
  </si>
  <si>
    <t>Каптал цветной, импортный</t>
  </si>
  <si>
    <t>Каптал белый, отечественный</t>
  </si>
  <si>
    <t>ВД лак W_1040 глянцевый</t>
  </si>
  <si>
    <t>Komori_540</t>
  </si>
  <si>
    <t>МЛ-1040</t>
  </si>
  <si>
    <t>А1, МЛ-1040</t>
  </si>
  <si>
    <t>А2, МЛ-1040</t>
  </si>
  <si>
    <t>А3, МЛ-1040</t>
  </si>
  <si>
    <t>А4, МЛ-1040</t>
  </si>
  <si>
    <t>ПТ-4</t>
  </si>
  <si>
    <t>STS-1050</t>
  </si>
  <si>
    <t>Фальце-склеивающая машина (ФСМ)</t>
  </si>
  <si>
    <t>ФСМ</t>
  </si>
  <si>
    <t>формат до А3</t>
  </si>
  <si>
    <t>Quickbinder</t>
  </si>
  <si>
    <t>QS-420</t>
  </si>
  <si>
    <t>Обрезка книжных блоков QS- 420 (большой)</t>
  </si>
  <si>
    <t>большой, QS-420</t>
  </si>
  <si>
    <t>Обрезка книжных блоков QS- 420 (средний)</t>
  </si>
  <si>
    <t>средний, QS-420</t>
  </si>
  <si>
    <t>Вырубка МЛ</t>
  </si>
  <si>
    <t>5            4               3               3</t>
  </si>
  <si>
    <t>КОМОРИ</t>
  </si>
  <si>
    <t>РАЙОБИ</t>
  </si>
  <si>
    <t>МЕЛОВКА</t>
  </si>
  <si>
    <t>90_200</t>
  </si>
  <si>
    <t>мен90</t>
  </si>
  <si>
    <t>бол200</t>
  </si>
  <si>
    <t>ОФСЕТКА</t>
  </si>
  <si>
    <t>70_200</t>
  </si>
  <si>
    <t>мен70</t>
  </si>
  <si>
    <t>гр.сл</t>
  </si>
  <si>
    <t>Гр.сл.</t>
  </si>
  <si>
    <t>Кол-во л/пр</t>
  </si>
  <si>
    <t>Норма времени на 1000 л/пр</t>
  </si>
  <si>
    <t>Комори, время, час.</t>
  </si>
  <si>
    <t>Если меньше 500 л/пр, час.</t>
  </si>
  <si>
    <t>время,ч.</t>
  </si>
  <si>
    <t>Райоби, время, час.</t>
  </si>
  <si>
    <t>бумага</t>
  </si>
  <si>
    <t>Форма ВД-лака</t>
  </si>
  <si>
    <t>Перфекта, более А1</t>
  </si>
  <si>
    <t>Формат более А1 (до 90г)</t>
  </si>
  <si>
    <t>Формат более А1 (91-130г)</t>
  </si>
  <si>
    <t>Формат более А1 (131-160г)</t>
  </si>
  <si>
    <t>Формат более А1 (161-200г)</t>
  </si>
  <si>
    <t>Формат более А1 (св.200г)</t>
  </si>
  <si>
    <t>более А1</t>
  </si>
  <si>
    <t>Сколотка листов (формат более А1, св. 200гр.)</t>
  </si>
  <si>
    <t>Перфекта, формат А1</t>
  </si>
  <si>
    <t>Формат А1 (до 90г)</t>
  </si>
  <si>
    <t>Формат А1 ( 91-130г)</t>
  </si>
  <si>
    <t>Формат А1 ( 131-160г)</t>
  </si>
  <si>
    <t>Формат А1 ( 161-200г)</t>
  </si>
  <si>
    <t>Формат А1 ( св.200г)</t>
  </si>
  <si>
    <t>формат А1</t>
  </si>
  <si>
    <t>Сколотка листов (формат А1, св. 200гр.)</t>
  </si>
  <si>
    <t>Формат А2 (до 90г)</t>
  </si>
  <si>
    <t>Перфекта, формат А2</t>
  </si>
  <si>
    <t>Формат А2 (91-130г)</t>
  </si>
  <si>
    <t>Формат А2 (131-160г)</t>
  </si>
  <si>
    <t>Формат А2 (161-200г)</t>
  </si>
  <si>
    <t>Формат А2 (св.200г)</t>
  </si>
  <si>
    <t>формат А2</t>
  </si>
  <si>
    <t>Сколотка листов (формат А2, св. 200гр.)</t>
  </si>
  <si>
    <t>Формат А3 (до 90г)</t>
  </si>
  <si>
    <t>Перфекта, формат А3</t>
  </si>
  <si>
    <t>формат А3</t>
  </si>
  <si>
    <t>Формат А3 (91-130г)</t>
  </si>
  <si>
    <t>Формат А3 (131-160г)</t>
  </si>
  <si>
    <t>Формат А3 (161-200г)</t>
  </si>
  <si>
    <t>Формат А3 (св. 200г)</t>
  </si>
  <si>
    <t>Сколотка листов (формат А3, св. 200гр.)</t>
  </si>
  <si>
    <t>Биговка УПБ</t>
  </si>
  <si>
    <t>ЛП</t>
  </si>
  <si>
    <t>Bourg Binder 3001</t>
  </si>
  <si>
    <t>(формат большой 170*240 и выше), Bourg Binder 3001</t>
  </si>
  <si>
    <t>(формат средний менее 170*240), Bourg Binder 3001</t>
  </si>
  <si>
    <t xml:space="preserve"> (формат большой 170*240 и выше), Quickbinder</t>
  </si>
  <si>
    <t>Крытье обыкновенное брошюр обложкой, Quickbinder (формат средний менее 170*240)</t>
  </si>
  <si>
    <t>(формат средний менее 170*240), Quickbinder</t>
  </si>
  <si>
    <t xml:space="preserve">Крытье обыкновенное брошюр обложкой, Bourg Binder 3001, (формат большой 170*240 и выше) </t>
  </si>
  <si>
    <t xml:space="preserve">Крытье обыкновенное брошюр обложкой, Bourg Binder 3001, (формат средний менее 170*240) </t>
  </si>
  <si>
    <t>Чистка СКУ:</t>
  </si>
  <si>
    <t>Чистка фальцаппарата:</t>
  </si>
  <si>
    <t>Чистка регистров:</t>
  </si>
  <si>
    <t>Переход на 1/2 ширины рулона:</t>
  </si>
  <si>
    <t>Смена формата печати (ширина полотна):</t>
  </si>
  <si>
    <t>Смена красочности:</t>
  </si>
  <si>
    <t>Наименование выполняемых работ</t>
  </si>
  <si>
    <t>Норма времени</t>
  </si>
  <si>
    <t>15мин.</t>
  </si>
  <si>
    <t>10мин.</t>
  </si>
  <si>
    <t>20мин.</t>
  </si>
  <si>
    <t>5мин.</t>
  </si>
  <si>
    <t>30мин.</t>
  </si>
  <si>
    <t>Комплектовка блоков большого формата и объема, (формат большой 170*240 и выше), ЛП</t>
  </si>
  <si>
    <t>до 6 тетрадей, (формат большой 170*240 и выше), ЛП</t>
  </si>
  <si>
    <t>свыше 6 тетрадей, (формат большой 170*240 и выше), ЛП</t>
  </si>
  <si>
    <t>Комплектовка блоков среднего формата и объема, (формат средний менее 170*240), ЛП</t>
  </si>
  <si>
    <t>до 6 тетрадей, (формат средний менее 170*240), ЛП</t>
  </si>
  <si>
    <t>свыше 6 тетрадей, (формат средний менее 170*240), ЛП</t>
  </si>
  <si>
    <t>Комплектовка, шитье и обрезка брошюр и журналов, M.Martini (формат средний менее 170*240)</t>
  </si>
  <si>
    <t>Комплектовка, шитье и обрезка брошюр и журналов, M.Martini (формат большой 170*240 и выше)</t>
  </si>
  <si>
    <t>1            2               3               4</t>
  </si>
  <si>
    <t xml:space="preserve"> - чистка транспортера, 2чел.,</t>
  </si>
  <si>
    <t xml:space="preserve"> - чистка воронки, 2чел.,</t>
  </si>
  <si>
    <t xml:space="preserve"> - чистка корзины, 2чел.</t>
  </si>
  <si>
    <t xml:space="preserve"> - чистка цилиндров, 2чел.,</t>
  </si>
  <si>
    <t xml:space="preserve"> - чистка гребенки и направляющих, 1чел.,</t>
  </si>
  <si>
    <t xml:space="preserve"> - чистка паука, 2чел.,</t>
  </si>
  <si>
    <t xml:space="preserve"> - чистка приставки, 1чел.,</t>
  </si>
  <si>
    <t xml:space="preserve"> - чистка между блоками, 1чел.,</t>
  </si>
  <si>
    <t xml:space="preserve"> - чистка на ф/а, 1чел.</t>
  </si>
  <si>
    <t xml:space="preserve"> - удаление грязи пылесосом вокруг ф/а, 1чел.</t>
  </si>
  <si>
    <t xml:space="preserve"> - смена рулона, 1чел.,</t>
  </si>
  <si>
    <t xml:space="preserve"> - настройка СКУ, 2чел.</t>
  </si>
  <si>
    <t xml:space="preserve"> - установка, регулировка приставки, 1чел.,</t>
  </si>
  <si>
    <t xml:space="preserve"> - замена краски в кипсейках, смыв валиков, раскат новой краски, 1чел.</t>
  </si>
  <si>
    <t xml:space="preserve"> - установка (снятие) шторок, 1чел.</t>
  </si>
  <si>
    <t>Смена формата фальцовки (А3&lt;--&gt;А4):</t>
  </si>
  <si>
    <t>Квитанции, блокноты, кубарики</t>
  </si>
  <si>
    <t>меловка URAL BRITE пл. 60</t>
  </si>
  <si>
    <t>меловка URAL BRITE пл. 80</t>
  </si>
  <si>
    <t>Старший печатник</t>
  </si>
  <si>
    <t>Помощник ст.печатника</t>
  </si>
  <si>
    <t>Печатник</t>
  </si>
  <si>
    <t xml:space="preserve"> - чистка между башнями, 1чел.,</t>
  </si>
  <si>
    <t>Макулатура:</t>
  </si>
  <si>
    <t>Смена рулона во время печати</t>
  </si>
  <si>
    <t>самоклейка ДЛЯ ЦИФРЫ    32х45 пл.190</t>
  </si>
  <si>
    <t>БНШ 6/1 (Ниткошвейная машина)</t>
  </si>
  <si>
    <t>большой, БНШ</t>
  </si>
  <si>
    <t>средний, БНШ</t>
  </si>
  <si>
    <t>БНШ</t>
  </si>
  <si>
    <t>Тарифы комори</t>
  </si>
  <si>
    <t>Зпл комори</t>
  </si>
  <si>
    <t>Тарифы райоби</t>
  </si>
  <si>
    <t>Зпл райоби</t>
  </si>
  <si>
    <t>меловка URAL BRITE пл. 70</t>
  </si>
  <si>
    <t>меловка глянцевая отеч. "Омела" пл.90</t>
  </si>
  <si>
    <t>меловка глянцевая отеч. "Омела" пл.105-170</t>
  </si>
  <si>
    <t>меловка матовая отеч. "Омела" пл.90</t>
  </si>
  <si>
    <t>меловка матовая отеч. "Омела" пл.105-170</t>
  </si>
  <si>
    <t>меловка URAL BRITE пл. 65</t>
  </si>
  <si>
    <t>Менеджер:</t>
  </si>
  <si>
    <t>Менеджер</t>
  </si>
  <si>
    <t>А.В. Журавлев</t>
  </si>
  <si>
    <t>П.Н. Сырцев</t>
  </si>
  <si>
    <t>В.И. Комышева</t>
  </si>
  <si>
    <t>47-84-65</t>
  </si>
  <si>
    <t>47-90-00</t>
  </si>
  <si>
    <t>МЭНЕГЕРЫ :)</t>
  </si>
  <si>
    <t>л/пр</t>
  </si>
  <si>
    <t>время1</t>
  </si>
  <si>
    <t>время2</t>
  </si>
  <si>
    <t>время итог</t>
  </si>
  <si>
    <t>зпл</t>
  </si>
  <si>
    <t>приладки</t>
  </si>
  <si>
    <t>офсетная "МаэстроПринт" 80-120 гр. (пост. Комус)</t>
  </si>
  <si>
    <t xml:space="preserve">офсетная "МаэстроПринт" 80-120 гр. (пост. Комус) </t>
  </si>
  <si>
    <t xml:space="preserve">офсетная "МаэстроПринт" 80-120 гр. (пост. Комус)  </t>
  </si>
  <si>
    <t>1-13</t>
  </si>
  <si>
    <t>Материальные затраты (без НДС):</t>
  </si>
  <si>
    <t xml:space="preserve">   Допечатная подготовка</t>
  </si>
  <si>
    <t>Рентабельность (наценка/скидка)</t>
  </si>
  <si>
    <t>Маржинальный доход</t>
  </si>
  <si>
    <t>Бонус</t>
  </si>
  <si>
    <t>Краска ролевая черная</t>
  </si>
  <si>
    <t>Краска ролевая (черная)</t>
  </si>
  <si>
    <t>Краска ролевая пурпурная</t>
  </si>
  <si>
    <t>Краска ролевая голубая</t>
  </si>
  <si>
    <t>Краска ролевая желтая</t>
  </si>
  <si>
    <t>Краска ролевая (пурпурная)</t>
  </si>
  <si>
    <t>Краска ролевая (голубая)</t>
  </si>
  <si>
    <t>Краска ролевая (желтая)</t>
  </si>
  <si>
    <t>Тип переплета:</t>
  </si>
  <si>
    <t>ПЕРЕПЛЕТНЫЙ УЧАСТОК</t>
  </si>
  <si>
    <t>Кол-во красок</t>
  </si>
  <si>
    <t>время печать</t>
  </si>
  <si>
    <t>Кол.форм</t>
  </si>
  <si>
    <t>комори</t>
  </si>
  <si>
    <t>райоби</t>
  </si>
  <si>
    <t>Итого, кг.</t>
  </si>
  <si>
    <t>ИТОГО, л.</t>
  </si>
  <si>
    <t>тех.отходы всего/переплетный</t>
  </si>
  <si>
    <t>Формат печатного листа</t>
  </si>
  <si>
    <t>ПЕЧАТНЫЙ УЧАСТОК</t>
  </si>
  <si>
    <t>Проверил ___________</t>
  </si>
  <si>
    <t>Изготовил формы __________</t>
  </si>
  <si>
    <t>Корректор _______________</t>
  </si>
  <si>
    <t>Оператор ______________</t>
  </si>
  <si>
    <t>Дизайнер ___________</t>
  </si>
  <si>
    <t>7 переплет</t>
  </si>
  <si>
    <t>стандартный клапан</t>
  </si>
  <si>
    <t>по центру листа</t>
  </si>
  <si>
    <t>5 мм от края листа до шкалы</t>
  </si>
  <si>
    <t>Изготовление СТР форм:</t>
  </si>
  <si>
    <t>Обрезной формат:</t>
  </si>
  <si>
    <t>Дообрезной формат:</t>
  </si>
  <si>
    <t>ОБЛОЖКА</t>
  </si>
  <si>
    <t>ДОПЕЧАТНЫЙ УЧАСТОК</t>
  </si>
  <si>
    <t>Дата переплетного:</t>
  </si>
  <si>
    <t>Дата печатного:</t>
  </si>
  <si>
    <t>Заказчик:</t>
  </si>
  <si>
    <t>Дата допечатного:</t>
  </si>
  <si>
    <t>Объем издания в стр.:</t>
  </si>
  <si>
    <t>Формат:</t>
  </si>
  <si>
    <t>Приложение к Заказу №:</t>
  </si>
  <si>
    <t>ТЕХНОЛОГИЧЕСКАЯ КАРТА</t>
  </si>
  <si>
    <t>гр.сл.</t>
  </si>
  <si>
    <t>кол-во форм</t>
  </si>
  <si>
    <t>без ндс+ 5%трансп</t>
  </si>
  <si>
    <t>530х650 Доминант СТР "FujiFilm" (цена в евро)</t>
  </si>
  <si>
    <t>608х844 Старлайн СТР "FujiFilm" (цена в евро)</t>
  </si>
  <si>
    <t>450х630 ПОГ-60 СТР "FujiFilm" (цена в евро)</t>
  </si>
  <si>
    <t>665х910 Ryobi CТР "FujiFilm" (цена в евро)</t>
  </si>
  <si>
    <t>608х844 CityLine СТР "FujiFilm" (цена в евро)</t>
  </si>
  <si>
    <t>530х650 Доминант СТР "Improva" (цена в долларах)</t>
  </si>
  <si>
    <t>450х630 ПОГ-60 СТР "Improva" (цена в долларах)</t>
  </si>
  <si>
    <t>608х844 Старлайн СТР "Improva" терм.(цена в долларах)</t>
  </si>
  <si>
    <t>Fujifilm</t>
  </si>
  <si>
    <t>ГАЗЕТЫ</t>
  </si>
  <si>
    <t>КНИЖНО_ЖУРНАЛЬНАЯ_ПРОДУКЦИЯ</t>
  </si>
  <si>
    <t>БЛАНОЧНАЯ_ПРОДУКЦИЯ</t>
  </si>
  <si>
    <t>РЕКЛАМНАЯ_ПРОДУКЦИЯ</t>
  </si>
  <si>
    <t>ВЫБОРНАЯ_ПРОДУКЦИЯ</t>
  </si>
  <si>
    <t>НЕПОЛИГРАФИЧЕСКИЕ_УСЛУГИ</t>
  </si>
  <si>
    <t>продукция</t>
  </si>
  <si>
    <t>вид</t>
  </si>
  <si>
    <t>ГАЗЕТЫ_отдел</t>
  </si>
  <si>
    <t>УПАКОВКА_отдел</t>
  </si>
  <si>
    <t>К_Ж_отдел</t>
  </si>
  <si>
    <t>РМ_отдел</t>
  </si>
  <si>
    <t>Выборы_отдел</t>
  </si>
  <si>
    <t>Неполиграф_усл_отдел</t>
  </si>
  <si>
    <t>отдел</t>
  </si>
  <si>
    <t>ВИДЫ ПРОДУКЦИИ:</t>
  </si>
  <si>
    <t>Продукция:</t>
  </si>
  <si>
    <r>
      <rPr>
        <b/>
        <sz val="10"/>
        <rFont val="Arial Cyr"/>
        <charset val="204"/>
      </rPr>
      <t>Бумага Xerox UPM Finess SRA3 Gloss/Matt 115 г/м.кв.</t>
    </r>
    <r>
      <rPr>
        <sz val="10"/>
        <rFont val="Arial Cyr"/>
        <charset val="204"/>
      </rPr>
      <t>, SRA3 500л.</t>
    </r>
  </si>
  <si>
    <r>
      <rPr>
        <b/>
        <sz val="10"/>
        <rFont val="Arial Cyr"/>
        <charset val="204"/>
      </rPr>
      <t>Бумага Xerox UPM Finess SRA3 Gloss/Matt 130 г/м.кв.</t>
    </r>
    <r>
      <rPr>
        <sz val="10"/>
        <rFont val="Arial Cyr"/>
        <charset val="204"/>
      </rPr>
      <t>, SRA3 500л.</t>
    </r>
  </si>
  <si>
    <r>
      <rPr>
        <b/>
        <sz val="10"/>
        <rFont val="Arial Cyr"/>
        <charset val="204"/>
      </rPr>
      <t>Бумага Xerox UPM Finess SRA3 Gloss/Matt 150 г/м.кв.</t>
    </r>
    <r>
      <rPr>
        <sz val="10"/>
        <rFont val="Arial Cyr"/>
        <charset val="204"/>
      </rPr>
      <t>, SRA3 250л.</t>
    </r>
  </si>
  <si>
    <r>
      <rPr>
        <b/>
        <sz val="10"/>
        <rFont val="Arial Cyr"/>
        <charset val="204"/>
      </rPr>
      <t>Бумага Xerox UPM Finess SRA3 Gloss/Matt 170 г/м.кв.</t>
    </r>
    <r>
      <rPr>
        <sz val="10"/>
        <rFont val="Arial Cyr"/>
        <charset val="204"/>
      </rPr>
      <t>, SRA3 250л.</t>
    </r>
  </si>
  <si>
    <r>
      <rPr>
        <b/>
        <sz val="10"/>
        <rFont val="Arial Cyr"/>
        <charset val="204"/>
      </rPr>
      <t>Бумага Xerox UPM Finess SRA3 Gloss/Matt 200 г/м.кв.</t>
    </r>
    <r>
      <rPr>
        <sz val="10"/>
        <rFont val="Arial Cyr"/>
        <charset val="204"/>
      </rPr>
      <t>, SRA3 250л.</t>
    </r>
  </si>
  <si>
    <r>
      <rPr>
        <b/>
        <sz val="10"/>
        <rFont val="Arial Cyr"/>
        <charset val="204"/>
      </rPr>
      <t>Бумага Xerox UPM Finess SRA3 Gloss/Matt 250 г/м.кв.</t>
    </r>
    <r>
      <rPr>
        <sz val="10"/>
        <rFont val="Arial Cyr"/>
        <charset val="204"/>
      </rPr>
      <t>, SRA3 250л.</t>
    </r>
  </si>
  <si>
    <r>
      <rPr>
        <b/>
        <sz val="10"/>
        <rFont val="Arial Cyr"/>
        <charset val="204"/>
      </rPr>
      <t>Бумага Xerox UPM Finess SRA3 Gloss/Matt 300 г/м.кв.</t>
    </r>
    <r>
      <rPr>
        <sz val="10"/>
        <rFont val="Arial Cyr"/>
        <charset val="204"/>
      </rPr>
      <t>, SRA3 250л.</t>
    </r>
  </si>
  <si>
    <t>Кол-во стр.</t>
  </si>
  <si>
    <t>+-</t>
  </si>
  <si>
    <t>Название издания:</t>
  </si>
  <si>
    <t>Номер:</t>
  </si>
  <si>
    <t>Дата выхода:</t>
  </si>
  <si>
    <t>+</t>
  </si>
  <si>
    <t>вручную</t>
  </si>
  <si>
    <t>Бумага:</t>
  </si>
  <si>
    <t>Полосность:</t>
  </si>
  <si>
    <t>Красочность по полосам:</t>
  </si>
  <si>
    <t>Переплет (или Без переплета)</t>
  </si>
  <si>
    <t>С обложкой на бумаге</t>
  </si>
  <si>
    <t>красочностью</t>
  </si>
  <si>
    <t>Дополнительные операции:</t>
  </si>
  <si>
    <t>Доставка или самовывоз</t>
  </si>
  <si>
    <t>Адрес доставки</t>
  </si>
  <si>
    <t>Комментарии:</t>
  </si>
  <si>
    <t>ГАЗЕТЫ ЛИСТОВЫЕ</t>
  </si>
  <si>
    <t>POS-МАТЕРИАЛЫ</t>
  </si>
  <si>
    <t>ЕЖЕДНЕВНИК, ПЛАНИНГ</t>
  </si>
  <si>
    <t>БЛАНКИ СТРОГОЙ ОТЧЕТНОСТИ</t>
  </si>
  <si>
    <t>АФИШИ</t>
  </si>
  <si>
    <t>АГИТАЦИОННЫЕ МАТЕРИАЛЫ</t>
  </si>
  <si>
    <t>ВЫВОД ФОРМ</t>
  </si>
  <si>
    <t>ГАЗЕТЫ РУЛОННЫЕ</t>
  </si>
  <si>
    <t>КОМБИНИРОВАННЫЕ ИЗДЕЛИЯ</t>
  </si>
  <si>
    <t>ЖУРНАЛЫ ПЕРИОДИЧЕСКИЕ</t>
  </si>
  <si>
    <t>БЛАНКИ, КВИТАНЦИИ</t>
  </si>
  <si>
    <t>БЛОКНОТЫ, КУБАРИКИ</t>
  </si>
  <si>
    <t>БЮЛЛЕТЕНИ</t>
  </si>
  <si>
    <t>РЕАЛИЗАЦИЯ ВТОРСЫРЬЯ</t>
  </si>
  <si>
    <t>ПРОЧИЕ УСЛУГИ (УПАКОВКА)</t>
  </si>
  <si>
    <t>КНИГА</t>
  </si>
  <si>
    <t>БЛАНОЧНЫЕ ЖУРНАЛЫ, КНИЖКИ</t>
  </si>
  <si>
    <t>ГРАМОТЫ, ДИПЛОМЫ, СЕРТИФИКАТЫ</t>
  </si>
  <si>
    <t>РЕАЛИЗАЦИЯ ПРОЧИХ МАТЕРИАЛОВ</t>
  </si>
  <si>
    <t>УПАКОВКА ИЗ ГОФРОКАРТОНА</t>
  </si>
  <si>
    <t>КНИГА ISBN</t>
  </si>
  <si>
    <t>ВХОДНЫЕ БИЛЕТЫ</t>
  </si>
  <si>
    <t>КАЛЕНДАРИ</t>
  </si>
  <si>
    <t>ТОЧКА НОЖЕЙ</t>
  </si>
  <si>
    <t>УПАКОВКА ИЗ КАРТОНА</t>
  </si>
  <si>
    <t>СВИДЕТЕЛЬСТВА, УДОСТОВЕРЕНИЯ</t>
  </si>
  <si>
    <t>КАТАЛОГИ, БРОШЮРЫ</t>
  </si>
  <si>
    <t>ЛАЙНЕР</t>
  </si>
  <si>
    <t>ПРОЧИЕ УСЛУГИ (КНИГИ)</t>
  </si>
  <si>
    <t>ЛИСТОВКИ, БУКЛЕТЫ</t>
  </si>
  <si>
    <t>ФОТОАЛЬБОМ</t>
  </si>
  <si>
    <t>ПАКЕТЫ БУМАЖНЫЕ/КАРТОННЫЕ</t>
  </si>
  <si>
    <t>ФУТЛЯР</t>
  </si>
  <si>
    <t>ПАПКИ ДЕЛОВЫЕ (ПЕРЕПЛЕТНЫЙ МАТЕРИАЛ)</t>
  </si>
  <si>
    <t>ПАПКИ ИЗ КАРТОНА</t>
  </si>
  <si>
    <t>ПРОЧИЕ УСЛУГИ (РЕКЛАМНАЯ ПРОДУКЦИЯ)</t>
  </si>
  <si>
    <t>Ответственный за выпуск:</t>
  </si>
  <si>
    <t>Телефон:</t>
  </si>
  <si>
    <t>E-mail:</t>
  </si>
  <si>
    <t>ЗаказG1</t>
  </si>
  <si>
    <t>ИсхK2</t>
  </si>
  <si>
    <t>ЗаказC6</t>
  </si>
  <si>
    <t>Наименов.заказа</t>
  </si>
  <si>
    <t>ЗаказD8</t>
  </si>
  <si>
    <t>ИсхK3</t>
  </si>
  <si>
    <t>ИсхK4</t>
  </si>
  <si>
    <t>ИсхJ1</t>
  </si>
  <si>
    <t>№бумаги</t>
  </si>
  <si>
    <t>ИсхB30</t>
  </si>
  <si>
    <t>ИсхF30</t>
  </si>
  <si>
    <t>ИсхI30</t>
  </si>
  <si>
    <t>ИсхK30</t>
  </si>
  <si>
    <t>ЕСЛИ(A12="А2";2;ЕСЛИ(A12="А3";4;ЕСЛИ(A12="А4";8;ЕСЛИ(A12="А5";16))))</t>
  </si>
  <si>
    <t>СЦЕПИТЬ(A6;" № ";A8;" от ";C10)</t>
  </si>
  <si>
    <t>A2</t>
  </si>
  <si>
    <t>A4</t>
  </si>
  <si>
    <t>A12</t>
  </si>
  <si>
    <t>A16</t>
  </si>
  <si>
    <t>A18</t>
  </si>
  <si>
    <t>ЕСЛИ(A14="Газетная, 42-48 г/м2";4)</t>
  </si>
  <si>
    <t>ЕСЛИ(A14="Газетная, 42-48 г/м2";2)</t>
  </si>
  <si>
    <t>ЕСЛИ(A14="Газетная, 42-48 г/м2";57,8)</t>
  </si>
  <si>
    <t>ЕСЛИ(И(A14="Газетная, 42-48 г/м2";A12&lt;&gt;"А4");42;45)</t>
  </si>
  <si>
    <t>НЕ ТРОГАТЬ! :)</t>
  </si>
  <si>
    <t xml:space="preserve">   Подготовка материала</t>
  </si>
  <si>
    <t xml:space="preserve">   Печатный участок</t>
  </si>
  <si>
    <t xml:space="preserve">   Переплетный участок</t>
  </si>
  <si>
    <t xml:space="preserve">   Цифровой участок</t>
  </si>
  <si>
    <t xml:space="preserve">   Накладные расходы</t>
  </si>
  <si>
    <t>Цена/ Стоимость за тираж без НДС</t>
  </si>
  <si>
    <t>Цена/ Стоимость за тираж с НДС</t>
  </si>
  <si>
    <t>Допечатный</t>
  </si>
  <si>
    <t>Kaizen</t>
  </si>
  <si>
    <t>665х910 Ryobi CТР "Kaizen" (цена в долларах)</t>
  </si>
  <si>
    <t>608х844 CityLine СТР "Kaizen" (цена в долларах)</t>
  </si>
  <si>
    <t>кол-во листов на 1 приладку</t>
  </si>
  <si>
    <t>Номер заказа:</t>
  </si>
  <si>
    <t>Цена, руб.:</t>
  </si>
  <si>
    <t>Стоимость, руб.:</t>
  </si>
  <si>
    <t>катрон мелов DUO                 62*94*210</t>
  </si>
  <si>
    <t>картон мелов одностор          62*94*210</t>
  </si>
  <si>
    <t>картон мелов одностор          62*94*230</t>
  </si>
  <si>
    <t>офсетная для многокрасочной печати</t>
  </si>
  <si>
    <t xml:space="preserve">офсетная для многокрасочной печати </t>
  </si>
  <si>
    <t>офсетная для черно-белой печати</t>
  </si>
  <si>
    <t xml:space="preserve">офсетная для черно-белой печати </t>
  </si>
  <si>
    <t>Прочие расходы:</t>
  </si>
  <si>
    <t>Прямые затраты с НДС</t>
  </si>
  <si>
    <t>Способ получения</t>
  </si>
  <si>
    <t>Самовывоз</t>
  </si>
  <si>
    <t>Срок изготовления</t>
  </si>
  <si>
    <t>10-14 рабочих дней с момента полного согласования и оплаты, что наступит позднее</t>
  </si>
  <si>
    <t>ОТЧЕТЫ, РАБОЧИЕ ТЕТРАДИ</t>
  </si>
  <si>
    <t>скрыть</t>
  </si>
  <si>
    <t>Доставка</t>
  </si>
  <si>
    <t>Доля прямых затрат в стоимости за тираж с НДС</t>
  </si>
  <si>
    <t>Печать на Ryobi_924</t>
  </si>
  <si>
    <t>Печать 1 группы сложности 6 разряд Ryobi_924</t>
  </si>
  <si>
    <t>Ryobi_924</t>
  </si>
  <si>
    <t>Печать 1 группы сложности 4 разряд Ryobi_924</t>
  </si>
  <si>
    <t>Печать 2 группы сложности 6 разряд Ryobi_924</t>
  </si>
  <si>
    <t>Печать 2 группы сложности 4 разряд Ryobi_924</t>
  </si>
  <si>
    <t>Печать 3 группы сложности 6 разряд Ryobi_924</t>
  </si>
  <si>
    <t>Печать 3 группы сложности 4 разряд Ryobi_924</t>
  </si>
  <si>
    <t>Приладка 1 группы сложности 6 разряд Ryobi_924</t>
  </si>
  <si>
    <t>Приладка 1 группы сложности 4 разряд Ryobi_924</t>
  </si>
  <si>
    <t>Приладка 2 группы сложности 6 разряд Ryobi_924</t>
  </si>
  <si>
    <t>Приладка 2 группы сложности 4 разряд Ryobi_924</t>
  </si>
  <si>
    <t>Приладка 3 группы сложности 6 разряд Ryobi_924</t>
  </si>
  <si>
    <t>Приладка 3 группы сложности 4 разряд Ryobi_924</t>
  </si>
  <si>
    <t>Переход на оборот 6 разряд Ryobi_924</t>
  </si>
  <si>
    <t>Переход на оборот 4 разряд Ryobi_924</t>
  </si>
  <si>
    <t>Л.пр.</t>
  </si>
  <si>
    <t>1-20</t>
  </si>
  <si>
    <t>Т.Н. Вьялицына</t>
  </si>
  <si>
    <t>Т.Н. Шуплецова</t>
  </si>
  <si>
    <t>Печать на Komori_540</t>
  </si>
  <si>
    <t>Печать 1 группы сложности 6 разряд Komori_540</t>
  </si>
  <si>
    <t>Печать 1 группы сложности 4 разряд Komori_540</t>
  </si>
  <si>
    <t>Печать 2 группы сложности 6 разряд Komori_540</t>
  </si>
  <si>
    <t>Печать 2 группы сложности 4 разряд Komori_540</t>
  </si>
  <si>
    <t>Печать 3 группы сложности 6 разряд Komori_540</t>
  </si>
  <si>
    <t>Печать 3 группы сложности 4 разряд Komori_540</t>
  </si>
  <si>
    <t>Приладка 1 группы сложности 6 разряд Komori_540</t>
  </si>
  <si>
    <t>Приладка 1 группы сложности 4 разряд Komori_540</t>
  </si>
  <si>
    <t>Приладка 2 группы сложности 6 разряд Komori_540</t>
  </si>
  <si>
    <t>Приладка 2 группы сложности 4 разряд Komori_540</t>
  </si>
  <si>
    <t>Приладка 3 группы сложности 6 разряд Komori_540</t>
  </si>
  <si>
    <t>Приладка 3 группы сложности 4 разряд Komori_540</t>
  </si>
  <si>
    <t>Подготовка ВД резины с приладкой (выборочное лакирование) 6 разряд Komori_540</t>
  </si>
  <si>
    <t>Подготовка ВД резины с приладкой (выборочное лакирование) 4 разряд Komori_540</t>
  </si>
  <si>
    <t>Подготовка ВД резины с приладкой (сплошное лакирование) 6 разряд Komori_540</t>
  </si>
  <si>
    <t>Печать формат большой (60х90, 50х70), рельефный лак (Трафарет) 4 разряд</t>
  </si>
  <si>
    <t>Печать формат большой (60х90, 50х70), плоский лак (Трафарет) 4 разряд</t>
  </si>
  <si>
    <t>Печать формат средний, рельефный лак (Трафарет) 4 разряд</t>
  </si>
  <si>
    <t>Печать формат средний, плоский лак (Трафарет) 4 разряд</t>
  </si>
  <si>
    <t>Подготовка формы (Трафарет) 4 разряд</t>
  </si>
  <si>
    <t>Приладка, готовые изделия (Трафарет) 4 разряд</t>
  </si>
  <si>
    <t>Приладка с совмещением (Трафарет) 4 разряд</t>
  </si>
  <si>
    <t>Приладка одноцветная (Трафарет) 4 разряд</t>
  </si>
  <si>
    <t>Формат А4 CityLine</t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</si>
  <si>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</si>
  <si>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</si>
  <si>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</si>
  <si>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</si>
  <si>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</si>
  <si>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</si>
  <si>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</si>
  <si>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</si>
  <si>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</si>
  <si>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</si>
  <si>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</si>
  <si>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</si>
  <si>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</si>
  <si>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</si>
  <si>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</si>
  <si>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1 рулона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</si>
  <si>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</si>
  <si>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</si>
  <si>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2-х рулонов цветная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</si>
  <si>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</si>
  <si>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</si>
  <si>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</si>
  <si>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</si>
  <si>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</si>
  <si>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</t>
    </r>
    <r>
      <rPr>
        <b/>
        <sz val="10"/>
        <color indexed="8"/>
        <rFont val="Arial"/>
        <family val="2"/>
        <charset val="204"/>
      </rPr>
      <t xml:space="preserve"> 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</si>
  <si>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</si>
  <si>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А4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цветная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</si>
  <si>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</si>
  <si>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</si>
  <si>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А4 формат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</si>
  <si>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</si>
  <si>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</si>
  <si>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 с</t>
    </r>
    <r>
      <rPr>
        <b/>
        <sz val="10"/>
        <color indexed="8"/>
        <rFont val="Arial"/>
        <family val="2"/>
        <charset val="204"/>
      </rPr>
      <t xml:space="preserve"> 1 рулона чернобелая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</si>
  <si>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</si>
  <si>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</si>
  <si>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3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>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</si>
  <si>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</si>
  <si>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</si>
  <si>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чернобелая</t>
    </r>
    <r>
      <rPr>
        <sz val="10"/>
        <color indexed="8"/>
        <rFont val="Arial"/>
        <family val="2"/>
        <charset val="204"/>
      </rPr>
      <t xml:space="preserve"> </t>
    </r>
    <r>
      <rPr>
        <b/>
        <sz val="10"/>
        <color indexed="8"/>
        <rFont val="Arial"/>
        <family val="2"/>
        <charset val="204"/>
      </rPr>
      <t xml:space="preserve">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</si>
  <si>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</si>
  <si>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</si>
  <si>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4-х рулонов чернобелая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</si>
  <si>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</si>
  <si>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</si>
  <si>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1 рулона </t>
    </r>
    <r>
      <rPr>
        <b/>
        <sz val="10"/>
        <color indexed="8"/>
        <rFont val="Arial"/>
        <family val="2"/>
        <charset val="204"/>
      </rPr>
      <t>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</si>
  <si>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</si>
  <si>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</si>
  <si>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2-х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</si>
  <si>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</si>
  <si>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</si>
  <si>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>3-х рулонов цветная 3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</si>
  <si>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5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</si>
  <si>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4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</si>
  <si>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Печать </t>
    </r>
    <r>
      <rPr>
        <b/>
        <sz val="10"/>
        <color indexed="8"/>
        <rFont val="Arial"/>
        <family val="2"/>
        <charset val="204"/>
      </rPr>
      <t>А3</t>
    </r>
    <r>
      <rPr>
        <sz val="10"/>
        <color indexed="8"/>
        <rFont val="Arial"/>
        <family val="2"/>
        <charset val="204"/>
      </rPr>
      <t xml:space="preserve"> с </t>
    </r>
    <r>
      <rPr>
        <b/>
        <sz val="10"/>
        <color indexed="8"/>
        <rFont val="Arial"/>
        <family val="2"/>
        <charset val="204"/>
      </rPr>
      <t xml:space="preserve">4-х рулонов цветная 3 разряд </t>
    </r>
    <r>
      <rPr>
        <sz val="10"/>
        <color indexed="8"/>
        <rFont val="Arial"/>
        <family val="2"/>
        <charset val="204"/>
      </rPr>
      <t>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</si>
  <si>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5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</si>
  <si>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4 разряд</t>
    </r>
    <r>
      <rPr>
        <sz val="10"/>
        <color indexed="8"/>
        <rFont val="Arial"/>
        <family val="2"/>
        <charset val="204"/>
      </rPr>
      <t xml:space="preserve"> CityLine</t>
    </r>
  </si>
  <si>
    <r>
      <t xml:space="preserve">Приладка 1 формы </t>
    </r>
    <r>
      <rPr>
        <b/>
        <sz val="10"/>
        <color indexed="8"/>
        <rFont val="Arial"/>
        <family val="2"/>
        <charset val="204"/>
      </rPr>
      <t>А3 формат 3 разряд</t>
    </r>
    <r>
      <rPr>
        <sz val="10"/>
        <color indexed="8"/>
        <rFont val="Arial"/>
        <family val="2"/>
        <charset val="204"/>
      </rPr>
      <t xml:space="preserve"> CityLine</t>
    </r>
  </si>
  <si>
    <t>Резка, подрезка 4 разряд Перфекта</t>
  </si>
  <si>
    <t>час</t>
  </si>
  <si>
    <t>Резка газет с одной стороны 4 разряд Перфекта</t>
  </si>
  <si>
    <t>Смена ножа 4 разряд Перфекта</t>
  </si>
  <si>
    <t>Резка картона на полосы 3 разряд КР-3</t>
  </si>
  <si>
    <t>Установка ножей на формат 3 разряд КР-3</t>
  </si>
  <si>
    <t>Ламинирование с одной стороны до 50 см. 3 разряд Ламинатор ПМ-1М</t>
  </si>
  <si>
    <t xml:space="preserve"> Ламинатор ПМ-1М</t>
  </si>
  <si>
    <t>Ламинирование с одной стороны до 50 см. 2 разряд Ламинатор ПМ-1М</t>
  </si>
  <si>
    <t>Ламинирование с одной стороны 50-70 см. 3 разряд Ламинатор ПМ-1М</t>
  </si>
  <si>
    <t>Ламинирование с одной стороны 50-70 см. 2 разряд Ламинатор ПМ-1М</t>
  </si>
  <si>
    <t>Ламинирование с одной стороны 70-90 см. 3 разряд Ламинатор ПМ-1М</t>
  </si>
  <si>
    <t>Ламинирование с одной стороны 70-90 см. 2 разряд Ламинатор ПМ-1М</t>
  </si>
  <si>
    <r>
      <t xml:space="preserve">Ламинирование с одной стороны 70-90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3 разряд Ламинатор ПМ-1М</t>
    </r>
  </si>
  <si>
    <r>
      <t>Ламинирование с одной стороны 70-90 см.</t>
    </r>
    <r>
      <rPr>
        <b/>
        <sz val="11"/>
        <color indexed="8"/>
        <rFont val="Arial"/>
        <family val="2"/>
        <charset val="204"/>
      </rPr>
      <t xml:space="preserve"> на картоне</t>
    </r>
    <r>
      <rPr>
        <sz val="11"/>
        <color indexed="8"/>
        <rFont val="Arial"/>
        <family val="2"/>
        <charset val="204"/>
      </rPr>
      <t xml:space="preserve"> 2 разряд Ламинатор ПМ-1М</t>
    </r>
  </si>
  <si>
    <t>Ламинирование с одной стороны свыше 90 см. 3 разряд Ламинатор ПМ-1М</t>
  </si>
  <si>
    <t>Ламинирование с одной стороны свыше 90 см. 2 разряд Ламинатор ПМ-1М</t>
  </si>
  <si>
    <r>
      <t xml:space="preserve">Ламинирование с одной стороны свыше 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3 разряд Ламинатор ПМ-1М</t>
    </r>
  </si>
  <si>
    <r>
      <t xml:space="preserve">Ламинирование с одной стороны свыше 90 см. </t>
    </r>
    <r>
      <rPr>
        <b/>
        <sz val="11"/>
        <color indexed="8"/>
        <rFont val="Arial"/>
        <family val="2"/>
        <charset val="204"/>
      </rPr>
      <t>на картоне</t>
    </r>
    <r>
      <rPr>
        <sz val="11"/>
        <color indexed="8"/>
        <rFont val="Arial"/>
        <family val="2"/>
        <charset val="204"/>
      </rPr>
      <t xml:space="preserve"> 2 разряд  Ламинатор ПМ-1М</t>
    </r>
  </si>
  <si>
    <t>Замена 1 рулона 3 разряд  Ламинатор ПМ-1М</t>
  </si>
  <si>
    <t>Переход с заказа на заказ, с изменением формата продукции и пленки 3 разряд  Ламинатор ПМ-1М</t>
  </si>
  <si>
    <t>Пресс ZHTJ</t>
  </si>
  <si>
    <t>Тиснение по материалу, по картону 4 разряд Пресс ZHTJ</t>
  </si>
  <si>
    <t>Тиснение по переплетным крышкам 4 разряд Пресс ZHTJ</t>
  </si>
  <si>
    <t>Приклейка, установка 1 штампа 4 разряд Пресс ZHTJ</t>
  </si>
  <si>
    <t>Приладка (приклейка упоров, регулировка температуры и давления) 4 разряд Пресс ZHTJ</t>
  </si>
  <si>
    <t>Тиснение по материалу, по картону 4 разряд БПП-75</t>
  </si>
  <si>
    <t>БПП-75</t>
  </si>
  <si>
    <t>Тиснение по переплетным крышкам 4 разряд БПП-75</t>
  </si>
  <si>
    <t>Приклейка, установка 1 штампа 4 разряд БПП-75</t>
  </si>
  <si>
    <t>Приладка (приклейка упоров, регулировка температуры и давления) 4 разряд БПП-75</t>
  </si>
  <si>
    <t>Высечка этикеток по 20 листов, 3 разряд УПС</t>
  </si>
  <si>
    <t>Кругление двух углов 3 разряд (книги, брошюры, журналы) ЛСУ-65</t>
  </si>
  <si>
    <t>Кругление с ламинацией 3 разряд ЛСУ-65</t>
  </si>
  <si>
    <t>Кругление без ламинации 3 разряд, ЛСУ-65</t>
  </si>
  <si>
    <t>Биговка 1 биг 3 разряд (обложка, открытка и т.д) УПБ</t>
  </si>
  <si>
    <t>УПБ</t>
  </si>
  <si>
    <t>Вырубка А1 4 разряд МЛ-1040</t>
  </si>
  <si>
    <t>Вырубка А2 4 разряд МЛ-1040</t>
  </si>
  <si>
    <t>Вырубка А3 4 разряд МЛ-1040</t>
  </si>
  <si>
    <t>Вырубка А4 4 разряд МЛ-1040</t>
  </si>
  <si>
    <t>Приладка А1 4 разряд МЛ-1040</t>
  </si>
  <si>
    <t>Приладка А2 4 разряд МЛ-1040</t>
  </si>
  <si>
    <t>Приладка А3 4 разряд МЛ-1040</t>
  </si>
  <si>
    <t>Приладка А4 4 разряд МЛ-1040</t>
  </si>
  <si>
    <t>Высечка, перфорация, биговка 4 разряд ПТ-4</t>
  </si>
  <si>
    <t>Приладка А4 4 разряд ПТ-4</t>
  </si>
  <si>
    <t>Приладка А5 4 разряд ПТ-4</t>
  </si>
  <si>
    <t>Вырубка, картон 4 разряд STS-1050</t>
  </si>
  <si>
    <r>
      <t xml:space="preserve">Приладка </t>
    </r>
    <r>
      <rPr>
        <b/>
        <sz val="11"/>
        <color indexed="8"/>
        <rFont val="Arial"/>
        <family val="2"/>
        <charset val="204"/>
      </rPr>
      <t>новая</t>
    </r>
    <r>
      <rPr>
        <sz val="11"/>
        <color indexed="8"/>
        <rFont val="Arial"/>
        <family val="2"/>
        <charset val="204"/>
      </rPr>
      <t>, настройка 4 разряд STS-1050</t>
    </r>
  </si>
  <si>
    <t>мм</t>
  </si>
  <si>
    <r>
      <t xml:space="preserve">Приладка </t>
    </r>
    <r>
      <rPr>
        <b/>
        <sz val="11"/>
        <color indexed="8"/>
        <rFont val="Arial"/>
        <family val="2"/>
        <charset val="204"/>
      </rPr>
      <t>повторная</t>
    </r>
    <r>
      <rPr>
        <sz val="11"/>
        <color indexed="8"/>
        <rFont val="Arial"/>
        <family val="2"/>
        <charset val="204"/>
      </rPr>
      <t>, настройка 4 разряд STS-1050</t>
    </r>
  </si>
  <si>
    <t>Линия склейки МЛ-2П</t>
  </si>
  <si>
    <t>Приладка, настройка 3 разряд Линия склейки МЛ-2П</t>
  </si>
  <si>
    <t>Склейка 1 точка 4 разряд (ФСМ)</t>
  </si>
  <si>
    <t>м</t>
  </si>
  <si>
    <t>Склейка 1 точка 2 разряд (ФСМ)</t>
  </si>
  <si>
    <t>Приладка 1 точка, настройка, 4 разряд ФСМ</t>
  </si>
  <si>
    <t>Склейка 2 точка, 4 разряд (ФСМ)</t>
  </si>
  <si>
    <t xml:space="preserve">Склейка 2 точка, 2 разряд (ФСМ) </t>
  </si>
  <si>
    <t>Приладка 2 точка, настройка, 4 разряд (ФСМ)</t>
  </si>
  <si>
    <t>Склейка 3 точка, 4 разряд (ФСМ)</t>
  </si>
  <si>
    <t>Склейка 3 точка, 2 разряд (ФСМ)</t>
  </si>
  <si>
    <t>Приладка 3 точка, настройка, 4 разряд (ФСМ)</t>
  </si>
  <si>
    <t>Чистка, 4 разряд (ФСМ)</t>
  </si>
  <si>
    <r>
      <t xml:space="preserve">Фальцовка листов до 50 см. </t>
    </r>
    <r>
      <rPr>
        <b/>
        <sz val="11"/>
        <color indexed="8"/>
        <rFont val="Arial"/>
        <family val="2"/>
        <charset val="204"/>
      </rPr>
      <t xml:space="preserve">1-2 сгиба </t>
    </r>
    <r>
      <rPr>
        <sz val="11"/>
        <color indexed="8"/>
        <rFont val="Arial"/>
        <family val="2"/>
        <charset val="204"/>
      </rPr>
      <t>4 разряд Горизонт</t>
    </r>
  </si>
  <si>
    <r>
      <t xml:space="preserve">Фальцовка листов до 50 см. </t>
    </r>
    <r>
      <rPr>
        <b/>
        <sz val="11"/>
        <color indexed="8"/>
        <rFont val="Arial"/>
        <family val="2"/>
        <charset val="204"/>
      </rPr>
      <t xml:space="preserve">3 сгиба </t>
    </r>
    <r>
      <rPr>
        <sz val="11"/>
        <color indexed="8"/>
        <rFont val="Arial"/>
        <family val="2"/>
        <charset val="204"/>
      </rPr>
      <t>4 разряд (Горизонт)</t>
    </r>
  </si>
  <si>
    <t>Фальцовка листов 50-70 см. 4 разряд Горизонт</t>
  </si>
  <si>
    <t>Фальцовка листов 70-90 см. 4 разряд Горизонт</t>
  </si>
  <si>
    <r>
      <t xml:space="preserve">Фальцовка листов </t>
    </r>
    <r>
      <rPr>
        <b/>
        <sz val="11"/>
        <color indexed="8"/>
        <rFont val="Arial"/>
        <family val="2"/>
        <charset val="204"/>
      </rPr>
      <t>свыше</t>
    </r>
    <r>
      <rPr>
        <sz val="11"/>
        <color indexed="8"/>
        <rFont val="Arial"/>
        <family val="2"/>
        <charset val="204"/>
      </rPr>
      <t xml:space="preserve"> 90 см. 4 разрд Горизонт</t>
    </r>
  </si>
  <si>
    <t>Переход на другой формат с изменением числа сгибов 4 разряд Горизонт</t>
  </si>
  <si>
    <t>Фальцовка листов в 2 параллельных сгиба вручную 2 разряд</t>
  </si>
  <si>
    <t>Фальцовка листов в 3 параллельных сгиба вручную 2 разряд</t>
  </si>
  <si>
    <t>Фальцовка листов по несколько в 1 сгиб вручную 2 разряд</t>
  </si>
  <si>
    <t>Фальцовка листов по несколько в 1 сгиб с разбором вручную 2 разряд</t>
  </si>
  <si>
    <t>Фальцовка листов по одному в 1 сгиб с наводкой на текст вручную 2 разряд</t>
  </si>
  <si>
    <t>Фальцовка листов по одному в 2 сгиба с наводкой на текст вручную 2 разряд</t>
  </si>
  <si>
    <t>Фальцовка листов по одному в 3 сгиба с наводкой на текст вручную 2 разряд</t>
  </si>
  <si>
    <t>Счет и сколотка бюллетеней 100 листов с контролем качества 3 разряд (2-х листка, формат до А3)</t>
  </si>
  <si>
    <t>Счет и сколотка бюллетеней 100 листов с контролем качества 3 разряд (4-х листка, А2)</t>
  </si>
  <si>
    <t>Счет и сколотка бюллетеней 100 листов с контролем качества 3 разряд (4-х листка, А1)</t>
  </si>
  <si>
    <t>Приклейка форзаца 3 разряд ТП-320</t>
  </si>
  <si>
    <t>Настройка 3 разряд ТП-320</t>
  </si>
  <si>
    <t>Чистка 3 разряд ТП-320</t>
  </si>
  <si>
    <t>Nadel Citoborma 290B (Сверлильная машина)</t>
  </si>
  <si>
    <t>Сверление без ламинации 3 разряд Nadel Citoborma 290B</t>
  </si>
  <si>
    <t>Nadel Citoborma 290B</t>
  </si>
  <si>
    <t>Сверление с ламинацией 3 разряд Nadel Citoborma 290B</t>
  </si>
  <si>
    <t>Сложное сверление 3 разряд Nadel Citoborma 290B</t>
  </si>
  <si>
    <t>Настройка сверления, чистка 3 разряд Nadel Citoborma 290B</t>
  </si>
  <si>
    <t>Приклейка форзаца вручную к книгам большого, среднего формата и объема 2 разряд</t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</si>
  <si>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до 6 тетрадей</t>
    </r>
    <r>
      <rPr>
        <sz val="11"/>
        <color indexed="8"/>
        <rFont val="Arial"/>
        <family val="2"/>
        <charset val="204"/>
      </rPr>
      <t xml:space="preserve"> 4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</si>
  <si>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до 6 тетрадей</t>
    </r>
    <r>
      <rPr>
        <sz val="11"/>
        <color indexed="8"/>
        <rFont val="Arial"/>
        <family val="2"/>
        <charset val="204"/>
      </rPr>
      <t xml:space="preserve"> 2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</si>
  <si>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свыше 6 тетрадей</t>
    </r>
    <r>
      <rPr>
        <sz val="11"/>
        <color indexed="8"/>
        <rFont val="Arial"/>
        <family val="2"/>
        <charset val="204"/>
      </rPr>
      <t xml:space="preserve"> 4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</si>
  <si>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большого формата (170*240 и выше) и объема свыше 6 тетрадей</t>
    </r>
    <r>
      <rPr>
        <sz val="11"/>
        <color indexed="8"/>
        <rFont val="Arial"/>
        <family val="2"/>
        <charset val="204"/>
      </rPr>
      <t xml:space="preserve"> 2 разряд ЛП 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</si>
  <si>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до 6 тетрадей</t>
    </r>
    <r>
      <rPr>
        <sz val="11"/>
        <color indexed="8"/>
        <rFont val="Arial"/>
        <family val="2"/>
        <charset val="204"/>
      </rPr>
      <t xml:space="preserve"> 4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</si>
  <si>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до 6 тетрадей</t>
    </r>
    <r>
      <rPr>
        <sz val="11"/>
        <color indexed="8"/>
        <rFont val="Arial"/>
        <family val="2"/>
        <charset val="204"/>
      </rPr>
      <t xml:space="preserve"> 2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</si>
  <si>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свыше 6 тетрадей</t>
    </r>
    <r>
      <rPr>
        <sz val="11"/>
        <color indexed="8"/>
        <rFont val="Arial"/>
        <family val="2"/>
        <charset val="204"/>
      </rPr>
      <t xml:space="preserve"> 4 разряд ЛП</t>
    </r>
  </si>
  <si>
    <r>
      <t xml:space="preserve">Комплектовка блоков </t>
    </r>
    <r>
      <rPr>
        <b/>
        <sz val="11"/>
        <color indexed="8"/>
        <rFont val="Arial"/>
        <family val="2"/>
        <charset val="204"/>
      </rPr>
      <t>среднего формата (менее 170*240) и объема свыше 6 тетрадей</t>
    </r>
    <r>
      <rPr>
        <sz val="11"/>
        <color indexed="8"/>
        <rFont val="Arial"/>
        <family val="2"/>
        <charset val="204"/>
      </rPr>
      <t xml:space="preserve"> 2 разряд ЛП</t>
    </r>
  </si>
  <si>
    <t>Переход на другой формат с изменением формата и объема 4 разряд ЛП</t>
  </si>
  <si>
    <t>Вклейка листа в середину листа вручную 2 разряд</t>
  </si>
  <si>
    <t>Комплектовка вкладкой тетрадей в обложку вручную (1 операция) 2 разряд</t>
  </si>
  <si>
    <t>Вкладка газет А4 2 разряд</t>
  </si>
  <si>
    <t>А4</t>
  </si>
  <si>
    <t>Вкладка газет А3 2 разряд</t>
  </si>
  <si>
    <t>А3</t>
  </si>
  <si>
    <t>Вкладка в многостраничные издания дополнительных частей 2 разряд</t>
  </si>
  <si>
    <t>Комплектовка подборкой вручную 2 разряд</t>
  </si>
  <si>
    <t>Соединение блока вручную 2 разряд</t>
  </si>
  <si>
    <t>Соединение книжных блоков большого формата и объема вручную, (формат большой 170*240 и выше) 2 разряд</t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</si>
  <si>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</si>
  <si>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</si>
  <si>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свыше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</si>
  <si>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свыше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средний</t>
    </r>
    <r>
      <rPr>
        <sz val="11"/>
        <color indexed="8"/>
        <rFont val="Arial"/>
        <family val="2"/>
        <charset val="204"/>
      </rPr>
      <t xml:space="preserve"> менее 170*240)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</si>
  <si>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</si>
  <si>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 xml:space="preserve">до 3 тетрадей </t>
    </r>
    <r>
      <rPr>
        <sz val="11"/>
        <color indexed="8"/>
        <rFont val="Arial"/>
        <family val="2"/>
        <charset val="204"/>
      </rPr>
      <t xml:space="preserve">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2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</si>
  <si>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>свыше 3 тетрадей</t>
    </r>
    <r>
      <rPr>
        <sz val="11"/>
        <color indexed="8"/>
        <rFont val="Arial"/>
        <family val="2"/>
        <charset val="204"/>
      </rPr>
      <t xml:space="preserve"> 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4 разряд ВШРА Martini</t>
    </r>
  </si>
  <si>
    <r>
      <t xml:space="preserve">Комплектовка, шитье и обрезка брошюр и журналов </t>
    </r>
    <r>
      <rPr>
        <b/>
        <sz val="11"/>
        <color indexed="8"/>
        <rFont val="Arial"/>
        <family val="2"/>
        <charset val="204"/>
      </rPr>
      <t>свыше 3 тетрадей</t>
    </r>
    <r>
      <rPr>
        <sz val="11"/>
        <color indexed="8"/>
        <rFont val="Arial"/>
        <family val="2"/>
        <charset val="204"/>
      </rPr>
      <t xml:space="preserve"> (формат </t>
    </r>
    <r>
      <rPr>
        <b/>
        <sz val="11"/>
        <color indexed="8"/>
        <rFont val="Arial"/>
        <family val="2"/>
        <charset val="204"/>
      </rPr>
      <t>большой</t>
    </r>
    <r>
      <rPr>
        <sz val="11"/>
        <color indexed="8"/>
        <rFont val="Arial"/>
        <family val="2"/>
        <charset val="204"/>
      </rPr>
      <t xml:space="preserve"> 170*240 и выше) 2 разряд ВШРА Martini</t>
    </r>
  </si>
  <si>
    <t>Настройка швейной секции, (на сколько скрепок шьем) 4 разряд ВШРА Martini</t>
  </si>
  <si>
    <t>Настройка триммера и приемки 4 разряд ВШРА Martini</t>
  </si>
  <si>
    <t>Настройка одной секции 4 разряд ВШРА Martini</t>
  </si>
  <si>
    <t>Шитье и обрезка брошюр и журналов без шлейфа при ручном накладе 4 разряд ВШРА РОЗБЭК-203</t>
  </si>
  <si>
    <t>ВШРА Розбэк-203</t>
  </si>
  <si>
    <t>Шитье и обрезка брошюр и журналов без шлейфа при ручном накладе 2 разряд ВШРА РОЗБЭК-203</t>
  </si>
  <si>
    <t>Переход с заказа на заказ с изменением формата и объема 4 разряд ВШРА РОЗБЭК-203</t>
  </si>
  <si>
    <t>Шитье блоков со срезкой и укладкой их на платформу большого формата и объема (формат А4, альбомный) 4 разряд БНШ</t>
  </si>
  <si>
    <t>Шитье блоков со срезкой и укладкой их на платформу среднего формата и объема 4 разряд БНШ</t>
  </si>
  <si>
    <t>Смена формата 4 разряд БНШ</t>
  </si>
  <si>
    <t>КДМ-500</t>
  </si>
  <si>
    <t>Гофроагрегат</t>
  </si>
  <si>
    <t>пог.м</t>
  </si>
  <si>
    <t>Автоматическая кашировальная машина (АКМ) YB-E 1450</t>
  </si>
  <si>
    <t>АКМ YB-E 1450</t>
  </si>
  <si>
    <r>
      <t xml:space="preserve">Крытье обыкновенное брошюр обложкой </t>
    </r>
    <r>
      <rPr>
        <b/>
        <sz val="11"/>
        <color indexed="8"/>
        <rFont val="Arial"/>
        <family val="2"/>
        <charset val="204"/>
      </rPr>
      <t>(формат большой 170*240 и выше)</t>
    </r>
    <r>
      <rPr>
        <sz val="11"/>
        <color indexed="8"/>
        <rFont val="Arial"/>
        <family val="2"/>
        <charset val="204"/>
      </rPr>
      <t xml:space="preserve"> 4 разряд Bourg Binder 3001</t>
    </r>
  </si>
  <si>
    <r>
      <t xml:space="preserve">Крытье обыкновенное брошюр обложкой </t>
    </r>
    <r>
      <rPr>
        <b/>
        <sz val="11"/>
        <color indexed="8"/>
        <rFont val="Arial"/>
        <family val="2"/>
        <charset val="204"/>
      </rPr>
      <t>(формат средний менее 170*240)</t>
    </r>
    <r>
      <rPr>
        <sz val="11"/>
        <color indexed="8"/>
        <rFont val="Arial"/>
        <family val="2"/>
        <charset val="204"/>
      </rPr>
      <t xml:space="preserve"> 4 разряд Bourg Binder 3001</t>
    </r>
  </si>
  <si>
    <t>Изменение формата и объема 4разряд Bourg Binder 3001</t>
  </si>
  <si>
    <t>Крытье обыкновенное брошюр обложкой, Quickbinder  (формат большой 170*240 и выше)</t>
  </si>
  <si>
    <t>Крытье обыкновенное брошюр обложкой (формат большой 170*240 и выше) 4 разряд Quickbinder</t>
  </si>
  <si>
    <t>Крытье обыкновенное брошюр обложкой (формат большой 170*240 и выше) 2 разряд Quickbinder</t>
  </si>
  <si>
    <t>Крытье обыкновенное брошюр обложкой (формат средний менее 170*240) 4 разряд Quickbinder</t>
  </si>
  <si>
    <t>Крытье обыкновенное брошюр обложкой (формат средний менее 170*240) 2 разряд Quickbinder</t>
  </si>
  <si>
    <t>Подготовка машины 4 разряд Quickbinder</t>
  </si>
  <si>
    <t>Настройка, переход с заказа на каказ с изменение формата и объема 4 разряд Quickbinder</t>
  </si>
  <si>
    <t>Чистка 4 разряд Quickbinder</t>
  </si>
  <si>
    <t>Обрезка книг QS- 420 (большой)</t>
  </si>
  <si>
    <t>Обрезка книжных блоков большого формата 4 разряд QS-420</t>
  </si>
  <si>
    <t>Обрезка книжных блоков большого формата 2 разряд QS-420</t>
  </si>
  <si>
    <t>Обрезка книжных блоков средний формат 4 разряд QS-420</t>
  </si>
  <si>
    <t>Обрезка книжных блоков средний формат 2 разряд QS-420</t>
  </si>
  <si>
    <t>Подготовка башмака, марзанов (нестанд.форматы) 4 разряд QS-420</t>
  </si>
  <si>
    <t>Смена формата 4 разряд, (QS-420)</t>
  </si>
  <si>
    <t>Замена, правка и точка ножей 4 разряд QS-420</t>
  </si>
  <si>
    <t>Комплексное изготовление календарей "Домик" 3 разряд</t>
  </si>
  <si>
    <t>Комплексное изготовление календарей "ТРИО" 3 разряд</t>
  </si>
  <si>
    <t>Комплексное изготовление настенных календарей (1 пружина) 3 разряд</t>
  </si>
  <si>
    <t>Комплекс сборки ПАКЕТОВ (1 часть) 2 разряд</t>
  </si>
  <si>
    <t>Комплекс сборки ПАКЕТОВ (2 части) 2 разряд</t>
  </si>
  <si>
    <t>Изготовление каталога на пружинках, до 100 страниц 3 разряд</t>
  </si>
  <si>
    <t>Комплексное изготовление блокнотов на пружинках 3 разряд</t>
  </si>
  <si>
    <t>Комплексное изготовление книг в обрезном  переплете № 1 2 разряд</t>
  </si>
  <si>
    <t>Комплексное изготовление переплета № 5  без заготовок 2 разряд</t>
  </si>
  <si>
    <t>Обработка книжного блока, до 10 тетр., большой формат (заклейка корешка, обжим блоков) 3 разряд</t>
  </si>
  <si>
    <t>Вставка блока в крышку вручную, до 10 тетр., большой формат 3 разряд</t>
  </si>
  <si>
    <t>Вставка блока в крышку вручную, до 10 тетр., большой формат 2 разряд</t>
  </si>
  <si>
    <t>Контроль книг в переплетной крышке, до 10 тетр., большой формат 2 разряд</t>
  </si>
  <si>
    <t>Составление крышек вручную, до 10 тетр., большой формат 3 разряд</t>
  </si>
  <si>
    <t>Штриховка рубчика, до 10 тетр., большой формат 2 разряд</t>
  </si>
  <si>
    <t>Обработка книжного блока, от 10 до 20 тетр., большой формат (заклейка корешка, обжим блоков) 3 разряд</t>
  </si>
  <si>
    <t>Вставка блока в крышку вручную, от 10 до 20 тетр., большой формат 3 разряд</t>
  </si>
  <si>
    <t>Вставка блока в крышку вручную, от 10 до 20 тетр., большой формат 2 разряд</t>
  </si>
  <si>
    <t>Контроль книг в переплетной крышке, от 10 до 20 тетр., большой формат 2 разряд</t>
  </si>
  <si>
    <t>Составление крышек  вручную, от 10 до 20 тетр., большой формат 3 разряд</t>
  </si>
  <si>
    <t>Штриховка рубчика, от 10 до 20 тетр., большой формат 2 разряд</t>
  </si>
  <si>
    <t>Обработка книжного блока, от 20 до 30 тетр., большой формат (заклейка корешка, обжим блоков) 3 разряд</t>
  </si>
  <si>
    <t>Вставка блока в крышку вручную, от 20 до 30 тетр., большой формат 3 разряд</t>
  </si>
  <si>
    <t>Контроль книг в переплетной крышке, от 20 до 30 тетр., большой формат 2 разряд</t>
  </si>
  <si>
    <t>Составление крышек вручную, от 20 до 30 тетр., большой формат 3 разряд</t>
  </si>
  <si>
    <t>Штриховка рубчика, от 20 до 30 тетр., большой формат 2 разряд</t>
  </si>
  <si>
    <t>Обработка книжного блока, от 30 до 40 тетр., большой формат (заклейка корешка, обжим блоков) 3 разряд</t>
  </si>
  <si>
    <t>Вставка блока в крышку вручную, от 30 до 40 тетр., большой формат 3 разряд</t>
  </si>
  <si>
    <t>Вставка блока в крышку вручную, от 30 до 40 тетр., большой формат 2 разряд</t>
  </si>
  <si>
    <t>Контроль книг в переплетной крышке, от 30 до 40 тетр., большой формат 2 разряд</t>
  </si>
  <si>
    <t>Составление крышек вручную, от 30 до 40 тетр., большой формат 3 разряд</t>
  </si>
  <si>
    <t>Штриховка рубчика, от 30 до 40 тетр., большой формат 2 разряд</t>
  </si>
  <si>
    <t>Обработка книжного блока, свыше 40 тетр., большой формат (заклейка корешка, обжим блоков) 3 разряд</t>
  </si>
  <si>
    <t>Вставка блока в крышку вручную, свыше 40 тетр., большой формат 3 разряд</t>
  </si>
  <si>
    <t>Вставка блока в крышку вручную, свыше 40 тетр., большой формат 2 разряд</t>
  </si>
  <si>
    <t>Контроль книг в переплетной крышке, свыше 40 тетр., большой формат 2 разряд</t>
  </si>
  <si>
    <t>Составление крышек вручную, свыше 40 тетр., большой формат 3 разряд</t>
  </si>
  <si>
    <t>Штриховка рубчика, свыше 40 тетр., большой формат 2 разряд</t>
  </si>
  <si>
    <t>Обработка книжного блока, до 10 тетр., средний формат (заклейка корешка, обжим блоков) 3 разряд</t>
  </si>
  <si>
    <t>Вставка блока в крышку вручную, до 10 тетр., средний формат 3 разряд</t>
  </si>
  <si>
    <t>Вставка блока в крышку вручную, до 10 тетр., средний формат 2 разряд</t>
  </si>
  <si>
    <t>Контроль книг в переплетной крышке, до 10 тетр., средний формат 2 разряд</t>
  </si>
  <si>
    <t>Составление крышек вручную, до 10 тетр., средний формат 3 разряд</t>
  </si>
  <si>
    <t>Штриховка рубчика, до 10 тетр., средний формат 2 разряд</t>
  </si>
  <si>
    <t>Обработка книжного блока, от 10 до 20 тетр., средний формат (заклейка корешка, обжим блоков) 3 разряд</t>
  </si>
  <si>
    <t>Вставка блока в крышку вручную, от 10 до 20 тетр., средний формат 3 разряд</t>
  </si>
  <si>
    <t>Вставка блока в крышку вручную, от 10 до 20 тетр., средний формат 2 разряд</t>
  </si>
  <si>
    <t>Контроль книг в переплетной крышке, от 10 до 20 тетр., средний формат 2 разряд</t>
  </si>
  <si>
    <t>Составление крышек вручную, от 10 до 20 тетр., средний формат 3 разряд</t>
  </si>
  <si>
    <t>Штриховка рубчика, от 10 до 20 тетр., средний формат 2 разряд</t>
  </si>
  <si>
    <t>Обработка книжного блока, от 20 до 30 тетр., средний формат (заклейка корешка, обжим блоков) 3 разряд</t>
  </si>
  <si>
    <t>Вставка блока в крышку вручную, от 20 до 30 тетр., средний формат 3 разряд</t>
  </si>
  <si>
    <t>Вставка блока в крышку вручную, от 20 до 30 тетр., средний формат 2 разряд</t>
  </si>
  <si>
    <t>Контроль книг в переплетной крышке, от 20 до 30 тетр., средний формат 2 разряд</t>
  </si>
  <si>
    <t>Составление крышек вручную, от 20 до 30 тетр., средний формат 3 разряд</t>
  </si>
  <si>
    <t>Штриховка рубчика, от 20 до 30 тетр., средний формат 2 разряд</t>
  </si>
  <si>
    <t>Обработка книжного блока, от 30 до 40 тетр., средний формат (заклейка корешка, обжим блоков) 3 разряд</t>
  </si>
  <si>
    <t>Вставка блока в крышку вручную, от 30 до 40 тетр., средний формат 3 разряд</t>
  </si>
  <si>
    <t>Вставка блока в крышку вручную, от 30 до 40 тетр., средний формат 2 разряд</t>
  </si>
  <si>
    <t>Контроль книг в переплетной крышке, от 30 до 40 тетр., средний формат 2 разряд</t>
  </si>
  <si>
    <t>Составление крышек вручную, от 30 до 40 тетр., средний формат 3 разряд</t>
  </si>
  <si>
    <t>Штриховка рубчика, от 30 до 40 тетр., средний формат 2 разряд</t>
  </si>
  <si>
    <t>Обработка книжного блока, свыше 40 тетр., средний формат (заклейка корешка, обжим блоков) 3 разряд</t>
  </si>
  <si>
    <t>Вставка блока в крышку вручную, свыше 40 тетр., средний формат 3 разряд</t>
  </si>
  <si>
    <t>Вставка блока в крышку вручную, свыше 40 тетр., средний формат 2 разряд</t>
  </si>
  <si>
    <t>Контроль книг в переплетной крышке, свыше 40 тетр., средний формат 2 разряд</t>
  </si>
  <si>
    <t>Составление крышек вручную, свыше  40 тетр., средний формат 3 разряд</t>
  </si>
  <si>
    <t>Штриховка рубчика, свыше 40 тетр., средний формат 2 разряд</t>
  </si>
  <si>
    <t>Кругление корешка книжной крышки 2 разряд</t>
  </si>
  <si>
    <t>Приклейка клапанов 2 разряд</t>
  </si>
  <si>
    <t>Приклейка каптала, большой формат</t>
  </si>
  <si>
    <t>Приклейка каптала, до 10 тетр., большой формат 2 разряд</t>
  </si>
  <si>
    <t>Приклейка каптала, от 10 до 20 тетр., большой формат 2 разряд</t>
  </si>
  <si>
    <t>большой, от 10 до 20 тетр.</t>
  </si>
  <si>
    <t>Приклейка каптала, от 20 до 30 тетр., большой формат 2 разряд</t>
  </si>
  <si>
    <t>большой, от 20 до 30 тетр.</t>
  </si>
  <si>
    <t>Приклейка каптала, от 30 до 40 тетр., большой формат 2 разряд</t>
  </si>
  <si>
    <t>большой, от 30 до 40 тетр.</t>
  </si>
  <si>
    <t>Приклейка каптала, свыше 40 тетр., большой формат 2 разряд</t>
  </si>
  <si>
    <t>большой, свыше 40 тетр.</t>
  </si>
  <si>
    <t>Приклейка каптала, средний формат</t>
  </si>
  <si>
    <t>Приклейка каптала, до 10 тетр., средний формат 2 разряд</t>
  </si>
  <si>
    <t>Приклейка каптала, от 10 до 20 тетр., средний формат 2 разряд</t>
  </si>
  <si>
    <t>средний, от 10 до 20 тетр.</t>
  </si>
  <si>
    <t>Приклейка каптала, от 20 до 30 тетр., средний формат 2 разряд</t>
  </si>
  <si>
    <t>средний, от 20 до 30 тетр.</t>
  </si>
  <si>
    <t>Приклейка каптала, от 30 до 40 тетр., средний формат 2 разряд</t>
  </si>
  <si>
    <t>средний, от 30 до 40 тетр.</t>
  </si>
  <si>
    <t>Приклейка каптала, свыше 40 тетр., средний формат 2 разряд</t>
  </si>
  <si>
    <t>средний, свыше 40 тетр.</t>
  </si>
  <si>
    <t>Окантовка книжных блоков, большой формат</t>
  </si>
  <si>
    <t>Окантовка книжных блоков, до 10 тетр., большой формат 2 разряд</t>
  </si>
  <si>
    <t>Окантовка книжных блоков, от 10 до 20 тетр., большой формат 2 разряд</t>
  </si>
  <si>
    <t>Окантовка книжных блоков, от 20 до 30 тетр., большой формат 2 разряд</t>
  </si>
  <si>
    <t>Окантовка книжных блоков, от 30 до 40 тетр., большой формат 2 разряд</t>
  </si>
  <si>
    <t>Окантовка книжных блоков, свыше 40 тетр., большой формат 2 разряд</t>
  </si>
  <si>
    <t>Окантовка книжных блоков, средний формат</t>
  </si>
  <si>
    <t>Окантовка книжных блоков, до 10 тетр., средний формат 2 разряд</t>
  </si>
  <si>
    <t>Окантовка книжных блоков, от 10 до 20 тетр., средний формат 2 разряд</t>
  </si>
  <si>
    <t>Окантовка книжных блоков, от 20 до 30 тетр., средний формат 2 разряд</t>
  </si>
  <si>
    <t>Окантовка книжных блоков, от 30 до 40 тетр., средний формат 2 разряд</t>
  </si>
  <si>
    <t>Окантовка книжных блоков, свыше 40 тетр., средний формат 2 разряд</t>
  </si>
  <si>
    <t>Кругление корешка книжного блока, большой формат</t>
  </si>
  <si>
    <t>Кругление корешка книжного блока, средний формат</t>
  </si>
  <si>
    <t>Комплексное изготовление жестких и мягких папок с гребешками</t>
  </si>
  <si>
    <t>Составление жестких крышек с прямыми углами с выклейкой средника на папки, мазка 2 разряд</t>
  </si>
  <si>
    <t>Выклейка 2-ух сторонок на папки, мазка 2 разряд</t>
  </si>
  <si>
    <t>Закрытие папок 2 разряд</t>
  </si>
  <si>
    <t>Изготовление гребешков для папок, мазка 2 разряд</t>
  </si>
  <si>
    <t>Подрезка гребешков к папкам 2 разряд</t>
  </si>
  <si>
    <t>Приклейка гребешков к папкам, мазка 2 разряд</t>
  </si>
  <si>
    <t>Изготовление шпигелей, мазка 2 разряд</t>
  </si>
  <si>
    <t>Перекладка шпигелей бумагой 2 разряд</t>
  </si>
  <si>
    <t>Приклейка ленточки к шпигелю 2 разряд</t>
  </si>
  <si>
    <t>Приклейка шпигелей к крышке 2 разряд</t>
  </si>
  <si>
    <t>Составление крышек с прямыми углами из бумвинила на удостоверения и свидетельства, мазка 2 разряд</t>
  </si>
  <si>
    <t>Выклейка 2-ух сторонок крышек на удостоверения и свидетельства, мазка 2 разряд</t>
  </si>
  <si>
    <t>Выклейка средника крышек на удостоверения и свидетельства, мазка 2 разряд</t>
  </si>
  <si>
    <t>Заклейка листов после разрезки 2 разряд</t>
  </si>
  <si>
    <t>Изготовление квитанционной брошюры 2 разряд</t>
  </si>
  <si>
    <t>Изготовление квитанционных книг  с шитьем без подборки (А4 100 листов) 2 разряд</t>
  </si>
  <si>
    <t>Комплексное изготовление квитанционных книг с нумерацией, с подборкой и шитьем (100 листов) 2 разряд</t>
  </si>
  <si>
    <t>Комплексное изготовление квитанционных книг с нумерацией, с подборкой и шитьем (75 листов) 2 разряд</t>
  </si>
  <si>
    <t>Разъединение (разрыв) блоков ножом после заклейки 2 разряд</t>
  </si>
  <si>
    <t>пач</t>
  </si>
  <si>
    <t>Упаковка газет кругом в бумагу 1 разряд TP-601D</t>
  </si>
  <si>
    <t>ТР-601D</t>
  </si>
  <si>
    <t>Упаковка вручную</t>
  </si>
  <si>
    <t>Удаление облоя 2 разряд</t>
  </si>
  <si>
    <t>Дополнительные (нетарифицируемые) работы 1 разряд</t>
  </si>
  <si>
    <t>Дополнительные (нетарифицируемые) работы 2 разряд</t>
  </si>
  <si>
    <t>Сколотка листов (формат более А1, св. 200гр. )</t>
  </si>
  <si>
    <t>Сколотка листов (формат А1, св. 200гр. )</t>
  </si>
  <si>
    <t>Сколотка листов (формат А2, св. 200гр. )</t>
  </si>
  <si>
    <t>Сколотка листов (формат А3, св. 200гр. )</t>
  </si>
  <si>
    <t>Обрезка книжных блоков большого формата (свыше 220х290мм) или большого объема (отстав свыше 15мм) 4 разряд QS-420</t>
  </si>
  <si>
    <t>Обрезка книжных блоков большого формата (свыше 220х290мм) или большого объема (отстав свыше 15мм) 2 разряд QS-420</t>
  </si>
  <si>
    <t>Нумерация PS-7</t>
  </si>
  <si>
    <t>Нумерация на PS-7, 3 разряд</t>
  </si>
  <si>
    <t>PS-7</t>
  </si>
  <si>
    <t>Настройка нумерации на PS-7, 3 разряд</t>
  </si>
  <si>
    <t>Кругление корешка книжного блока, до 10 тетр., большой формат 3 разряд</t>
  </si>
  <si>
    <t>Кругление корешка книжного блока, от 10 до 20 тетр., большой формат 3 разряд</t>
  </si>
  <si>
    <t>Кругление корешка книжного блока, от 20 до 30 тетр., большой формат 3 разряд</t>
  </si>
  <si>
    <t>Кругление корешка книжного блока, от 30 до 40 тетр., большой формат 3 разряд</t>
  </si>
  <si>
    <t>Кругление корешка книжного блока, свыше 40 тетр., большой формат 3 разряд</t>
  </si>
  <si>
    <t>Кругление корешка книжного блока, до 10 тетр., средний формат 3 разряд</t>
  </si>
  <si>
    <t>Кругление корешка книжного блока, от 10 до 20 тетр., средний формат 3 разряд</t>
  </si>
  <si>
    <t>Кругление корешка книжного блока, от 20 до 30 тетр., средний формат 3 разряд</t>
  </si>
  <si>
    <t>Кругление корешка книжного блока, от 30 до 40 тетр., средний формат 3 разряд</t>
  </si>
  <si>
    <t>Кругление корешка книжного блока, свыше 40 тетр., средний формат 3 разряд</t>
  </si>
  <si>
    <t>Вырубка, гофрокартон 4 разряд STS-1050</t>
  </si>
  <si>
    <t>Изготовление микрогофрокартона, 5 разряд Гофроагрегат</t>
  </si>
  <si>
    <t>Изготовление микрогофрокартона, 4 разряд Гофроагрегат</t>
  </si>
  <si>
    <t>Настройка гофроагрегата, 5 разряд Гофроагрегат</t>
  </si>
  <si>
    <t>Смена формата, 5 разряд Гофроагрегат</t>
  </si>
  <si>
    <t>Кашировка микрогофрокартона, 5 разряд (АКМ) YB-E 1450</t>
  </si>
  <si>
    <t xml:space="preserve">Кашировка микрогофрокартона, 4 разряд (АКМ) YB-E 1450 </t>
  </si>
  <si>
    <t>Настройка машины, 5 разряд (АКМ) YB-E 1450</t>
  </si>
  <si>
    <t>Приклейка каптала и ляссе, большой формат</t>
  </si>
  <si>
    <t>Приклейка каптала и ляссе, до 10 тетр., большой формат 2 разряд</t>
  </si>
  <si>
    <t>Приклейкакаптала и ляссе, от 10 до 20 тетр., большой формат 2 разряд</t>
  </si>
  <si>
    <t>Приклейка каптала и ляссе, от 20 до 30 тетр., большой формат 2 разряд</t>
  </si>
  <si>
    <t>Приклейка каптала и ляссе, от 30 до 40 тетр., большой формат 2 разряд</t>
  </si>
  <si>
    <t>Приклейка каптала и ляссе, свыше 40 тетр., большой формат 2 разряд</t>
  </si>
  <si>
    <t>Приклейка каптала и ляссе, средний формат</t>
  </si>
  <si>
    <t>Приклейка каптала и ляссе, до 10 тетр., средний формат 2 разряд</t>
  </si>
  <si>
    <t>Приклейка каптала и ляссе, от 10 до 20 тетр., средний формат 2 разряд</t>
  </si>
  <si>
    <t>Приклейка каптала и ляссе, от 20 до 30 тетр., средний формат 2 разряд</t>
  </si>
  <si>
    <t>Приклейка каптала и ляссе, от 30 до 40 тетр., средний формат 2 разряд</t>
  </si>
  <si>
    <t>Приклейка каптала и ляссе, свыше 40 тетр., средний формат 2 разряд</t>
  </si>
  <si>
    <t>О.А. Коврова</t>
  </si>
  <si>
    <t>Печатный</t>
  </si>
  <si>
    <t>Переплетный</t>
  </si>
  <si>
    <t>Цифра</t>
  </si>
  <si>
    <t>Подготовка</t>
  </si>
  <si>
    <t>Участок</t>
  </si>
  <si>
    <t>Газетный</t>
  </si>
  <si>
    <t>Гофропроизводство</t>
  </si>
  <si>
    <t>Листоподбока COLL</t>
  </si>
  <si>
    <t>Листоподборка, 4 разряд, COLL</t>
  </si>
  <si>
    <t>COLL</t>
  </si>
  <si>
    <t>Приладка, настройка листоподборки, 4 разряд, COLL</t>
  </si>
  <si>
    <t>Листоподборка, DUPLO</t>
  </si>
  <si>
    <t>Подборка листов, 3 разряд, Duplo</t>
  </si>
  <si>
    <t>Duplo</t>
  </si>
  <si>
    <t>Настройка листоподборки, 3 разряд, Duplo</t>
  </si>
  <si>
    <t>Склейка 1 точка гофрокартон до А4, 3 разряд, Линия склейки МЛ-2П</t>
  </si>
  <si>
    <t>Линия склейки МЛ-2П до А4 гофрокартон</t>
  </si>
  <si>
    <t>Склейка 1 точка гофрокартон до А4, 2 разряд, Линия склейки МЛ-2П</t>
  </si>
  <si>
    <t>Склейка 1 точка гофрокартон до А3, 3 разряд, Линия склейки МЛ-2П</t>
  </si>
  <si>
    <t>Линия склейки МЛ-2П до А3 гофрокартон</t>
  </si>
  <si>
    <t>Склейка 1 точка гофрокартон до А3, 2 разряд, Линия склейки МЛ-2П</t>
  </si>
  <si>
    <t>Склейка 1 точка гофрокартон до А2, 3 разряд, Линия склейки МЛ-2П</t>
  </si>
  <si>
    <t>Линия склейки МЛ-2П до А2 гофрокартон</t>
  </si>
  <si>
    <t>Склейка 1 точка гофрокартон до А2, 2 разряд, Линия склейки МЛ-2П</t>
  </si>
  <si>
    <t>Склейка 1 точка картон до А4, 3 разряд, Линия склейки МЛ-2П</t>
  </si>
  <si>
    <t>Линия склейки МЛ-2П до А4 картон</t>
  </si>
  <si>
    <t>Склейка 1 точка картон до А4, 2 разряд, Линия склейки МЛ-2П</t>
  </si>
  <si>
    <t>Склейка 1 точка картон до А3, 3 разряд, Линия склейки МЛ-2П</t>
  </si>
  <si>
    <t>Линия склейки МЛ-2П до А3 картон</t>
  </si>
  <si>
    <t>Склейка 1 точка картон до А3, 2 разряд, Линия склейки МЛ-2П</t>
  </si>
  <si>
    <t>Склейка 1 точка картон до А2, 3 разряд, Линия склейки МЛ-2П</t>
  </si>
  <si>
    <t>Линия склейки МЛ-2П до А2 картон</t>
  </si>
  <si>
    <t>Склейка 1 точка картон до А2, 2 разряд, Линия склейки МЛ-2П</t>
  </si>
  <si>
    <t>Чистка машины, 3 разряд Линия склейки МЛ-2П</t>
  </si>
  <si>
    <r>
      <t xml:space="preserve">Линия склейки МЛ-2П, </t>
    </r>
    <r>
      <rPr>
        <b/>
        <i/>
        <sz val="12"/>
        <color indexed="8"/>
        <rFont val="Arial"/>
        <family val="2"/>
        <charset val="204"/>
      </rPr>
      <t>ГОФРОКАРТОН</t>
    </r>
  </si>
  <si>
    <r>
      <t xml:space="preserve">Линия склейки МЛ-2П, </t>
    </r>
    <r>
      <rPr>
        <b/>
        <i/>
        <sz val="12"/>
        <color indexed="8"/>
        <rFont val="Arial"/>
        <family val="2"/>
        <charset val="204"/>
      </rPr>
      <t>КАРТОН</t>
    </r>
  </si>
  <si>
    <t>Ручная склейка на термопистолет</t>
  </si>
  <si>
    <t>Склейка ручная на термопистолет 1 точка (формат до А4 210х297), 2 разряд</t>
  </si>
  <si>
    <t>до А4</t>
  </si>
  <si>
    <t>Склейка ручная на термопистолет 1 точка (формат до А3 297х420), 2 разряд</t>
  </si>
  <si>
    <t>до А3</t>
  </si>
  <si>
    <t>Склейка ручная на термопистолет 1 точка (формат до А2 420х594), 2 разряд</t>
  </si>
  <si>
    <t>до А2</t>
  </si>
  <si>
    <t>Склейка ручная на термопистолет 1 точка (формат свыше А2 420х594), 2 разряд</t>
  </si>
  <si>
    <t>свыше А2</t>
  </si>
  <si>
    <t>КДМ-500, большой формат</t>
  </si>
  <si>
    <t>Изготовление крышек большой формат до 20 тетр., 4 разряд, КДМ-500</t>
  </si>
  <si>
    <t>большой, до 20 тетр. КДМ-500</t>
  </si>
  <si>
    <t>Изготовление крышек большой формат от 20 до 40 тетр., 4 разряд, КДМ-500</t>
  </si>
  <si>
    <t>большой, от 20 до 30 тетр. КДМ-500</t>
  </si>
  <si>
    <t>Изготовление крышек большой формат свыше 40 тетр., 4 разряд, КДМ-500</t>
  </si>
  <si>
    <t>большой, свыше 40 тетр. КДМ-500</t>
  </si>
  <si>
    <t>КДМ-500, средний формат</t>
  </si>
  <si>
    <t>Изготовление крышек средний формат до 20 тетр., 4 разряд, КДМ-500</t>
  </si>
  <si>
    <t>средний, до 20 тетр. КДМ-500</t>
  </si>
  <si>
    <t>Изготовление крышек средний формат от 20 до 40 тетр., 4 разряд, КДМ-500</t>
  </si>
  <si>
    <t>средний, от 20 до 30 тетр. КДМ-500</t>
  </si>
  <si>
    <t>Изготовление крышек средний формат свыше 40 тетр., 4 разряд, КДМ-500</t>
  </si>
  <si>
    <t>средний, свыше 40 тетр. КДМ-500</t>
  </si>
  <si>
    <t>Настройка машины, 4 разряд, КДМ-500</t>
  </si>
  <si>
    <t>Чистка машины, 4 разряд, КДМ-500</t>
  </si>
  <si>
    <t>Вырубка блоков ЛП-500</t>
  </si>
  <si>
    <t>Вырубка блоков до 25 листов,3 разряд, ЛП-500</t>
  </si>
  <si>
    <t>до 25 листов ЛП-500</t>
  </si>
  <si>
    <t>Вырубка обложки и подложки до 25 листов, 3 разряд, ЛП-500</t>
  </si>
  <si>
    <t>Вырубка блоков свыше 25 листов,3 разряд, ЛП-500</t>
  </si>
  <si>
    <t>свыше 25 листов ЛП-500</t>
  </si>
  <si>
    <t>Вырубка обложки и подложки свыше 25 листов, 3 разряд, ЛП-500</t>
  </si>
  <si>
    <t>Настройка вырубки, 3 разряд, ЛП-500</t>
  </si>
  <si>
    <t>ЛП-500</t>
  </si>
  <si>
    <t>Обработка блока, МРЦ</t>
  </si>
  <si>
    <t>Вставка блока в пружину, 3 разряд, МРЦ</t>
  </si>
  <si>
    <t>МРЦ</t>
  </si>
  <si>
    <t>Обжим пружины, 3 разряд, МРЦ</t>
  </si>
  <si>
    <t>Настройка, 3 разряд, МРЦ</t>
  </si>
  <si>
    <t>Книговставочная машина ЗКВ-350</t>
  </si>
  <si>
    <t>Вставка книжного блока в крышку на книговставочной машине, ЗКВ-350 (большой формат)</t>
  </si>
  <si>
    <t xml:space="preserve">Вставка книжного блока в крышку на книговставочной машине, ПРЯМОЙ корешок, (большой формат), 4 разряд, ЗКВ-350 </t>
  </si>
  <si>
    <t>ЗКВ-350, большой</t>
  </si>
  <si>
    <t xml:space="preserve">Вставка книжного блока в крышку на книговставочной машине, КРУГЛЫЙ корешок, (большой формат), 4 разряд, ЗКВ-350 </t>
  </si>
  <si>
    <t>Вставка книжного блока в крышку на книговставочной машине, ЗКВ-350 (средний формат)</t>
  </si>
  <si>
    <t xml:space="preserve">Вставка книжного блока в крышку на книговставочной машине, ПРЯМОЙ корешок, (средний формат), 4 разряд, ЗКВ-350 </t>
  </si>
  <si>
    <t>ЗКВ-350, средний</t>
  </si>
  <si>
    <t xml:space="preserve">Вставка книжного блока в крышку на книговставочной машине, КРУГЛЫЙ корешок, (средний формат), 4 разряд, ЗКВ-350 </t>
  </si>
  <si>
    <t>Настройка книговставочной машины, 4 разряд, ЗКВ-350</t>
  </si>
  <si>
    <t>ЗКВ-350</t>
  </si>
  <si>
    <t>Подготовка, смывка книговставочной машины, 4 разряд, ЗКВ-350</t>
  </si>
  <si>
    <t xml:space="preserve">Термоусадочный упаковочный аппарат Magnetic FL-900 </t>
  </si>
  <si>
    <t>Термоупаковка кубариков без заклейки, 3 разряд</t>
  </si>
  <si>
    <t>Magnetic FL-900</t>
  </si>
  <si>
    <t>Термоупаковка кубариков с заклейкой, 3 разряд</t>
  </si>
  <si>
    <t>Упаковка в термоусадочную пленку на автомате книг в футляре, большой формат, 3 разряд</t>
  </si>
  <si>
    <t>Упаковка в термоусадочную пленку на автомате книг в футляре, средний формат, 3 разряд</t>
  </si>
  <si>
    <t>Упаковка в термоусадочную пленку на автомате, большой формат, 3 разряд</t>
  </si>
  <si>
    <t>Упаковка в термоусадочную пленку на автомате, средний формат, 3 разряд</t>
  </si>
  <si>
    <t>Упаковка столбиком кругом в бумагу 2 разряд</t>
  </si>
  <si>
    <t>Установка заклепок для кольцевых механизмов, 2 разряд</t>
  </si>
  <si>
    <t>Трафаретная машина</t>
  </si>
  <si>
    <t>Резка, подрезка картона 4 разряд Перфекта</t>
  </si>
  <si>
    <t>РЕЗКА, ПОДРЕЗКА</t>
  </si>
  <si>
    <t>Наценка накл расходов</t>
  </si>
  <si>
    <t>Сумма накл расходов</t>
  </si>
  <si>
    <t>разряд</t>
  </si>
  <si>
    <t>наценка</t>
  </si>
  <si>
    <t>Установка люверсов, 2 разряд</t>
  </si>
  <si>
    <r>
      <t>Упаковка в пакет с клапан-скотчем,</t>
    </r>
    <r>
      <rPr>
        <b/>
        <sz val="11"/>
        <color indexed="8"/>
        <rFont val="Arial"/>
        <family val="2"/>
        <charset val="204"/>
      </rPr>
      <t xml:space="preserve"> большой формат</t>
    </r>
    <r>
      <rPr>
        <sz val="11"/>
        <color indexed="8"/>
        <rFont val="Arial"/>
        <family val="2"/>
        <charset val="204"/>
      </rPr>
      <t>, МГК 2 разряд</t>
    </r>
  </si>
  <si>
    <r>
      <t>Упаковка в пакет с клапан-скотчем,</t>
    </r>
    <r>
      <rPr>
        <b/>
        <sz val="11"/>
        <color indexed="8"/>
        <rFont val="Arial"/>
        <family val="2"/>
        <charset val="204"/>
      </rPr>
      <t xml:space="preserve"> средний формат,</t>
    </r>
    <r>
      <rPr>
        <sz val="11"/>
        <color indexed="8"/>
        <rFont val="Arial"/>
        <family val="2"/>
        <charset val="204"/>
      </rPr>
      <t xml:space="preserve"> МГК,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</si>
  <si>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сложением, большой формат</t>
    </r>
    <r>
      <rPr>
        <sz val="11"/>
        <color indexed="8"/>
        <rFont val="Arial"/>
        <family val="2"/>
        <charset val="204"/>
      </rPr>
      <t>, МГК,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</si>
  <si>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сложением, средний формат</t>
    </r>
    <r>
      <rPr>
        <sz val="11"/>
        <color indexed="8"/>
        <rFont val="Arial"/>
        <family val="2"/>
        <charset val="204"/>
      </rPr>
      <t>, МГК, 2 разряд</t>
    </r>
  </si>
  <si>
    <t>Версия шаблона от 31.01.2022</t>
  </si>
  <si>
    <r>
      <t>Упаковка в пакет</t>
    </r>
    <r>
      <rPr>
        <b/>
        <sz val="11"/>
        <color indexed="8"/>
        <rFont val="Arial"/>
        <family val="2"/>
        <charset val="204"/>
      </rPr>
      <t xml:space="preserve"> </t>
    </r>
    <r>
      <rPr>
        <sz val="11"/>
        <color indexed="8"/>
        <rFont val="Arial"/>
        <family val="2"/>
        <charset val="204"/>
      </rPr>
      <t>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большой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2 шт.</t>
    </r>
    <r>
      <rPr>
        <sz val="11"/>
        <color indexed="8"/>
        <rFont val="Arial"/>
        <family val="2"/>
        <charset val="204"/>
      </rPr>
      <t>,2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</si>
  <si>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средний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2 шт</t>
    </r>
    <r>
      <rPr>
        <sz val="11"/>
        <color indexed="8"/>
        <rFont val="Arial"/>
        <family val="2"/>
        <charset val="204"/>
      </rPr>
      <t>., 2 разряд</t>
    </r>
  </si>
  <si>
    <r>
      <t>Упаковка в пакет с клапан-скотчем</t>
    </r>
    <r>
      <rPr>
        <b/>
        <sz val="11"/>
        <color indexed="8"/>
        <rFont val="Arial"/>
        <family val="2"/>
        <charset val="204"/>
      </rPr>
      <t xml:space="preserve"> со сложением и комплектовкой, средний формат</t>
    </r>
    <r>
      <rPr>
        <sz val="11"/>
        <color indexed="8"/>
        <rFont val="Arial"/>
        <family val="2"/>
        <charset val="204"/>
      </rPr>
      <t xml:space="preserve">, МГК, </t>
    </r>
    <r>
      <rPr>
        <b/>
        <sz val="11"/>
        <color indexed="8"/>
        <rFont val="Arial"/>
        <family val="2"/>
        <charset val="204"/>
      </rPr>
      <t>по 6 шт.</t>
    </r>
    <r>
      <rPr>
        <sz val="11"/>
        <color indexed="8"/>
        <rFont val="Arial"/>
        <family val="2"/>
        <charset val="204"/>
      </rPr>
      <t>, 2 разряд</t>
    </r>
  </si>
  <si>
    <r>
      <t xml:space="preserve">Расчет, сложение, комплектовка в пакет с клапан-скорчем </t>
    </r>
    <r>
      <rPr>
        <b/>
        <sz val="11"/>
        <color indexed="8"/>
        <rFont val="Arial"/>
        <family val="2"/>
        <charset val="204"/>
      </rPr>
      <t>большой формат</t>
    </r>
    <r>
      <rPr>
        <sz val="11"/>
        <color indexed="8"/>
        <rFont val="Arial"/>
        <family val="2"/>
        <charset val="204"/>
      </rPr>
      <t xml:space="preserve"> </t>
    </r>
    <r>
      <rPr>
        <b/>
        <sz val="11"/>
        <color indexed="8"/>
        <rFont val="Arial"/>
        <family val="2"/>
        <charset val="204"/>
      </rPr>
      <t>по 5шт.</t>
    </r>
    <r>
      <rPr>
        <sz val="11"/>
        <color indexed="8"/>
        <rFont val="Arial"/>
        <family val="2"/>
        <charset val="204"/>
      </rPr>
      <t>, картон, 2 разряд</t>
    </r>
  </si>
  <si>
    <r>
      <t xml:space="preserve">Расчет, сложение, комплектовка в пакет с клапан-скотчем </t>
    </r>
    <r>
      <rPr>
        <b/>
        <sz val="11"/>
        <color indexed="8"/>
        <rFont val="Arial"/>
        <family val="2"/>
        <charset val="204"/>
      </rPr>
      <t>средний формат</t>
    </r>
    <r>
      <rPr>
        <sz val="11"/>
        <color indexed="8"/>
        <rFont val="Arial"/>
        <family val="2"/>
        <charset val="204"/>
      </rPr>
      <t xml:space="preserve"> </t>
    </r>
    <r>
      <rPr>
        <b/>
        <sz val="11"/>
        <color indexed="8"/>
        <rFont val="Arial"/>
        <family val="2"/>
        <charset val="204"/>
      </rPr>
      <t>по 5шт.</t>
    </r>
    <r>
      <rPr>
        <sz val="11"/>
        <color indexed="8"/>
        <rFont val="Arial"/>
        <family val="2"/>
        <charset val="204"/>
      </rPr>
      <t>, картон, 2 разряд</t>
    </r>
  </si>
  <si>
    <r>
      <t xml:space="preserve">Расчет, скручивание, упаковка в пакет с клапан-скотчем, </t>
    </r>
    <r>
      <rPr>
        <b/>
        <sz val="11"/>
        <color indexed="8"/>
        <rFont val="Arial"/>
        <family val="2"/>
        <charset val="204"/>
      </rPr>
      <t>по 10шт.</t>
    </r>
    <r>
      <rPr>
        <sz val="11"/>
        <color indexed="8"/>
        <rFont val="Arial"/>
        <family val="2"/>
        <charset val="204"/>
      </rPr>
      <t>, бумага, 2 разряд</t>
    </r>
  </si>
  <si>
    <t>Газетная, 42-48 г/м2</t>
  </si>
  <si>
    <t>Красочность: 4+4</t>
  </si>
  <si>
    <t>v.200319</t>
  </si>
  <si>
    <t>Печать А3 с 2-х рулонов цветная 5 разряд CityLine</t>
  </si>
  <si>
    <t>Печать А3 с 2-х рулонов цветная 4 разряд CityLine</t>
  </si>
  <si>
    <t>Печать А3 с 2-х рулонов цветная 3 разряд CityLine</t>
  </si>
  <si>
    <t>Приладка 1 формы А3 формат 5 разряд CityLine</t>
  </si>
  <si>
    <t>Приладка 1 формы А3 формат 4 разряд CityLine</t>
  </si>
  <si>
    <t>Приладка 1 формы А3 формат 3 разряд CityLine</t>
  </si>
  <si>
    <t>чт</t>
  </si>
  <si>
    <t>66ф</t>
  </si>
  <si>
    <t>фтп</t>
  </si>
  <si>
    <t>66*57,8</t>
  </si>
  <si>
    <t>289*330</t>
  </si>
  <si>
    <t>Арасланов АН</t>
  </si>
  <si>
    <t>dostavka43@list.ru</t>
  </si>
  <si>
    <t>Чепецк Инфо, ООО</t>
  </si>
  <si>
    <t>Про город К-Чепецк</t>
  </si>
  <si>
    <t>Упаковка: 1. 23975 экз Водители 2. 860 экз Кирово-Чепецк СТОЙКИ(подписать). 3. 135 экз.в Офис Кирово-Чепецк(подписать). 4. 30 экз в Офис Киров(подписать).</t>
  </si>
  <si>
    <t>8-9128258775</t>
  </si>
  <si>
    <t>Про город К-Чепецк № 13 от 02.04.2022</t>
  </si>
  <si>
    <t>Офис Кирово-Чепецк</t>
  </si>
  <si>
    <t>Офис Кирово-Чепецк 
СТОЙКИ</t>
  </si>
  <si>
    <t>Офис Киров</t>
  </si>
  <si>
    <t>10367 Про город КЧ №13 А3 12 4+4 25000.xlsm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</si>
</sst>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3">
    <numFmt numFmtId="164" formatCode="_-* #,##0.00&quot;р.&quot;_-;\-* #,##0.00&quot;р.&quot;_-;_-* &quot;-&quot;??&quot;р.&quot;_-;_-@_-"/>
    <numFmt numFmtId="165" formatCode="0.000"/>
    <numFmt numFmtId="166" formatCode="0.0"/>
    <numFmt numFmtId="167" formatCode="0.0%"/>
    <numFmt numFmtId="168" formatCode="#,##0.0"/>
    <numFmt numFmtId="169" formatCode="d\ mmm\ yy"/>
    <numFmt numFmtId="170" formatCode="#,##0.00&quot;р.&quot;"/>
    <numFmt numFmtId="171" formatCode="[$-419]d\ mmm\ yy;@"/>
    <numFmt numFmtId="172" formatCode="0&quot;л&quot;"/>
    <numFmt numFmtId="173" formatCode="00000"/>
    <numFmt numFmtId="174" formatCode="0.0000%"/>
    <numFmt numFmtId="175" formatCode="0.00&quot;%&quot;"/>
    <numFmt numFmtId="176" formatCode="0.00000&quot;%&quot;"/>
    <numFmt numFmtId="177" formatCode="[h]:mm:ss;@"/>
    <numFmt numFmtId="178" formatCode="#,##0.000"/>
    <numFmt numFmtId="179" formatCode="_-[$€-2]\ * #,##0_-;\-[$€-2]\ * #,##0_-;_-[$€-2]\ * &quot;-&quot;??_-;_-@_-"/>
    <numFmt numFmtId="180" formatCode="_-[$€-2]\ * #,##0.00_-;\-[$€-2]\ * #,##0.00_-;_-[$€-2]\ * &quot;-&quot;??_-;_-@_-"/>
    <numFmt numFmtId="181" formatCode="_-* #,##0&quot;р.&quot;_-;\-* #,##0&quot;р.&quot;_-;_-* &quot;-&quot;??&quot;р.&quot;_-;_-@_-"/>
    <numFmt numFmtId="182" formatCode="_-[$$-409]* #,##0_ ;_-[$$-409]* \-#,##0\ ;_-[$$-409]* &quot;-&quot;??_ ;_-@_ "/>
    <numFmt numFmtId="183" formatCode="_-[$$-409]* #,##0_ ;_-[$$-409]* \-#,##0\ ;_-[$$-409]* &quot;-&quot;_ ;_-@_ "/>
    <numFmt numFmtId="184" formatCode="_-[$$-409]* #,##0.00_ ;_-[$$-409]* \-#,##0.00\ ;_-[$$-409]* &quot;-&quot;??_ ;_-@_ "/>
    <numFmt numFmtId="185" formatCode="_-* #,##0.0000[$р.-419]_-;\-* #,##0.0000[$р.-419]_-;_-* &quot;-&quot;??[$р.-419]_-;_-@_-"/>
    <numFmt numFmtId="186" formatCode="#,##0.000_ ;[Red]\-#,##0.000\ "/>
    <numFmt numFmtId="187" formatCode="0.00_ ;[Red]\-0.00\ "/>
    <numFmt numFmtId="188" formatCode="[$-F400]h:mm:ss\ AM/PM"/>
    <numFmt numFmtId="189" formatCode="_-* #,##0.000&quot;р.&quot;_-;\-* #,##0.000&quot;р.&quot;_-;_-* &quot;-&quot;??&quot;р.&quot;_-;_-@_-"/>
    <numFmt numFmtId="190" formatCode="#,##0.00_ ;[Red]\-#,##0.00\ "/>
    <numFmt numFmtId="191" formatCode="#,##0_ ;[Red]\-#,##0\ "/>
    <numFmt numFmtId="192" formatCode="_-[$€-1809]* #,##0.00_-;\-[$€-1809]* #,##0.00_-;_-[$€-1809]* &quot;-&quot;??_-;_-@_-"/>
    <numFmt numFmtId="193" formatCode="_-[$€-2]\ * #,##0.0000_-;\-[$€-2]\ * #,##0.0000_-;_-[$€-2]\ * &quot;-&quot;??_-;_-@_-"/>
    <numFmt numFmtId="194" formatCode="_-[$$-409]* #,##0.0000_ ;_-[$$-409]* \-#,##0.0000\ ;_-[$$-409]* &quot;-&quot;??_ ;_-@_ "/>
    <numFmt numFmtId="195" formatCode="#,##0.00000"/>
    <numFmt numFmtId="196" formatCode="_-* #,##0.00[$р.-419]_-;\-* #,##0.00[$р.-419]_-;_-* &quot;-&quot;??[$р.-419]_-;_-@_-"/>
  </numFmts>
  <fonts count="218" x14ac:knownFonts="1">
    <font>
      <sz val="10"/>
      <name val="Arial Cyr"/>
      <charset val="204"/>
    </font>
    <font>
      <sz val="11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9"/>
      <name val="Arial Cyr"/>
      <family val="2"/>
      <charset val="204"/>
    </font>
    <font>
      <i/>
      <sz val="10"/>
      <name val="Arial Cyr"/>
      <family val="2"/>
      <charset val="204"/>
    </font>
    <font>
      <b/>
      <sz val="12"/>
      <name val="Arial Cyr"/>
      <family val="2"/>
      <charset val="204"/>
    </font>
    <font>
      <b/>
      <i/>
      <sz val="10"/>
      <name val="Arial Cyr"/>
      <family val="2"/>
      <charset val="204"/>
    </font>
    <font>
      <b/>
      <sz val="11"/>
      <name val="Arial Cyr"/>
      <family val="2"/>
      <charset val="204"/>
    </font>
    <font>
      <sz val="11"/>
      <name val="Arial Cyr"/>
      <family val="2"/>
      <charset val="204"/>
    </font>
    <font>
      <b/>
      <sz val="10"/>
      <name val="Arial Cyr"/>
      <charset val="204"/>
    </font>
    <font>
      <b/>
      <i/>
      <sz val="14"/>
      <name val="Arial Cyr"/>
      <family val="2"/>
      <charset val="204"/>
    </font>
    <font>
      <sz val="8"/>
      <name val="Arial Cyr"/>
      <family val="2"/>
      <charset val="204"/>
    </font>
    <font>
      <b/>
      <sz val="14"/>
      <name val="Arial Cyr"/>
      <family val="2"/>
      <charset val="204"/>
    </font>
    <font>
      <b/>
      <sz val="16"/>
      <name val="Arial Cyr"/>
      <family val="2"/>
      <charset val="204"/>
    </font>
    <font>
      <b/>
      <i/>
      <u/>
      <sz val="10"/>
      <name val="Arial Cyr"/>
      <family val="2"/>
      <charset val="204"/>
    </font>
    <font>
      <sz val="12"/>
      <name val="Arial Cyr"/>
      <family val="2"/>
      <charset val="204"/>
    </font>
    <font>
      <b/>
      <sz val="18"/>
      <name val="Arial Cyr"/>
      <family val="2"/>
      <charset val="204"/>
    </font>
    <font>
      <i/>
      <sz val="9"/>
      <name val="Arial Cyr"/>
      <family val="2"/>
      <charset val="204"/>
    </font>
    <font>
      <b/>
      <sz val="12"/>
      <color indexed="41"/>
      <name val="Arial Cyr"/>
      <family val="2"/>
      <charset val="204"/>
    </font>
    <font>
      <b/>
      <i/>
      <sz val="12"/>
      <name val="Arial Cyr"/>
      <family val="2"/>
      <charset val="204"/>
    </font>
    <font>
      <b/>
      <sz val="12"/>
      <color indexed="10"/>
      <name val="Arial Cyr"/>
      <family val="2"/>
      <charset val="204"/>
    </font>
    <font>
      <b/>
      <i/>
      <sz val="10"/>
      <name val="Arial Cyr"/>
      <charset val="204"/>
    </font>
    <font>
      <sz val="10"/>
      <color indexed="9"/>
      <name val="Arial Cyr"/>
      <charset val="204"/>
    </font>
    <font>
      <b/>
      <sz val="12"/>
      <name val="Arial Cyr"/>
      <charset val="204"/>
    </font>
    <font>
      <b/>
      <sz val="14"/>
      <name val="Arial Cyr"/>
      <charset val="204"/>
    </font>
    <font>
      <sz val="12"/>
      <name val="Arial Cyr"/>
      <charset val="204"/>
    </font>
    <font>
      <sz val="10"/>
      <color indexed="41"/>
      <name val="Arial Cyr"/>
      <charset val="204"/>
    </font>
    <font>
      <sz val="9"/>
      <name val="Arial Cyr"/>
      <charset val="204"/>
    </font>
    <font>
      <sz val="10"/>
      <color indexed="47"/>
      <name val="Arial Cyr"/>
      <charset val="204"/>
    </font>
    <font>
      <i/>
      <sz val="9"/>
      <name val="Arial Cyr"/>
      <charset val="204"/>
    </font>
    <font>
      <sz val="14"/>
      <name val="Arial Cyr"/>
      <family val="2"/>
      <charset val="204"/>
    </font>
    <font>
      <sz val="12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sz val="11"/>
      <color indexed="9"/>
      <name val="Arial Cyr"/>
      <family val="2"/>
      <charset val="204"/>
    </font>
    <font>
      <b/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9"/>
      <name val="Arial Cyr"/>
      <charset val="204"/>
    </font>
    <font>
      <b/>
      <sz val="11"/>
      <name val="Arial Cyr"/>
      <charset val="204"/>
    </font>
    <font>
      <b/>
      <sz val="12"/>
      <color indexed="81"/>
      <name val="Tahoma"/>
      <family val="2"/>
      <charset val="204"/>
    </font>
    <font>
      <sz val="12"/>
      <name val="Arial Cyr"/>
    </font>
    <font>
      <sz val="10"/>
      <color indexed="10"/>
      <name val="Arial Cyr"/>
      <charset val="204"/>
    </font>
    <font>
      <b/>
      <sz val="14"/>
      <color indexed="8"/>
      <name val="Arial Cyr"/>
      <family val="2"/>
      <charset val="204"/>
    </font>
    <font>
      <sz val="10"/>
      <color indexed="8"/>
      <name val="Arial Cyr"/>
      <charset val="204"/>
    </font>
    <font>
      <b/>
      <sz val="12"/>
      <color indexed="8"/>
      <name val="Arial Cyr"/>
      <charset val="204"/>
    </font>
    <font>
      <i/>
      <sz val="8"/>
      <name val="Arial Cyr"/>
      <charset val="204"/>
    </font>
    <font>
      <b/>
      <sz val="10"/>
      <color indexed="10"/>
      <name val="Arial Cyr"/>
      <charset val="204"/>
    </font>
    <font>
      <b/>
      <i/>
      <sz val="10"/>
      <color indexed="10"/>
      <name val="Arial Cyr"/>
      <charset val="204"/>
    </font>
    <font>
      <b/>
      <sz val="10"/>
      <color indexed="12"/>
      <name val="Arial Cyr"/>
      <charset val="204"/>
    </font>
    <font>
      <sz val="10"/>
      <color indexed="20"/>
      <name val="Arial Cyr"/>
      <charset val="204"/>
    </font>
    <font>
      <b/>
      <u/>
      <sz val="10"/>
      <name val="Arial Cyr"/>
      <charset val="204"/>
    </font>
    <font>
      <b/>
      <sz val="10"/>
      <color indexed="8"/>
      <name val="Arial Cyr"/>
      <charset val="204"/>
    </font>
    <font>
      <b/>
      <sz val="8"/>
      <color indexed="81"/>
      <name val="Tahoma"/>
      <family val="2"/>
      <charset val="204"/>
    </font>
    <font>
      <b/>
      <u/>
      <sz val="8"/>
      <color indexed="81"/>
      <name val="Tahoma"/>
      <family val="2"/>
      <charset val="204"/>
    </font>
    <font>
      <sz val="9"/>
      <color indexed="9"/>
      <name val="Arial Cyr"/>
      <charset val="204"/>
    </font>
    <font>
      <b/>
      <sz val="9"/>
      <color indexed="10"/>
      <name val="Tahoma"/>
      <family val="2"/>
      <charset val="204"/>
    </font>
    <font>
      <i/>
      <sz val="10"/>
      <name val="Arial Cyr"/>
      <charset val="204"/>
    </font>
    <font>
      <b/>
      <sz val="11"/>
      <color indexed="8"/>
      <name val="Arial Cyr"/>
      <charset val="204"/>
    </font>
    <font>
      <sz val="10"/>
      <name val="Arial"/>
      <family val="2"/>
    </font>
    <font>
      <sz val="10"/>
      <color indexed="12"/>
      <name val="Arial Cyr"/>
      <charset val="204"/>
    </font>
    <font>
      <sz val="10"/>
      <color indexed="22"/>
      <name val="Arial Cyr"/>
      <charset val="204"/>
    </font>
    <font>
      <sz val="11"/>
      <name val="Arial Cyr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3"/>
      <name val="Arial Cyr"/>
      <charset val="204"/>
    </font>
    <font>
      <b/>
      <u/>
      <sz val="12"/>
      <name val="Arial Cyr"/>
      <charset val="204"/>
    </font>
    <font>
      <b/>
      <u/>
      <sz val="10"/>
      <name val="Arial Cyr"/>
      <family val="2"/>
      <charset val="204"/>
    </font>
    <font>
      <b/>
      <sz val="10"/>
      <color indexed="8"/>
      <name val="Arial Cyr"/>
      <family val="2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indexed="9"/>
      <name val="Arial Cyr"/>
      <charset val="204"/>
    </font>
    <font>
      <b/>
      <i/>
      <sz val="11"/>
      <name val="Arial Cyr"/>
      <charset val="204"/>
    </font>
    <font>
      <sz val="11"/>
      <name val="Arial"/>
      <family val="2"/>
    </font>
    <font>
      <b/>
      <i/>
      <sz val="11"/>
      <name val="Arial"/>
      <family val="2"/>
      <charset val="204"/>
    </font>
    <font>
      <sz val="11"/>
      <color indexed="41"/>
      <name val="Arial Cyr"/>
      <charset val="204"/>
    </font>
    <font>
      <sz val="11"/>
      <name val="Arial"/>
      <family val="2"/>
      <charset val="204"/>
    </font>
    <font>
      <sz val="8"/>
      <name val="Arial"/>
      <family val="2"/>
      <charset val="204"/>
    </font>
    <font>
      <sz val="8"/>
      <color indexed="8"/>
      <name val="MS Shell Dlg"/>
      <charset val="204"/>
    </font>
    <font>
      <b/>
      <sz val="10"/>
      <color indexed="62"/>
      <name val="Arial Cyr"/>
      <charset val="204"/>
    </font>
    <font>
      <sz val="10"/>
      <color indexed="9"/>
      <name val="Arial Cyr"/>
      <charset val="204"/>
    </font>
    <font>
      <sz val="10"/>
      <color indexed="10"/>
      <name val="Arial Cyr"/>
      <charset val="204"/>
    </font>
    <font>
      <b/>
      <sz val="10"/>
      <color indexed="36"/>
      <name val="Arial Cyr"/>
      <charset val="204"/>
    </font>
    <font>
      <sz val="10"/>
      <color theme="0"/>
      <name val="Arial Cyr"/>
      <charset val="204"/>
    </font>
    <font>
      <b/>
      <sz val="10"/>
      <color theme="0"/>
      <name val="Arial Cyr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0"/>
      <color indexed="8"/>
      <name val="Arial"/>
      <family val="2"/>
      <charset val="204"/>
    </font>
    <font>
      <sz val="8"/>
      <name val="Arial"/>
      <family val="2"/>
    </font>
    <font>
      <sz val="10"/>
      <color indexed="8"/>
      <name val="Arial"/>
      <family val="2"/>
      <charset val="204"/>
    </font>
    <font>
      <b/>
      <u/>
      <sz val="12"/>
      <color rgb="FF0070C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0"/>
      <name val="Arial"/>
      <family val="2"/>
      <charset val="204"/>
    </font>
    <font>
      <b/>
      <sz val="10"/>
      <color theme="0"/>
      <name val="Arial"/>
      <family val="2"/>
      <charset val="204"/>
    </font>
    <font>
      <sz val="10"/>
      <color theme="5" tint="0.79998168889431442"/>
      <name val="Arial"/>
      <family val="2"/>
      <charset val="204"/>
    </font>
    <font>
      <sz val="12"/>
      <color theme="0"/>
      <name val="Arial Cyr"/>
      <charset val="204"/>
    </font>
    <font>
      <b/>
      <sz val="11"/>
      <color theme="0"/>
      <name val="Arial Cyr"/>
      <charset val="204"/>
    </font>
    <font>
      <b/>
      <sz val="12"/>
      <color theme="0"/>
      <name val="Arial Cyr"/>
      <charset val="204"/>
    </font>
    <font>
      <b/>
      <i/>
      <sz val="12"/>
      <name val="Arial Cyr"/>
      <charset val="204"/>
    </font>
    <font>
      <b/>
      <u/>
      <sz val="11"/>
      <name val="Arial Cyr"/>
      <family val="2"/>
      <charset val="204"/>
    </font>
    <font>
      <b/>
      <sz val="16"/>
      <name val="Arial Cyr"/>
      <charset val="204"/>
    </font>
    <font>
      <b/>
      <sz val="9"/>
      <color indexed="81"/>
      <name val="Tahoma"/>
      <family val="2"/>
      <charset val="204"/>
    </font>
    <font>
      <b/>
      <u/>
      <sz val="9"/>
      <name val="Arial Cyr"/>
      <charset val="204"/>
    </font>
    <font>
      <sz val="10"/>
      <color rgb="FF00B0F0"/>
      <name val="Arial Cyr"/>
      <charset val="204"/>
    </font>
    <font>
      <sz val="11"/>
      <color indexed="20"/>
      <name val="Arial Cyr"/>
      <charset val="204"/>
    </font>
    <font>
      <sz val="9"/>
      <color indexed="20"/>
      <name val="Arial Cyr"/>
      <charset val="204"/>
    </font>
    <font>
      <sz val="11"/>
      <color theme="0"/>
      <name val="Arial Cyr"/>
      <charset val="204"/>
    </font>
    <font>
      <sz val="10"/>
      <color rgb="FFFF0000"/>
      <name val="Arial Cyr"/>
      <charset val="204"/>
    </font>
    <font>
      <b/>
      <u/>
      <sz val="16"/>
      <name val="Arial Cyr"/>
      <charset val="204"/>
    </font>
    <font>
      <sz val="8"/>
      <color indexed="81"/>
      <name val="Tahoma"/>
      <family val="2"/>
      <charset val="204"/>
    </font>
    <font>
      <b/>
      <i/>
      <sz val="11"/>
      <color theme="0"/>
      <name val="Arial Cyr"/>
      <charset val="204"/>
    </font>
    <font>
      <sz val="18"/>
      <name val="Arial Cyr"/>
      <charset val="204"/>
    </font>
    <font>
      <sz val="10"/>
      <color rgb="FF7030A0"/>
      <name val="Arial Cyr"/>
      <charset val="204"/>
    </font>
    <font>
      <sz val="10"/>
      <color rgb="FFFFFF00"/>
      <name val="Arial Cyr"/>
      <charset val="204"/>
    </font>
    <font>
      <b/>
      <sz val="10"/>
      <color rgb="FFFF0000"/>
      <name val="Arial Cyr"/>
      <charset val="204"/>
    </font>
    <font>
      <b/>
      <sz val="11"/>
      <color indexed="8"/>
      <name val="Arial"/>
      <family val="2"/>
      <charset val="204"/>
    </font>
    <font>
      <b/>
      <i/>
      <sz val="11"/>
      <color indexed="8"/>
      <name val="Arial"/>
      <family val="2"/>
      <charset val="204"/>
    </font>
    <font>
      <sz val="10"/>
      <color theme="3" tint="0.59999389629810485"/>
      <name val="Arial Cyr"/>
      <charset val="204"/>
    </font>
    <font>
      <sz val="11"/>
      <color indexed="81"/>
      <name val="Tahoma"/>
      <family val="2"/>
      <charset val="204"/>
    </font>
    <font>
      <b/>
      <sz val="20"/>
      <name val="Arial Cyr"/>
      <charset val="204"/>
    </font>
    <font>
      <sz val="10"/>
      <color rgb="FF0070C0"/>
      <name val="Arial Cyr"/>
      <charset val="204"/>
    </font>
    <font>
      <sz val="10"/>
      <color theme="3" tint="0.39997558519241921"/>
      <name val="Arial Cyr"/>
      <charset val="204"/>
    </font>
    <font>
      <b/>
      <sz val="10"/>
      <color theme="3" tint="0.39997558519241921"/>
      <name val="Arial Cyr"/>
      <charset val="204"/>
    </font>
    <font>
      <b/>
      <sz val="22"/>
      <name val="Arial Cyr"/>
      <charset val="204"/>
    </font>
    <font>
      <b/>
      <i/>
      <sz val="10"/>
      <color rgb="FFFF0000"/>
      <name val="Arial Cyr"/>
      <charset val="204"/>
    </font>
    <font>
      <b/>
      <sz val="12"/>
      <color theme="8" tint="0.59999389629810485"/>
      <name val="Arial Cyr"/>
      <family val="2"/>
      <charset val="204"/>
    </font>
    <font>
      <b/>
      <sz val="11"/>
      <name val="Arial"/>
      <family val="2"/>
      <charset val="204"/>
    </font>
    <font>
      <sz val="10"/>
      <color theme="3" tint="-0.249977111117893"/>
      <name val="Arial Cyr"/>
      <charset val="204"/>
    </font>
    <font>
      <b/>
      <sz val="10"/>
      <color rgb="FF00B0F0"/>
      <name val="Arial Cyr"/>
      <charset val="204"/>
    </font>
    <font>
      <sz val="11"/>
      <name val="Calibri"/>
      <family val="2"/>
      <charset val="204"/>
    </font>
    <font>
      <b/>
      <sz val="10"/>
      <color rgb="FF0000FF"/>
      <name val="Arial Cyr"/>
      <charset val="204"/>
    </font>
    <font>
      <sz val="10"/>
      <color rgb="FF002060"/>
      <name val="Arial Cyr"/>
      <charset val="204"/>
    </font>
    <font>
      <strike/>
      <sz val="10"/>
      <color rgb="FF0000FF"/>
      <name val="Arial Cyr"/>
      <charset val="204"/>
    </font>
    <font>
      <b/>
      <sz val="18"/>
      <name val="Arial Cyr"/>
      <charset val="204"/>
    </font>
    <font>
      <sz val="10"/>
      <color rgb="FF0000FF"/>
      <name val="Arial Cyr"/>
    </font>
    <font>
      <b/>
      <sz val="10"/>
      <color rgb="FF000080"/>
      <name val="Arial Cyr"/>
    </font>
    <font>
      <b/>
      <sz val="11"/>
      <color rgb="FF000000"/>
      <name val="Arial Cyr"/>
    </font>
    <font>
      <sz val="10"/>
      <color rgb="FF000000"/>
      <name val="Arial Cyr"/>
    </font>
    <font>
      <b/>
      <sz val="12"/>
      <color rgb="FF000000"/>
      <name val="Arial Cyr"/>
    </font>
    <font>
      <b/>
      <sz val="10"/>
      <color rgb="FF000000"/>
      <name val="Arial Cyr"/>
    </font>
    <font>
      <sz val="10"/>
      <color theme="5" tint="-0.249977111117893"/>
      <name val="Arial Cyr"/>
      <charset val="204"/>
    </font>
    <font>
      <sz val="10"/>
      <color rgb="FFFF0000"/>
      <name val="Arial"/>
      <family val="2"/>
      <charset val="204"/>
    </font>
    <font>
      <b/>
      <u/>
      <sz val="11"/>
      <color rgb="FF0000CC"/>
      <name val="Arial"/>
      <family val="2"/>
      <charset val="204"/>
    </font>
    <font>
      <sz val="10"/>
      <color theme="9" tint="0.79998168889431442"/>
      <name val="Arial"/>
      <family val="2"/>
      <charset val="204"/>
    </font>
    <font>
      <sz val="11"/>
      <color indexed="8"/>
      <name val="Arial"/>
      <family val="2"/>
      <charset val="204"/>
    </font>
    <font>
      <b/>
      <sz val="11"/>
      <color rgb="FF0000CC"/>
      <name val="Arial"/>
      <family val="2"/>
      <charset val="204"/>
    </font>
    <font>
      <sz val="10"/>
      <color theme="7" tint="0.79998168889431442"/>
      <name val="Arial"/>
      <family val="2"/>
      <charset val="204"/>
    </font>
    <font>
      <sz val="8"/>
      <color theme="0"/>
      <name val="Arial Cyr"/>
      <charset val="204"/>
    </font>
    <font>
      <b/>
      <sz val="9.5"/>
      <name val="Arial Cyr"/>
      <charset val="204"/>
    </font>
    <font>
      <b/>
      <sz val="10"/>
      <color rgb="FF7030A0"/>
      <name val="Arial Cyr"/>
      <charset val="204"/>
    </font>
    <font>
      <sz val="10"/>
      <color theme="0" tint="-0.249977111117893"/>
      <name val="Arial Cyr"/>
      <charset val="204"/>
    </font>
    <font>
      <sz val="10"/>
      <color theme="0" tint="-0.499984740745262"/>
      <name val="Arial Cyr"/>
      <charset val="204"/>
    </font>
    <font>
      <sz val="10"/>
      <color rgb="FFFF0000"/>
      <name val="Arial Cyr"/>
      <family val="2"/>
      <charset val="204"/>
    </font>
    <font>
      <i/>
      <sz val="13"/>
      <name val="Arial Cyr"/>
      <charset val="204"/>
    </font>
    <font>
      <sz val="13"/>
      <name val="Arial Cyr"/>
      <charset val="204"/>
    </font>
    <font>
      <sz val="8"/>
      <color rgb="FFFF0000"/>
      <name val="Arial Cyr"/>
      <charset val="204"/>
    </font>
    <font>
      <b/>
      <u/>
      <sz val="14"/>
      <name val="Arial Cyr"/>
      <charset val="204"/>
    </font>
    <font>
      <sz val="15"/>
      <name val="Arial Cyr"/>
      <charset val="204"/>
    </font>
    <font>
      <b/>
      <sz val="15"/>
      <name val="Arial Cyr"/>
      <charset val="204"/>
    </font>
    <font>
      <b/>
      <u/>
      <sz val="24"/>
      <name val="Arial Cyr"/>
      <family val="2"/>
      <charset val="204"/>
    </font>
    <font>
      <b/>
      <sz val="10"/>
      <color rgb="FFFF0000"/>
      <name val="Arial Cyr"/>
      <family val="2"/>
      <charset val="204"/>
    </font>
    <font>
      <sz val="8"/>
      <color rgb="FFFF0000"/>
      <name val="Arial Cyr"/>
      <family val="2"/>
      <charset val="204"/>
    </font>
    <font>
      <sz val="14"/>
      <name val="Arial Cyr"/>
      <charset val="204"/>
    </font>
    <font>
      <sz val="12"/>
      <color rgb="FFFF0000"/>
      <name val="Arial Cyr"/>
      <family val="2"/>
      <charset val="204"/>
    </font>
    <font>
      <i/>
      <sz val="11"/>
      <name val="Arial Cyr"/>
      <family val="2"/>
      <charset val="204"/>
    </font>
    <font>
      <b/>
      <sz val="24"/>
      <name val="Arial Cyr"/>
      <family val="2"/>
      <charset val="204"/>
    </font>
    <font>
      <sz val="16"/>
      <name val="Arial Cyr"/>
      <charset val="204"/>
    </font>
    <font>
      <b/>
      <sz val="24"/>
      <name val="Arial Cyr"/>
      <charset val="204"/>
    </font>
    <font>
      <b/>
      <sz val="12"/>
      <color rgb="FFFF0000"/>
      <name val="Arial Cyr"/>
      <family val="2"/>
      <charset val="204"/>
    </font>
    <font>
      <b/>
      <sz val="10"/>
      <color theme="0"/>
      <name val="Arial Cyr"/>
      <family val="2"/>
      <charset val="204"/>
    </font>
    <font>
      <i/>
      <sz val="10"/>
      <color theme="0"/>
      <name val="Arial Cyr"/>
      <charset val="204"/>
    </font>
    <font>
      <sz val="12"/>
      <color rgb="FFFF0000"/>
      <name val="Arial Cyr"/>
      <charset val="204"/>
    </font>
    <font>
      <sz val="13"/>
      <color rgb="FFFF0000"/>
      <name val="Arial Cyr"/>
      <charset val="204"/>
    </font>
    <font>
      <i/>
      <sz val="11"/>
      <name val="Arial Cyr"/>
      <charset val="204"/>
    </font>
    <font>
      <b/>
      <sz val="10"/>
      <color rgb="FFC00000"/>
      <name val="Arial Cyr"/>
      <charset val="204"/>
    </font>
    <font>
      <b/>
      <sz val="20"/>
      <name val="Arial Black"/>
      <family val="2"/>
      <charset val="204"/>
    </font>
    <font>
      <b/>
      <sz val="16"/>
      <name val="Arial Black"/>
      <family val="2"/>
      <charset val="204"/>
    </font>
    <font>
      <u/>
      <sz val="12"/>
      <name val="Arial Cyr"/>
      <family val="2"/>
      <charset val="204"/>
    </font>
    <font>
      <b/>
      <sz val="12"/>
      <name val="Arial Black"/>
      <family val="2"/>
      <charset val="204"/>
    </font>
    <font>
      <b/>
      <u/>
      <sz val="13"/>
      <name val="Arial Cyr"/>
      <charset val="204"/>
    </font>
    <font>
      <b/>
      <strike/>
      <sz val="10"/>
      <color rgb="FFFF0000"/>
      <name val="Arial Cyr"/>
      <charset val="204"/>
    </font>
    <font>
      <b/>
      <sz val="11"/>
      <color rgb="FF0000FF"/>
      <name val="Arial Cyr"/>
    </font>
    <font>
      <b/>
      <sz val="11"/>
      <color rgb="FF800000"/>
      <name val="Arial Cyr"/>
    </font>
    <font>
      <sz val="9"/>
      <color indexed="8"/>
      <name val="Arial Cyr"/>
      <charset val="204"/>
    </font>
    <font>
      <strike/>
      <sz val="10"/>
      <name val="Arial Cyr"/>
      <charset val="204"/>
    </font>
    <font>
      <strike/>
      <sz val="10"/>
      <color rgb="FFFF0000"/>
      <name val="Arial Cyr"/>
      <charset val="204"/>
    </font>
    <font>
      <b/>
      <sz val="10"/>
      <color rgb="FF00B050"/>
      <name val="Arial Cyr"/>
      <charset val="204"/>
    </font>
    <font>
      <b/>
      <sz val="10"/>
      <color theme="1"/>
      <name val="Arial Cyr"/>
      <charset val="204"/>
    </font>
    <font>
      <strike/>
      <sz val="10"/>
      <color theme="0" tint="-0.499984740745262"/>
      <name val="Arial Cyr"/>
      <charset val="204"/>
    </font>
    <font>
      <i/>
      <strike/>
      <sz val="10"/>
      <color theme="0" tint="-0.499984740745262"/>
      <name val="Arial Cyr"/>
      <charset val="204"/>
    </font>
    <font>
      <b/>
      <sz val="10"/>
      <color rgb="FF0000FF"/>
      <name val="Arial Cyr"/>
    </font>
    <font>
      <b/>
      <sz val="10"/>
      <color rgb="FF800080"/>
      <name val="Arial Cyr"/>
    </font>
    <font>
      <b/>
      <sz val="10"/>
      <color rgb="FFFF0000"/>
      <name val="Arial"/>
      <family val="2"/>
      <charset val="204"/>
    </font>
    <font>
      <b/>
      <sz val="10"/>
      <color rgb="FF0000FF"/>
      <name val="Arial"/>
      <family val="2"/>
      <charset val="204"/>
    </font>
    <font>
      <sz val="10"/>
      <color theme="6" tint="0.59999389629810485"/>
      <name val="Arial"/>
      <family val="2"/>
      <charset val="204"/>
    </font>
    <font>
      <sz val="10"/>
      <color rgb="FF0000CC"/>
      <name val="Arial Cyr"/>
      <charset val="204"/>
    </font>
    <font>
      <b/>
      <i/>
      <sz val="11"/>
      <color rgb="FF0000CC"/>
      <name val="Arial"/>
      <family val="2"/>
      <charset val="204"/>
    </font>
    <font>
      <sz val="10"/>
      <color theme="6" tint="0.79998168889431442"/>
      <name val="Arial"/>
      <family val="2"/>
      <charset val="204"/>
    </font>
    <font>
      <sz val="10"/>
      <color theme="9" tint="0.59999389629810485"/>
      <name val="Arial"/>
      <family val="2"/>
      <charset val="204"/>
    </font>
    <font>
      <b/>
      <i/>
      <sz val="12"/>
      <color indexed="8"/>
      <name val="Arial"/>
      <family val="2"/>
      <charset val="204"/>
    </font>
    <font>
      <sz val="10"/>
      <color rgb="FF0000FF"/>
      <name val="Arial"/>
      <family val="2"/>
      <charset val="204"/>
    </font>
    <font>
      <b/>
      <sz val="10"/>
      <color theme="5" tint="0.79998168889431442"/>
      <name val="Arial"/>
      <family val="2"/>
      <charset val="204"/>
    </font>
    <font>
      <sz val="11"/>
      <color rgb="FF000000"/>
      <name val="Helvetica"/>
    </font>
  </fonts>
  <fills count="8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55"/>
      </patternFill>
    </fill>
    <fill>
      <patternFill patternType="solid">
        <fgColor theme="0" tint="-4.9989318521683403E-2"/>
        <bgColor indexed="46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6" tint="0.59999389629810485"/>
        <bgColor indexed="55"/>
      </patternFill>
    </fill>
    <fill>
      <patternFill patternType="solid">
        <fgColor theme="2" tint="-0.249977111117893"/>
        <bgColor indexed="55"/>
      </patternFill>
    </fill>
    <fill>
      <patternFill patternType="solid">
        <fgColor theme="4" tint="0.59999389629810485"/>
        <bgColor indexed="55"/>
      </patternFill>
    </fill>
    <fill>
      <patternFill patternType="solid">
        <fgColor theme="7" tint="0.39997558519241921"/>
        <bgColor indexed="55"/>
      </patternFill>
    </fill>
    <fill>
      <patternFill patternType="solid">
        <fgColor theme="9" tint="0.39997558519241921"/>
        <bgColor indexed="55"/>
      </patternFill>
    </fill>
    <fill>
      <patternFill patternType="solid">
        <fgColor theme="5" tint="0.59999389629810485"/>
        <bgColor indexed="4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49"/>
      </patternFill>
    </fill>
    <fill>
      <patternFill patternType="solid">
        <fgColor theme="0" tint="-0.14999847407452621"/>
        <bgColor indexed="49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79998168889431442"/>
        <bgColor indexed="64"/>
      </patternFill>
    </fill>
  </fills>
  <borders count="10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24"/>
      </left>
      <right/>
      <top/>
      <bottom style="thin">
        <color indexed="24"/>
      </bottom>
      <diagonal/>
    </border>
    <border>
      <left style="thin">
        <color indexed="24"/>
      </left>
      <right/>
      <top style="thin">
        <color indexed="24"/>
      </top>
      <bottom style="thin">
        <color indexed="2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</borders>
  <cellStyleXfs count="92">
    <xf numFmtId="0" fontId="0" fillId="0" borderId="0"/>
    <xf numFmtId="0" fontId="69" fillId="2" borderId="0" applyNumberFormat="0" applyBorder="0" applyAlignment="0" applyProtection="0"/>
    <xf numFmtId="0" fontId="69" fillId="3" borderId="0" applyNumberFormat="0" applyBorder="0" applyAlignment="0" applyProtection="0"/>
    <xf numFmtId="0" fontId="69" fillId="4" borderId="0" applyNumberFormat="0" applyBorder="0" applyAlignment="0" applyProtection="0"/>
    <xf numFmtId="0" fontId="69" fillId="5" borderId="0" applyNumberFormat="0" applyBorder="0" applyAlignment="0" applyProtection="0"/>
    <xf numFmtId="0" fontId="69" fillId="6" borderId="0" applyNumberFormat="0" applyBorder="0" applyAlignment="0" applyProtection="0"/>
    <xf numFmtId="0" fontId="69" fillId="7" borderId="0" applyNumberFormat="0" applyBorder="0" applyAlignment="0" applyProtection="0"/>
    <xf numFmtId="0" fontId="69" fillId="8" borderId="0" applyNumberFormat="0" applyBorder="0" applyAlignment="0" applyProtection="0"/>
    <xf numFmtId="0" fontId="69" fillId="9" borderId="0" applyNumberFormat="0" applyBorder="0" applyAlignment="0" applyProtection="0"/>
    <xf numFmtId="0" fontId="69" fillId="10" borderId="0" applyNumberFormat="0" applyBorder="0" applyAlignment="0" applyProtection="0"/>
    <xf numFmtId="0" fontId="69" fillId="5" borderId="0" applyNumberFormat="0" applyBorder="0" applyAlignment="0" applyProtection="0"/>
    <xf numFmtId="0" fontId="69" fillId="8" borderId="0" applyNumberFormat="0" applyBorder="0" applyAlignment="0" applyProtection="0"/>
    <xf numFmtId="0" fontId="69" fillId="11" borderId="0" applyNumberFormat="0" applyBorder="0" applyAlignment="0" applyProtection="0"/>
    <xf numFmtId="0" fontId="70" fillId="12" borderId="0" applyNumberFormat="0" applyBorder="0" applyAlignment="0" applyProtection="0"/>
    <xf numFmtId="0" fontId="70" fillId="9" borderId="0" applyNumberFormat="0" applyBorder="0" applyAlignment="0" applyProtection="0"/>
    <xf numFmtId="0" fontId="70" fillId="10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5" borderId="0" applyNumberFormat="0" applyBorder="0" applyAlignment="0" applyProtection="0"/>
    <xf numFmtId="0" fontId="70" fillId="16" borderId="0" applyNumberFormat="0" applyBorder="0" applyAlignment="0" applyProtection="0"/>
    <xf numFmtId="0" fontId="70" fillId="17" borderId="0" applyNumberFormat="0" applyBorder="0" applyAlignment="0" applyProtection="0"/>
    <xf numFmtId="0" fontId="70" fillId="18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9" borderId="0" applyNumberFormat="0" applyBorder="0" applyAlignment="0" applyProtection="0"/>
    <xf numFmtId="0" fontId="71" fillId="7" borderId="1" applyNumberFormat="0" applyAlignment="0" applyProtection="0"/>
    <xf numFmtId="0" fontId="72" fillId="20" borderId="2" applyNumberFormat="0" applyAlignment="0" applyProtection="0"/>
    <xf numFmtId="0" fontId="73" fillId="20" borderId="1" applyNumberFormat="0" applyAlignment="0" applyProtection="0"/>
    <xf numFmtId="164" fontId="2" fillId="0" borderId="0" applyFont="0" applyFill="0" applyBorder="0" applyAlignment="0" applyProtection="0"/>
    <xf numFmtId="0" fontId="74" fillId="0" borderId="3" applyNumberFormat="0" applyFill="0" applyAlignment="0" applyProtection="0"/>
    <xf numFmtId="0" fontId="75" fillId="0" borderId="4" applyNumberFormat="0" applyFill="0" applyAlignment="0" applyProtection="0"/>
    <xf numFmtId="0" fontId="76" fillId="0" borderId="5" applyNumberFormat="0" applyFill="0" applyAlignment="0" applyProtection="0"/>
    <xf numFmtId="0" fontId="76" fillId="0" borderId="0" applyNumberFormat="0" applyFill="0" applyBorder="0" applyAlignment="0" applyProtection="0"/>
    <xf numFmtId="0" fontId="77" fillId="0" borderId="6" applyNumberFormat="0" applyFill="0" applyAlignment="0" applyProtection="0"/>
    <xf numFmtId="0" fontId="78" fillId="21" borderId="7" applyNumberFormat="0" applyAlignment="0" applyProtection="0"/>
    <xf numFmtId="0" fontId="79" fillId="0" borderId="0" applyNumberFormat="0" applyFill="0" applyBorder="0" applyAlignment="0" applyProtection="0"/>
    <xf numFmtId="0" fontId="80" fillId="22" borderId="0" applyNumberFormat="0" applyBorder="0" applyAlignment="0" applyProtection="0"/>
    <xf numFmtId="0" fontId="92" fillId="0" borderId="0">
      <alignment horizontal="left"/>
    </xf>
    <xf numFmtId="0" fontId="81" fillId="3" borderId="0" applyNumberFormat="0" applyBorder="0" applyAlignment="0" applyProtection="0"/>
    <xf numFmtId="0" fontId="82" fillId="0" borderId="0" applyNumberFormat="0" applyFill="0" applyBorder="0" applyAlignment="0" applyProtection="0"/>
    <xf numFmtId="0" fontId="2" fillId="23" borderId="8" applyNumberFormat="0" applyFont="0" applyAlignment="0" applyProtection="0"/>
    <xf numFmtId="9" fontId="2" fillId="0" borderId="0" applyFont="0" applyFill="0" applyBorder="0" applyAlignment="0" applyProtection="0"/>
    <xf numFmtId="0" fontId="83" fillId="0" borderId="9" applyNumberFormat="0" applyFill="0" applyAlignment="0" applyProtection="0"/>
    <xf numFmtId="0" fontId="84" fillId="0" borderId="0" applyNumberFormat="0" applyFill="0" applyBorder="0" applyAlignment="0" applyProtection="0"/>
    <xf numFmtId="0" fontId="85" fillId="4" borderId="0" applyNumberFormat="0" applyBorder="0" applyAlignment="0" applyProtection="0"/>
    <xf numFmtId="0" fontId="103" fillId="0" borderId="0"/>
    <xf numFmtId="0" fontId="2" fillId="0" borderId="0"/>
    <xf numFmtId="0" fontId="1" fillId="0" borderId="0"/>
    <xf numFmtId="0" fontId="2" fillId="0" borderId="0"/>
    <xf numFmtId="0" fontId="69" fillId="2" borderId="0" applyNumberFormat="0" applyBorder="0" applyAlignment="0" applyProtection="0"/>
    <xf numFmtId="0" fontId="69" fillId="3" borderId="0" applyNumberFormat="0" applyBorder="0" applyAlignment="0" applyProtection="0"/>
    <xf numFmtId="0" fontId="69" fillId="4" borderId="0" applyNumberFormat="0" applyBorder="0" applyAlignment="0" applyProtection="0"/>
    <xf numFmtId="0" fontId="69" fillId="5" borderId="0" applyNumberFormat="0" applyBorder="0" applyAlignment="0" applyProtection="0"/>
    <xf numFmtId="0" fontId="69" fillId="6" borderId="0" applyNumberFormat="0" applyBorder="0" applyAlignment="0" applyProtection="0"/>
    <xf numFmtId="0" fontId="69" fillId="7" borderId="0" applyNumberFormat="0" applyBorder="0" applyAlignment="0" applyProtection="0"/>
    <xf numFmtId="0" fontId="69" fillId="8" borderId="0" applyNumberFormat="0" applyBorder="0" applyAlignment="0" applyProtection="0"/>
    <xf numFmtId="0" fontId="69" fillId="9" borderId="0" applyNumberFormat="0" applyBorder="0" applyAlignment="0" applyProtection="0"/>
    <xf numFmtId="0" fontId="69" fillId="10" borderId="0" applyNumberFormat="0" applyBorder="0" applyAlignment="0" applyProtection="0"/>
    <xf numFmtId="0" fontId="69" fillId="5" borderId="0" applyNumberFormat="0" applyBorder="0" applyAlignment="0" applyProtection="0"/>
    <xf numFmtId="0" fontId="69" fillId="8" borderId="0" applyNumberFormat="0" applyBorder="0" applyAlignment="0" applyProtection="0"/>
    <xf numFmtId="0" fontId="69" fillId="11" borderId="0" applyNumberFormat="0" applyBorder="0" applyAlignment="0" applyProtection="0"/>
    <xf numFmtId="0" fontId="70" fillId="12" borderId="0" applyNumberFormat="0" applyBorder="0" applyAlignment="0" applyProtection="0"/>
    <xf numFmtId="0" fontId="70" fillId="9" borderId="0" applyNumberFormat="0" applyBorder="0" applyAlignment="0" applyProtection="0"/>
    <xf numFmtId="0" fontId="70" fillId="10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5" borderId="0" applyNumberFormat="0" applyBorder="0" applyAlignment="0" applyProtection="0"/>
    <xf numFmtId="0" fontId="70" fillId="16" borderId="0" applyNumberFormat="0" applyBorder="0" applyAlignment="0" applyProtection="0"/>
    <xf numFmtId="0" fontId="70" fillId="17" borderId="0" applyNumberFormat="0" applyBorder="0" applyAlignment="0" applyProtection="0"/>
    <xf numFmtId="0" fontId="70" fillId="18" borderId="0" applyNumberFormat="0" applyBorder="0" applyAlignment="0" applyProtection="0"/>
    <xf numFmtId="0" fontId="70" fillId="13" borderId="0" applyNumberFormat="0" applyBorder="0" applyAlignment="0" applyProtection="0"/>
    <xf numFmtId="0" fontId="70" fillId="14" borderId="0" applyNumberFormat="0" applyBorder="0" applyAlignment="0" applyProtection="0"/>
    <xf numFmtId="0" fontId="70" fillId="19" borderId="0" applyNumberFormat="0" applyBorder="0" applyAlignment="0" applyProtection="0"/>
    <xf numFmtId="0" fontId="71" fillId="7" borderId="1" applyNumberFormat="0" applyAlignment="0" applyProtection="0"/>
    <xf numFmtId="0" fontId="72" fillId="20" borderId="2" applyNumberFormat="0" applyAlignment="0" applyProtection="0"/>
    <xf numFmtId="0" fontId="73" fillId="20" borderId="1" applyNumberFormat="0" applyAlignment="0" applyProtection="0"/>
    <xf numFmtId="164" fontId="2" fillId="0" borderId="0" applyFont="0" applyFill="0" applyBorder="0" applyAlignment="0" applyProtection="0"/>
    <xf numFmtId="0" fontId="74" fillId="0" borderId="3" applyNumberFormat="0" applyFill="0" applyAlignment="0" applyProtection="0"/>
    <xf numFmtId="0" fontId="75" fillId="0" borderId="4" applyNumberFormat="0" applyFill="0" applyAlignment="0" applyProtection="0"/>
    <xf numFmtId="0" fontId="76" fillId="0" borderId="5" applyNumberFormat="0" applyFill="0" applyAlignment="0" applyProtection="0"/>
    <xf numFmtId="0" fontId="76" fillId="0" borderId="0" applyNumberFormat="0" applyFill="0" applyBorder="0" applyAlignment="0" applyProtection="0"/>
    <xf numFmtId="0" fontId="77" fillId="0" borderId="6" applyNumberFormat="0" applyFill="0" applyAlignment="0" applyProtection="0"/>
    <xf numFmtId="0" fontId="78" fillId="21" borderId="7" applyNumberFormat="0" applyAlignment="0" applyProtection="0"/>
    <xf numFmtId="0" fontId="79" fillId="0" borderId="0" applyNumberFormat="0" applyFill="0" applyBorder="0" applyAlignment="0" applyProtection="0"/>
    <xf numFmtId="0" fontId="80" fillId="22" borderId="0" applyNumberFormat="0" applyBorder="0" applyAlignment="0" applyProtection="0"/>
    <xf numFmtId="0" fontId="81" fillId="3" borderId="0" applyNumberFormat="0" applyBorder="0" applyAlignment="0" applyProtection="0"/>
    <xf numFmtId="0" fontId="82" fillId="0" borderId="0" applyNumberFormat="0" applyFill="0" applyBorder="0" applyAlignment="0" applyProtection="0"/>
    <xf numFmtId="0" fontId="2" fillId="23" borderId="8" applyNumberFormat="0" applyFont="0" applyAlignment="0" applyProtection="0"/>
    <xf numFmtId="9" fontId="2" fillId="0" borderId="0" applyFont="0" applyFill="0" applyBorder="0" applyAlignment="0" applyProtection="0"/>
    <xf numFmtId="0" fontId="83" fillId="0" borderId="9" applyNumberFormat="0" applyFill="0" applyAlignment="0" applyProtection="0"/>
    <xf numFmtId="0" fontId="84" fillId="0" borderId="0" applyNumberFormat="0" applyFill="0" applyBorder="0" applyAlignment="0" applyProtection="0"/>
    <xf numFmtId="0" fontId="85" fillId="4" borderId="0" applyNumberFormat="0" applyBorder="0" applyAlignment="0" applyProtection="0"/>
  </cellStyleXfs>
  <cellXfs count="2691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10" xfId="0" applyNumberFormat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 applyProtection="1">
      <alignment vertical="center"/>
    </xf>
    <xf numFmtId="0" fontId="0" fillId="0" borderId="13" xfId="0" applyBorder="1" applyAlignment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>
      <alignment horizontal="center"/>
    </xf>
    <xf numFmtId="0" fontId="11" fillId="0" borderId="10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0" borderId="0" xfId="0" applyFont="1"/>
    <xf numFmtId="0" fontId="0" fillId="0" borderId="0" xfId="0" applyFill="1" applyAlignment="1">
      <alignment vertical="center"/>
    </xf>
    <xf numFmtId="2" fontId="0" fillId="0" borderId="15" xfId="0" applyNumberFormat="1" applyBorder="1" applyProtection="1"/>
    <xf numFmtId="0" fontId="9" fillId="0" borderId="0" xfId="0" applyFont="1" applyAlignment="1" applyProtection="1">
      <alignment horizontal="centerContinuous" vertical="center"/>
    </xf>
    <xf numFmtId="0" fontId="0" fillId="0" borderId="0" xfId="0" applyProtection="1"/>
    <xf numFmtId="2" fontId="0" fillId="0" borderId="0" xfId="0" applyNumberFormat="1" applyProtection="1"/>
    <xf numFmtId="0" fontId="0" fillId="0" borderId="15" xfId="0" applyBorder="1" applyProtection="1"/>
    <xf numFmtId="0" fontId="0" fillId="0" borderId="0" xfId="0" applyAlignment="1" applyProtection="1"/>
    <xf numFmtId="0" fontId="0" fillId="0" borderId="0" xfId="0" applyAlignment="1" applyProtection="1">
      <alignment horizontal="center"/>
    </xf>
    <xf numFmtId="165" fontId="0" fillId="0" borderId="0" xfId="0" applyNumberFormat="1" applyProtection="1"/>
    <xf numFmtId="0" fontId="11" fillId="0" borderId="0" xfId="0" applyFont="1" applyAlignment="1"/>
    <xf numFmtId="0" fontId="0" fillId="0" borderId="14" xfId="0" applyBorder="1"/>
    <xf numFmtId="0" fontId="0" fillId="0" borderId="14" xfId="0" applyBorder="1" applyAlignment="1">
      <alignment horizontal="right"/>
    </xf>
    <xf numFmtId="0" fontId="0" fillId="0" borderId="0" xfId="0" applyBorder="1"/>
    <xf numFmtId="0" fontId="0" fillId="0" borderId="14" xfId="0" applyBorder="1" applyAlignment="1">
      <alignment wrapText="1"/>
    </xf>
    <xf numFmtId="0" fontId="0" fillId="0" borderId="0" xfId="0" applyAlignment="1" applyProtection="1">
      <alignment horizontal="center"/>
      <protection locked="0"/>
    </xf>
    <xf numFmtId="0" fontId="9" fillId="0" borderId="10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Border="1" applyAlignment="1">
      <alignment vertical="center"/>
    </xf>
    <xf numFmtId="0" fontId="10" fillId="25" borderId="0" xfId="0" applyFont="1" applyFill="1" applyBorder="1" applyAlignment="1">
      <alignment vertical="center"/>
    </xf>
    <xf numFmtId="0" fontId="10" fillId="0" borderId="1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1" fontId="0" fillId="0" borderId="15" xfId="0" applyNumberFormat="1" applyFill="1" applyBorder="1" applyProtection="1"/>
    <xf numFmtId="0" fontId="29" fillId="0" borderId="1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0" fillId="0" borderId="0" xfId="0" applyFill="1"/>
    <xf numFmtId="0" fontId="0" fillId="0" borderId="10" xfId="0" applyBorder="1" applyAlignment="1">
      <alignment horizontal="right" vertical="center"/>
    </xf>
    <xf numFmtId="0" fontId="35" fillId="0" borderId="0" xfId="0" applyFont="1" applyAlignment="1">
      <alignment vertical="center"/>
    </xf>
    <xf numFmtId="0" fontId="29" fillId="0" borderId="21" xfId="0" applyFont="1" applyBorder="1" applyAlignment="1">
      <alignment horizontal="center" vertical="center" wrapText="1"/>
    </xf>
    <xf numFmtId="0" fontId="10" fillId="0" borderId="22" xfId="0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0" fontId="0" fillId="28" borderId="10" xfId="0" applyFill="1" applyBorder="1" applyAlignment="1" applyProtection="1">
      <alignment vertical="center"/>
      <protection locked="0"/>
    </xf>
    <xf numFmtId="49" fontId="7" fillId="28" borderId="10" xfId="0" applyNumberFormat="1" applyFont="1" applyFill="1" applyBorder="1" applyAlignment="1" applyProtection="1">
      <alignment vertical="center"/>
      <protection locked="0"/>
    </xf>
    <xf numFmtId="0" fontId="7" fillId="28" borderId="10" xfId="0" applyFont="1" applyFill="1" applyBorder="1" applyAlignment="1" applyProtection="1">
      <alignment vertical="center"/>
      <protection locked="0"/>
    </xf>
    <xf numFmtId="2" fontId="0" fillId="0" borderId="15" xfId="0" applyNumberFormat="1" applyBorder="1" applyProtection="1">
      <protection locked="0"/>
    </xf>
    <xf numFmtId="0" fontId="14" fillId="28" borderId="10" xfId="0" applyFont="1" applyFill="1" applyBorder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</xf>
    <xf numFmtId="0" fontId="35" fillId="0" borderId="10" xfId="0" applyFont="1" applyBorder="1" applyAlignment="1">
      <alignment vertical="center"/>
    </xf>
    <xf numFmtId="0" fontId="38" fillId="0" borderId="0" xfId="0" applyFont="1" applyAlignment="1">
      <alignment horizontal="right" vertical="center"/>
    </xf>
    <xf numFmtId="0" fontId="10" fillId="0" borderId="0" xfId="0" applyFont="1" applyFill="1" applyBorder="1" applyAlignment="1">
      <alignment vertical="center"/>
    </xf>
    <xf numFmtId="49" fontId="3" fillId="0" borderId="0" xfId="0" applyNumberFormat="1" applyFont="1" applyBorder="1" applyAlignment="1">
      <alignment vertical="center" wrapText="1"/>
    </xf>
    <xf numFmtId="0" fontId="29" fillId="0" borderId="24" xfId="0" applyFont="1" applyFill="1" applyBorder="1" applyAlignment="1">
      <alignment horizontal="center" vertical="center" wrapText="1"/>
    </xf>
    <xf numFmtId="0" fontId="29" fillId="0" borderId="25" xfId="0" applyFont="1" applyBorder="1" applyAlignment="1">
      <alignment horizontal="centerContinuous" vertical="center"/>
    </xf>
    <xf numFmtId="0" fontId="29" fillId="0" borderId="26" xfId="0" applyFont="1" applyBorder="1" applyAlignment="1">
      <alignment horizontal="centerContinuous" vertical="center"/>
    </xf>
    <xf numFmtId="0" fontId="29" fillId="0" borderId="19" xfId="0" applyFont="1" applyBorder="1" applyAlignment="1">
      <alignment horizontal="center" vertical="center" wrapText="1"/>
    </xf>
    <xf numFmtId="0" fontId="0" fillId="28" borderId="10" xfId="0" applyFill="1" applyBorder="1" applyAlignment="1" applyProtection="1">
      <alignment horizontal="center" vertical="center"/>
      <protection locked="0"/>
    </xf>
    <xf numFmtId="0" fontId="0" fillId="28" borderId="0" xfId="0" applyFill="1" applyAlignment="1" applyProtection="1">
      <alignment vertical="center"/>
      <protection locked="0"/>
    </xf>
    <xf numFmtId="0" fontId="0" fillId="0" borderId="0" xfId="0" applyFill="1" applyAlignment="1">
      <alignment horizontal="left" vertical="center"/>
    </xf>
    <xf numFmtId="0" fontId="0" fillId="0" borderId="0" xfId="0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30" borderId="0" xfId="0" applyFill="1" applyAlignment="1" applyProtection="1">
      <alignment vertical="center"/>
      <protection locked="0"/>
    </xf>
    <xf numFmtId="0" fontId="2" fillId="30" borderId="0" xfId="0" applyFont="1" applyFill="1" applyBorder="1" applyAlignment="1" applyProtection="1">
      <alignment vertical="center"/>
      <protection locked="0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right" vertical="center" wrapText="1"/>
    </xf>
    <xf numFmtId="0" fontId="0" fillId="0" borderId="15" xfId="0" applyBorder="1" applyAlignment="1">
      <alignment vertical="center"/>
    </xf>
    <xf numFmtId="0" fontId="0" fillId="28" borderId="15" xfId="0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28" borderId="15" xfId="0" applyNumberFormat="1" applyFill="1" applyBorder="1" applyAlignment="1">
      <alignment vertical="center"/>
    </xf>
    <xf numFmtId="1" fontId="0" fillId="0" borderId="15" xfId="0" applyNumberFormat="1" applyFill="1" applyBorder="1" applyAlignment="1">
      <alignment vertical="center"/>
    </xf>
    <xf numFmtId="0" fontId="0" fillId="28" borderId="15" xfId="0" applyFill="1" applyBorder="1" applyAlignment="1" applyProtection="1">
      <alignment horizontal="center" vertical="center"/>
      <protection locked="0"/>
    </xf>
    <xf numFmtId="0" fontId="0" fillId="25" borderId="15" xfId="0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15" xfId="0" applyBorder="1" applyAlignment="1" applyProtection="1">
      <alignment vertical="center"/>
      <protection locked="0"/>
    </xf>
    <xf numFmtId="0" fontId="0" fillId="0" borderId="14" xfId="0" applyBorder="1" applyAlignment="1">
      <alignment vertical="center"/>
    </xf>
    <xf numFmtId="0" fontId="0" fillId="28" borderId="14" xfId="0" applyFill="1" applyBorder="1" applyAlignment="1" applyProtection="1">
      <alignment horizontal="center" vertical="center"/>
      <protection locked="0"/>
    </xf>
    <xf numFmtId="0" fontId="0" fillId="0" borderId="29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22" xfId="0" applyNumberFormat="1" applyBorder="1" applyAlignment="1">
      <alignment horizontal="center" vertical="center"/>
    </xf>
    <xf numFmtId="0" fontId="0" fillId="0" borderId="22" xfId="0" applyNumberForma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0" fillId="0" borderId="10" xfId="0" applyNumberFormat="1" applyBorder="1" applyAlignment="1">
      <alignment vertical="center"/>
    </xf>
    <xf numFmtId="0" fontId="0" fillId="25" borderId="10" xfId="0" applyNumberFormat="1" applyFill="1" applyBorder="1" applyAlignment="1">
      <alignment vertical="center"/>
    </xf>
    <xf numFmtId="0" fontId="0" fillId="0" borderId="10" xfId="0" applyNumberFormat="1" applyBorder="1" applyAlignment="1">
      <alignment vertical="center" wrapText="1"/>
    </xf>
    <xf numFmtId="0" fontId="0" fillId="0" borderId="18" xfId="0" applyNumberFormat="1" applyBorder="1" applyAlignment="1">
      <alignment vertical="center" wrapText="1"/>
    </xf>
    <xf numFmtId="0" fontId="0" fillId="0" borderId="18" xfId="0" applyBorder="1" applyAlignment="1">
      <alignment horizontal="right" vertical="center" wrapText="1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0" xfId="0" applyBorder="1" applyAlignment="1">
      <alignment horizontal="right" vertical="center" wrapText="1"/>
    </xf>
    <xf numFmtId="0" fontId="24" fillId="0" borderId="0" xfId="0" applyNumberFormat="1" applyFont="1" applyBorder="1" applyAlignment="1">
      <alignment horizontal="center" vertical="center"/>
    </xf>
    <xf numFmtId="1" fontId="0" fillId="28" borderId="0" xfId="0" applyNumberFormat="1" applyFill="1" applyBorder="1" applyAlignment="1" applyProtection="1">
      <alignment horizontal="center" vertical="center"/>
      <protection locked="0"/>
    </xf>
    <xf numFmtId="0" fontId="0" fillId="28" borderId="0" xfId="0" applyNumberFormat="1" applyFill="1" applyBorder="1" applyAlignment="1" applyProtection="1">
      <alignment vertical="center"/>
      <protection locked="0"/>
    </xf>
    <xf numFmtId="1" fontId="0" fillId="0" borderId="22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right" vertical="center"/>
    </xf>
    <xf numFmtId="0" fontId="0" fillId="0" borderId="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vertical="center"/>
    </xf>
    <xf numFmtId="0" fontId="0" fillId="0" borderId="18" xfId="0" applyNumberFormat="1" applyBorder="1" applyAlignment="1">
      <alignment vertical="center"/>
    </xf>
    <xf numFmtId="0" fontId="0" fillId="0" borderId="23" xfId="0" applyNumberFormat="1" applyBorder="1" applyAlignment="1">
      <alignment vertical="center"/>
    </xf>
    <xf numFmtId="167" fontId="0" fillId="28" borderId="0" xfId="0" applyNumberFormat="1" applyFill="1" applyBorder="1" applyAlignment="1" applyProtection="1">
      <alignment vertical="center"/>
      <protection locked="0"/>
    </xf>
    <xf numFmtId="167" fontId="0" fillId="28" borderId="0" xfId="0" applyNumberFormat="1" applyFill="1" applyAlignment="1" applyProtection="1">
      <alignment vertical="center"/>
      <protection locked="0"/>
    </xf>
    <xf numFmtId="10" fontId="0" fillId="0" borderId="0" xfId="0" applyNumberFormat="1" applyAlignment="1">
      <alignment vertical="center"/>
    </xf>
    <xf numFmtId="167" fontId="0" fillId="0" borderId="0" xfId="0" applyNumberFormat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0" xfId="0" applyNumberFormat="1" applyFill="1" applyBorder="1" applyAlignment="1">
      <alignment vertical="center"/>
    </xf>
    <xf numFmtId="0" fontId="0" fillId="28" borderId="0" xfId="0" applyNumberFormat="1" applyFill="1" applyBorder="1" applyAlignment="1" applyProtection="1">
      <alignment horizontal="center" vertical="center"/>
      <protection locked="0"/>
    </xf>
    <xf numFmtId="165" fontId="0" fillId="0" borderId="0" xfId="0" applyNumberFormat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2" fontId="10" fillId="0" borderId="0" xfId="0" applyNumberFormat="1" applyFont="1" applyBorder="1" applyAlignment="1">
      <alignment vertical="center"/>
    </xf>
    <xf numFmtId="0" fontId="39" fillId="0" borderId="0" xfId="0" applyFont="1" applyBorder="1" applyAlignment="1">
      <alignment vertical="center"/>
    </xf>
    <xf numFmtId="0" fontId="0" fillId="30" borderId="0" xfId="0" applyFill="1" applyAlignment="1">
      <alignment horizontal="center" vertical="center"/>
    </xf>
    <xf numFmtId="1" fontId="0" fillId="30" borderId="0" xfId="0" applyNumberFormat="1" applyFill="1" applyBorder="1" applyAlignment="1" applyProtection="1">
      <alignment vertical="center"/>
      <protection locked="0"/>
    </xf>
    <xf numFmtId="0" fontId="24" fillId="0" borderId="10" xfId="0" applyFont="1" applyBorder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0" fillId="0" borderId="13" xfId="0" applyBorder="1"/>
    <xf numFmtId="0" fontId="25" fillId="0" borderId="31" xfId="0" applyFon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right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4" fontId="0" fillId="0" borderId="14" xfId="0" applyNumberFormat="1" applyBorder="1"/>
    <xf numFmtId="1" fontId="10" fillId="0" borderId="10" xfId="0" applyNumberFormat="1" applyFont="1" applyBorder="1" applyAlignment="1">
      <alignment horizontal="right" vertical="center"/>
    </xf>
    <xf numFmtId="2" fontId="10" fillId="0" borderId="10" xfId="0" applyNumberFormat="1" applyFont="1" applyBorder="1" applyAlignment="1">
      <alignment horizontal="right" vertical="center"/>
    </xf>
    <xf numFmtId="0" fontId="4" fillId="0" borderId="0" xfId="0" applyFont="1" applyFill="1" applyBorder="1" applyAlignment="1">
      <alignment vertical="center"/>
    </xf>
    <xf numFmtId="0" fontId="10" fillId="0" borderId="27" xfId="0" applyFont="1" applyBorder="1" applyAlignment="1">
      <alignment vertical="center"/>
    </xf>
    <xf numFmtId="0" fontId="3" fillId="0" borderId="0" xfId="0" applyFont="1" applyBorder="1" applyAlignment="1">
      <alignment horizontal="center" vertical="center" wrapText="1"/>
    </xf>
    <xf numFmtId="0" fontId="0" fillId="0" borderId="0" xfId="0" applyFill="1" applyBorder="1" applyAlignment="1" applyProtection="1">
      <alignment vertical="center"/>
    </xf>
    <xf numFmtId="167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right" vertical="center"/>
    </xf>
    <xf numFmtId="0" fontId="42" fillId="0" borderId="0" xfId="0" applyFont="1" applyAlignment="1" applyProtection="1">
      <alignment vertical="center"/>
    </xf>
    <xf numFmtId="0" fontId="0" fillId="0" borderId="10" xfId="0" applyBorder="1" applyAlignment="1" applyProtection="1">
      <alignment vertical="center"/>
    </xf>
    <xf numFmtId="0" fontId="46" fillId="0" borderId="10" xfId="0" applyFont="1" applyBorder="1" applyAlignment="1">
      <alignment horizontal="right" vertical="center"/>
    </xf>
    <xf numFmtId="3" fontId="46" fillId="0" borderId="10" xfId="0" applyNumberFormat="1" applyFont="1" applyBorder="1" applyAlignment="1">
      <alignment horizontal="center" vertical="center"/>
    </xf>
    <xf numFmtId="3" fontId="0" fillId="28" borderId="10" xfId="0" applyNumberFormat="1" applyFill="1" applyBorder="1" applyAlignment="1" applyProtection="1">
      <alignment horizontal="center" vertical="center"/>
      <protection locked="0"/>
    </xf>
    <xf numFmtId="3" fontId="0" fillId="26" borderId="10" xfId="0" applyNumberFormat="1" applyFill="1" applyBorder="1" applyAlignment="1" applyProtection="1">
      <alignment horizontal="center" vertical="center"/>
    </xf>
    <xf numFmtId="0" fontId="4" fillId="0" borderId="36" xfId="0" applyFont="1" applyBorder="1" applyAlignment="1" applyProtection="1">
      <alignment vertical="center"/>
    </xf>
    <xf numFmtId="0" fontId="0" fillId="0" borderId="36" xfId="0" applyBorder="1" applyAlignment="1" applyProtection="1">
      <alignment vertical="center"/>
    </xf>
    <xf numFmtId="0" fontId="0" fillId="0" borderId="38" xfId="0" applyBorder="1" applyAlignment="1" applyProtection="1">
      <alignment vertical="center"/>
    </xf>
    <xf numFmtId="0" fontId="49" fillId="0" borderId="39" xfId="0" applyFont="1" applyFill="1" applyBorder="1" applyAlignment="1" applyProtection="1">
      <alignment vertical="center"/>
    </xf>
    <xf numFmtId="164" fontId="49" fillId="0" borderId="39" xfId="0" applyNumberFormat="1" applyFont="1" applyFill="1" applyBorder="1" applyAlignment="1" applyProtection="1">
      <alignment vertical="center"/>
    </xf>
    <xf numFmtId="2" fontId="0" fillId="28" borderId="15" xfId="0" applyNumberFormat="1" applyFill="1" applyBorder="1" applyProtection="1"/>
    <xf numFmtId="164" fontId="4" fillId="0" borderId="36" xfId="0" applyNumberFormat="1" applyFont="1" applyBorder="1" applyAlignment="1" applyProtection="1">
      <alignment horizontal="center" vertical="center"/>
    </xf>
    <xf numFmtId="164" fontId="2" fillId="0" borderId="36" xfId="0" applyNumberFormat="1" applyFont="1" applyBorder="1" applyAlignment="1" applyProtection="1">
      <alignment vertical="center"/>
    </xf>
    <xf numFmtId="0" fontId="2" fillId="0" borderId="15" xfId="0" applyFont="1" applyBorder="1" applyProtection="1"/>
    <xf numFmtId="0" fontId="11" fillId="0" borderId="0" xfId="0" applyFont="1" applyBorder="1" applyAlignment="1" applyProtection="1">
      <alignment vertical="center"/>
    </xf>
    <xf numFmtId="0" fontId="11" fillId="0" borderId="0" xfId="0" applyFont="1" applyBorder="1" applyAlignment="1" applyProtection="1">
      <alignment horizontal="center" vertical="center"/>
    </xf>
    <xf numFmtId="0" fontId="11" fillId="0" borderId="0" xfId="0" applyNumberFormat="1" applyFont="1" applyBorder="1" applyAlignment="1" applyProtection="1">
      <alignment vertical="center"/>
    </xf>
    <xf numFmtId="169" fontId="7" fillId="28" borderId="10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right" vertical="center"/>
    </xf>
    <xf numFmtId="0" fontId="2" fillId="0" borderId="10" xfId="0" applyFont="1" applyBorder="1" applyAlignment="1" applyProtection="1">
      <alignment vertical="center"/>
    </xf>
    <xf numFmtId="0" fontId="0" fillId="0" borderId="0" xfId="0" applyFill="1" applyBorder="1" applyAlignment="1">
      <alignment vertical="center" wrapText="1"/>
    </xf>
    <xf numFmtId="165" fontId="0" fillId="29" borderId="20" xfId="0" applyNumberFormat="1" applyFill="1" applyBorder="1" applyAlignment="1" applyProtection="1">
      <alignment vertical="center"/>
    </xf>
    <xf numFmtId="0" fontId="0" fillId="0" borderId="27" xfId="0" applyFill="1" applyBorder="1" applyAlignment="1">
      <alignment vertical="center"/>
    </xf>
    <xf numFmtId="0" fontId="24" fillId="0" borderId="27" xfId="0" applyFont="1" applyFill="1" applyBorder="1" applyAlignment="1">
      <alignment vertical="center"/>
    </xf>
    <xf numFmtId="0" fontId="0" fillId="0" borderId="27" xfId="0" applyFill="1" applyBorder="1" applyAlignment="1" applyProtection="1">
      <alignment vertical="center"/>
      <protection locked="0"/>
    </xf>
    <xf numFmtId="0" fontId="0" fillId="0" borderId="31" xfId="0" applyBorder="1" applyAlignment="1" applyProtection="1">
      <alignment vertical="center"/>
    </xf>
    <xf numFmtId="0" fontId="51" fillId="0" borderId="0" xfId="0" applyFont="1" applyFill="1" applyBorder="1" applyAlignment="1" applyProtection="1">
      <alignment horizontal="left"/>
    </xf>
    <xf numFmtId="0" fontId="0" fillId="0" borderId="0" xfId="0" applyNumberFormat="1" applyBorder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2" borderId="0" xfId="0" applyNumberFormat="1" applyFill="1" applyAlignment="1" applyProtection="1">
      <alignment vertical="center"/>
    </xf>
    <xf numFmtId="172" fontId="0" fillId="0" borderId="28" xfId="0" applyNumberFormat="1" applyBorder="1" applyAlignment="1" applyProtection="1">
      <alignment horizontal="right" vertical="center"/>
    </xf>
    <xf numFmtId="0" fontId="0" fillId="28" borderId="20" xfId="0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center" vertical="justify"/>
    </xf>
    <xf numFmtId="0" fontId="0" fillId="0" borderId="10" xfId="0" applyBorder="1" applyAlignment="1">
      <alignment horizontal="center" vertical="justify"/>
    </xf>
    <xf numFmtId="10" fontId="2" fillId="0" borderId="36" xfId="0" applyNumberFormat="1" applyFont="1" applyBorder="1" applyAlignment="1" applyProtection="1">
      <alignment horizontal="center" vertical="center"/>
    </xf>
    <xf numFmtId="10" fontId="24" fillId="0" borderId="39" xfId="0" applyNumberFormat="1" applyFont="1" applyFill="1" applyBorder="1" applyAlignment="1" applyProtection="1">
      <alignment horizontal="center" vertical="center"/>
    </xf>
    <xf numFmtId="0" fontId="47" fillId="0" borderId="0" xfId="0" applyFont="1" applyAlignment="1">
      <alignment horizontal="left" vertical="center"/>
    </xf>
    <xf numFmtId="0" fontId="0" fillId="32" borderId="0" xfId="0" applyNumberFormat="1" applyFill="1" applyAlignment="1" applyProtection="1">
      <alignment vertical="center"/>
      <protection locked="0"/>
    </xf>
    <xf numFmtId="0" fontId="24" fillId="0" borderId="0" xfId="0" applyFont="1" applyAlignment="1">
      <alignment vertical="center"/>
    </xf>
    <xf numFmtId="0" fontId="11" fillId="0" borderId="11" xfId="0" applyFont="1" applyBorder="1" applyAlignment="1" applyProtection="1">
      <alignment horizontal="center" vertical="center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vertical="center"/>
    </xf>
    <xf numFmtId="10" fontId="2" fillId="0" borderId="55" xfId="0" applyNumberFormat="1" applyFont="1" applyBorder="1" applyAlignment="1" applyProtection="1">
      <alignment horizontal="center" vertical="center"/>
    </xf>
    <xf numFmtId="164" fontId="3" fillId="0" borderId="55" xfId="0" applyNumberFormat="1" applyFont="1" applyBorder="1" applyAlignment="1" applyProtection="1">
      <alignment vertical="center"/>
    </xf>
    <xf numFmtId="10" fontId="2" fillId="0" borderId="37" xfId="0" applyNumberFormat="1" applyFont="1" applyBorder="1" applyAlignment="1" applyProtection="1">
      <alignment horizontal="center" vertical="center"/>
    </xf>
    <xf numFmtId="164" fontId="4" fillId="0" borderId="37" xfId="28" applyFont="1" applyBorder="1" applyAlignment="1" applyProtection="1">
      <alignment horizontal="center" vertical="center"/>
    </xf>
    <xf numFmtId="0" fontId="23" fillId="0" borderId="55" xfId="0" applyFont="1" applyBorder="1" applyAlignment="1" applyProtection="1">
      <alignment vertical="center"/>
    </xf>
    <xf numFmtId="0" fontId="4" fillId="0" borderId="36" xfId="0" applyFont="1" applyBorder="1" applyAlignment="1" applyProtection="1">
      <alignment horizontal="left" vertical="center"/>
    </xf>
    <xf numFmtId="0" fontId="8" fillId="0" borderId="35" xfId="0" applyFont="1" applyBorder="1" applyAlignment="1" applyProtection="1">
      <alignment vertical="center"/>
    </xf>
    <xf numFmtId="164" fontId="3" fillId="0" borderId="35" xfId="0" applyNumberFormat="1" applyFont="1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164" fontId="0" fillId="0" borderId="16" xfId="0" applyNumberFormat="1" applyBorder="1" applyAlignment="1" applyProtection="1">
      <alignment vertical="center"/>
    </xf>
    <xf numFmtId="0" fontId="44" fillId="27" borderId="21" xfId="0" applyFont="1" applyFill="1" applyBorder="1" applyAlignment="1">
      <alignment vertical="center"/>
    </xf>
    <xf numFmtId="0" fontId="52" fillId="27" borderId="18" xfId="0" applyFont="1" applyFill="1" applyBorder="1" applyAlignment="1">
      <alignment vertical="center"/>
    </xf>
    <xf numFmtId="0" fontId="52" fillId="27" borderId="10" xfId="0" applyFont="1" applyFill="1" applyBorder="1" applyAlignment="1">
      <alignment horizontal="center" vertical="center"/>
    </xf>
    <xf numFmtId="0" fontId="11" fillId="0" borderId="39" xfId="0" applyFont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Fill="1" applyBorder="1" applyProtection="1"/>
    <xf numFmtId="0" fontId="4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center" vertical="center"/>
    </xf>
    <xf numFmtId="3" fontId="0" fillId="0" borderId="0" xfId="0" applyNumberFormat="1" applyAlignment="1" applyProtection="1">
      <alignment horizontal="center" vertical="center"/>
    </xf>
    <xf numFmtId="0" fontId="11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center" vertical="center"/>
    </xf>
    <xf numFmtId="3" fontId="0" fillId="0" borderId="0" xfId="0" applyNumberFormat="1" applyFill="1" applyAlignment="1" applyProtection="1">
      <alignment horizontal="center" vertical="center"/>
    </xf>
    <xf numFmtId="4" fontId="0" fillId="0" borderId="0" xfId="0" applyNumberFormat="1" applyFill="1" applyAlignment="1" applyProtection="1">
      <alignment horizontal="center" vertical="center"/>
    </xf>
    <xf numFmtId="0" fontId="11" fillId="0" borderId="39" xfId="0" applyFont="1" applyBorder="1" applyAlignment="1" applyProtection="1">
      <alignment horizontal="center" vertical="center" wrapText="1"/>
    </xf>
    <xf numFmtId="2" fontId="24" fillId="0" borderId="0" xfId="0" applyNumberFormat="1" applyFont="1" applyProtection="1"/>
    <xf numFmtId="0" fontId="0" fillId="0" borderId="37" xfId="0" applyBorder="1" applyAlignment="1" applyProtection="1">
      <alignment vertical="center"/>
    </xf>
    <xf numFmtId="0" fontId="0" fillId="0" borderId="32" xfId="0" applyBorder="1" applyAlignment="1" applyProtection="1">
      <alignment vertical="center"/>
    </xf>
    <xf numFmtId="0" fontId="60" fillId="0" borderId="39" xfId="0" applyFont="1" applyBorder="1" applyAlignment="1" applyProtection="1">
      <alignment horizontal="center" vertical="center"/>
    </xf>
    <xf numFmtId="0" fontId="0" fillId="0" borderId="0" xfId="0" applyFill="1" applyProtection="1"/>
    <xf numFmtId="9" fontId="0" fillId="0" borderId="0" xfId="0" applyNumberFormat="1" applyAlignment="1" applyProtection="1">
      <alignment horizontal="center"/>
    </xf>
    <xf numFmtId="0" fontId="0" fillId="0" borderId="0" xfId="0" applyBorder="1" applyAlignment="1" applyProtection="1">
      <alignment horizontal="center" vertical="center"/>
    </xf>
    <xf numFmtId="171" fontId="0" fillId="0" borderId="0" xfId="0" applyNumberFormat="1" applyAlignment="1" applyProtection="1">
      <alignment vertical="center"/>
    </xf>
    <xf numFmtId="0" fontId="0" fillId="0" borderId="0" xfId="0" applyBorder="1" applyProtection="1"/>
    <xf numFmtId="2" fontId="0" fillId="0" borderId="0" xfId="0" applyNumberFormat="1" applyFill="1" applyBorder="1" applyProtection="1"/>
    <xf numFmtId="166" fontId="0" fillId="0" borderId="0" xfId="0" applyNumberFormat="1" applyProtection="1"/>
    <xf numFmtId="0" fontId="47" fillId="0" borderId="0" xfId="0" applyFont="1" applyAlignment="1">
      <alignment vertical="center"/>
    </xf>
    <xf numFmtId="0" fontId="62" fillId="0" borderId="0" xfId="0" applyFont="1" applyAlignment="1"/>
    <xf numFmtId="0" fontId="0" fillId="0" borderId="12" xfId="0" applyBorder="1"/>
    <xf numFmtId="0" fontId="0" fillId="0" borderId="12" xfId="0" applyBorder="1" applyAlignment="1"/>
    <xf numFmtId="0" fontId="0" fillId="0" borderId="0" xfId="0" applyNumberFormat="1" applyAlignment="1">
      <alignment horizontal="left"/>
    </xf>
    <xf numFmtId="0" fontId="27" fillId="0" borderId="0" xfId="0" applyFont="1" applyAlignment="1"/>
    <xf numFmtId="0" fontId="0" fillId="0" borderId="0" xfId="0" applyAlignment="1">
      <alignment horizontal="center" wrapText="1"/>
    </xf>
    <xf numFmtId="3" fontId="0" fillId="0" borderId="0" xfId="0" applyNumberFormat="1" applyAlignment="1">
      <alignment horizontal="left"/>
    </xf>
    <xf numFmtId="0" fontId="0" fillId="0" borderId="12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65" fillId="0" borderId="0" xfId="0" applyFont="1" applyAlignment="1">
      <alignment horizontal="right"/>
    </xf>
    <xf numFmtId="0" fontId="65" fillId="0" borderId="0" xfId="0" applyFont="1" applyAlignment="1"/>
    <xf numFmtId="0" fontId="11" fillId="0" borderId="0" xfId="0" applyFont="1" applyAlignment="1">
      <alignment horizontal="right"/>
    </xf>
    <xf numFmtId="0" fontId="63" fillId="0" borderId="14" xfId="0" applyFont="1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6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4" xfId="0" applyBorder="1" applyAlignment="1">
      <alignment horizontal="right" vertical="center"/>
    </xf>
    <xf numFmtId="4" fontId="0" fillId="0" borderId="14" xfId="0" applyNumberFormat="1" applyBorder="1" applyAlignment="1">
      <alignment vertical="center"/>
    </xf>
    <xf numFmtId="2" fontId="0" fillId="0" borderId="0" xfId="0" applyNumberFormat="1" applyBorder="1" applyProtection="1"/>
    <xf numFmtId="2" fontId="3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Alignment="1" applyProtection="1">
      <alignment horizontal="center"/>
    </xf>
    <xf numFmtId="2" fontId="3" fillId="0" borderId="10" xfId="0" applyNumberFormat="1" applyFont="1" applyBorder="1" applyAlignment="1" applyProtection="1">
      <alignment horizontal="center" vertical="center" wrapText="1"/>
    </xf>
    <xf numFmtId="167" fontId="47" fillId="31" borderId="10" xfId="0" applyNumberFormat="1" applyFont="1" applyFill="1" applyBorder="1" applyAlignment="1" applyProtection="1">
      <alignment horizontal="center"/>
    </xf>
    <xf numFmtId="0" fontId="51" fillId="0" borderId="0" xfId="0" applyFont="1" applyProtection="1"/>
    <xf numFmtId="0" fontId="14" fillId="33" borderId="0" xfId="0" applyFont="1" applyFill="1" applyBorder="1" applyAlignment="1" applyProtection="1">
      <alignment horizontal="center" vertical="center"/>
      <protection locked="0"/>
    </xf>
    <xf numFmtId="2" fontId="0" fillId="28" borderId="10" xfId="0" applyNumberFormat="1" applyFill="1" applyBorder="1" applyAlignment="1" applyProtection="1">
      <alignment vertical="center"/>
      <protection locked="0"/>
    </xf>
    <xf numFmtId="0" fontId="0" fillId="0" borderId="55" xfId="0" applyBorder="1"/>
    <xf numFmtId="0" fontId="0" fillId="0" borderId="55" xfId="0" applyBorder="1" applyAlignment="1"/>
    <xf numFmtId="0" fontId="0" fillId="0" borderId="16" xfId="0" applyBorder="1"/>
    <xf numFmtId="0" fontId="0" fillId="0" borderId="13" xfId="0" applyBorder="1" applyAlignment="1">
      <alignment horizontal="right" vertical="center"/>
    </xf>
    <xf numFmtId="0" fontId="0" fillId="0" borderId="13" xfId="0" applyBorder="1" applyAlignment="1">
      <alignment horizontal="left" vertical="center"/>
    </xf>
    <xf numFmtId="0" fontId="0" fillId="0" borderId="60" xfId="0" applyBorder="1"/>
    <xf numFmtId="3" fontId="0" fillId="0" borderId="0" xfId="0" applyNumberFormat="1" applyAlignment="1">
      <alignment horizontal="center" vertical="center"/>
    </xf>
    <xf numFmtId="0" fontId="7" fillId="0" borderId="0" xfId="0" applyFont="1" applyAlignment="1"/>
    <xf numFmtId="2" fontId="0" fillId="0" borderId="10" xfId="0" applyNumberFormat="1" applyFill="1" applyBorder="1" applyProtection="1"/>
    <xf numFmtId="0" fontId="3" fillId="0" borderId="20" xfId="0" applyFont="1" applyBorder="1" applyProtection="1"/>
    <xf numFmtId="2" fontId="0" fillId="0" borderId="14" xfId="0" applyNumberFormat="1" applyFill="1" applyBorder="1" applyProtection="1"/>
    <xf numFmtId="0" fontId="0" fillId="0" borderId="18" xfId="0" applyFill="1" applyBorder="1" applyProtection="1"/>
    <xf numFmtId="2" fontId="0" fillId="0" borderId="23" xfId="0" applyNumberFormat="1" applyFill="1" applyBorder="1" applyProtection="1"/>
    <xf numFmtId="0" fontId="0" fillId="0" borderId="34" xfId="0" applyFill="1" applyBorder="1" applyProtection="1"/>
    <xf numFmtId="0" fontId="2" fillId="0" borderId="10" xfId="0" applyFont="1" applyFill="1" applyBorder="1" applyProtection="1"/>
    <xf numFmtId="0" fontId="2" fillId="0" borderId="18" xfId="0" applyFont="1" applyFill="1" applyBorder="1" applyProtection="1"/>
    <xf numFmtId="0" fontId="0" fillId="0" borderId="61" xfId="0" applyFill="1" applyBorder="1" applyProtection="1"/>
    <xf numFmtId="0" fontId="0" fillId="0" borderId="13" xfId="0" applyFill="1" applyBorder="1" applyProtection="1"/>
    <xf numFmtId="0" fontId="0" fillId="0" borderId="13" xfId="0" applyBorder="1" applyProtection="1"/>
    <xf numFmtId="2" fontId="0" fillId="0" borderId="28" xfId="0" applyNumberFormat="1" applyBorder="1" applyProtection="1">
      <protection locked="0"/>
    </xf>
    <xf numFmtId="2" fontId="0" fillId="0" borderId="62" xfId="0" applyNumberFormat="1" applyBorder="1" applyProtection="1">
      <protection locked="0"/>
    </xf>
    <xf numFmtId="0" fontId="24" fillId="0" borderId="18" xfId="0" applyFont="1" applyFill="1" applyBorder="1" applyProtection="1"/>
    <xf numFmtId="1" fontId="28" fillId="0" borderId="61" xfId="0" applyNumberFormat="1" applyFont="1" applyFill="1" applyBorder="1" applyProtection="1"/>
    <xf numFmtId="0" fontId="0" fillId="24" borderId="18" xfId="0" applyFill="1" applyBorder="1" applyProtection="1"/>
    <xf numFmtId="2" fontId="0" fillId="0" borderId="15" xfId="0" applyNumberFormat="1" applyFill="1" applyBorder="1" applyProtection="1">
      <protection locked="0"/>
    </xf>
    <xf numFmtId="2" fontId="44" fillId="0" borderId="15" xfId="0" applyNumberFormat="1" applyFont="1" applyBorder="1" applyProtection="1">
      <protection locked="0"/>
    </xf>
    <xf numFmtId="0" fontId="0" fillId="0" borderId="23" xfId="0" applyFill="1" applyBorder="1" applyAlignment="1" applyProtection="1">
      <alignment horizontal="center"/>
      <protection locked="0"/>
    </xf>
    <xf numFmtId="0" fontId="7" fillId="0" borderId="0" xfId="0" applyFont="1" applyBorder="1" applyAlignment="1"/>
    <xf numFmtId="14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61" xfId="0" applyFont="1" applyBorder="1" applyAlignment="1" applyProtection="1">
      <alignment horizontal="center" vertical="center" wrapText="1"/>
    </xf>
    <xf numFmtId="0" fontId="9" fillId="0" borderId="18" xfId="0" applyFont="1" applyBorder="1" applyAlignment="1" applyProtection="1">
      <alignment horizontal="center" vertical="center" wrapText="1"/>
    </xf>
    <xf numFmtId="0" fontId="10" fillId="0" borderId="23" xfId="0" applyFont="1" applyBorder="1" applyAlignment="1" applyProtection="1">
      <alignment horizontal="center" vertical="center" wrapText="1"/>
      <protection locked="0"/>
    </xf>
    <xf numFmtId="0" fontId="10" fillId="0" borderId="23" xfId="0" applyFont="1" applyBorder="1" applyAlignment="1" applyProtection="1">
      <alignment horizontal="center" vertical="center" wrapText="1"/>
    </xf>
    <xf numFmtId="0" fontId="9" fillId="0" borderId="23" xfId="0" applyFont="1" applyBorder="1" applyAlignment="1" applyProtection="1">
      <alignment horizontal="center" vertical="center" wrapText="1"/>
    </xf>
    <xf numFmtId="2" fontId="9" fillId="0" borderId="23" xfId="0" applyNumberFormat="1" applyFont="1" applyBorder="1" applyAlignment="1" applyProtection="1">
      <alignment horizontal="center" vertical="center" wrapText="1"/>
    </xf>
    <xf numFmtId="165" fontId="9" fillId="0" borderId="23" xfId="0" applyNumberFormat="1" applyFont="1" applyFill="1" applyBorder="1" applyAlignment="1" applyProtection="1">
      <alignment horizontal="center" vertical="center" wrapText="1"/>
    </xf>
    <xf numFmtId="2" fontId="9" fillId="0" borderId="21" xfId="0" applyNumberFormat="1" applyFont="1" applyBorder="1" applyAlignment="1" applyProtection="1">
      <alignment horizontal="center" vertical="center" wrapText="1"/>
    </xf>
    <xf numFmtId="0" fontId="9" fillId="0" borderId="62" xfId="0" applyFont="1" applyBorder="1" applyAlignment="1" applyProtection="1">
      <alignment horizontal="center" vertical="center" wrapText="1"/>
    </xf>
    <xf numFmtId="2" fontId="9" fillId="0" borderId="20" xfId="0" applyNumberFormat="1" applyFont="1" applyBorder="1" applyAlignment="1" applyProtection="1">
      <alignment horizontal="center" vertical="center" wrapText="1"/>
    </xf>
    <xf numFmtId="0" fontId="62" fillId="0" borderId="18" xfId="0" applyFont="1" applyFill="1" applyBorder="1" applyProtection="1"/>
    <xf numFmtId="0" fontId="62" fillId="0" borderId="13" xfId="0" applyFont="1" applyFill="1" applyBorder="1" applyAlignment="1" applyProtection="1">
      <alignment horizontal="center"/>
      <protection locked="0"/>
    </xf>
    <xf numFmtId="0" fontId="62" fillId="0" borderId="13" xfId="0" applyFont="1" applyFill="1" applyBorder="1" applyProtection="1"/>
    <xf numFmtId="0" fontId="62" fillId="0" borderId="13" xfId="0" applyFont="1" applyFill="1" applyBorder="1" applyAlignment="1" applyProtection="1">
      <alignment horizontal="center"/>
    </xf>
    <xf numFmtId="2" fontId="62" fillId="0" borderId="13" xfId="0" applyNumberFormat="1" applyFont="1" applyFill="1" applyBorder="1" applyProtection="1"/>
    <xf numFmtId="165" fontId="62" fillId="0" borderId="13" xfId="0" applyNumberFormat="1" applyFont="1" applyFill="1" applyBorder="1" applyProtection="1"/>
    <xf numFmtId="0" fontId="62" fillId="0" borderId="23" xfId="0" applyFont="1" applyFill="1" applyBorder="1" applyAlignment="1" applyProtection="1">
      <alignment horizontal="center"/>
    </xf>
    <xf numFmtId="2" fontId="86" fillId="0" borderId="21" xfId="0" applyNumberFormat="1" applyFont="1" applyFill="1" applyBorder="1" applyProtection="1"/>
    <xf numFmtId="0" fontId="62" fillId="0" borderId="34" xfId="0" applyFont="1" applyFill="1" applyBorder="1" applyProtection="1"/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Fill="1" applyBorder="1" applyProtection="1"/>
    <xf numFmtId="0" fontId="62" fillId="0" borderId="0" xfId="0" applyFont="1" applyFill="1" applyBorder="1" applyAlignment="1" applyProtection="1">
      <alignment horizontal="center"/>
    </xf>
    <xf numFmtId="2" fontId="62" fillId="0" borderId="0" xfId="0" applyNumberFormat="1" applyFont="1" applyFill="1" applyBorder="1" applyProtection="1"/>
    <xf numFmtId="165" fontId="62" fillId="0" borderId="0" xfId="0" applyNumberFormat="1" applyFont="1" applyFill="1" applyBorder="1" applyProtection="1"/>
    <xf numFmtId="0" fontId="88" fillId="0" borderId="22" xfId="0" applyFont="1" applyFill="1" applyBorder="1" applyAlignment="1">
      <alignment wrapText="1"/>
    </xf>
    <xf numFmtId="2" fontId="62" fillId="0" borderId="22" xfId="0" applyNumberFormat="1" applyFont="1" applyFill="1" applyBorder="1" applyProtection="1"/>
    <xf numFmtId="0" fontId="62" fillId="0" borderId="22" xfId="0" applyFont="1" applyFill="1" applyBorder="1" applyAlignment="1" applyProtection="1">
      <alignment horizontal="center"/>
    </xf>
    <xf numFmtId="2" fontId="62" fillId="0" borderId="22" xfId="0" applyNumberFormat="1" applyFont="1" applyFill="1" applyBorder="1" applyProtection="1">
      <protection locked="0"/>
    </xf>
    <xf numFmtId="165" fontId="62" fillId="0" borderId="22" xfId="0" applyNumberFormat="1" applyFont="1" applyFill="1" applyBorder="1" applyProtection="1"/>
    <xf numFmtId="0" fontId="62" fillId="0" borderId="23" xfId="0" applyFont="1" applyFill="1" applyBorder="1" applyAlignment="1" applyProtection="1">
      <alignment horizontal="center"/>
      <protection locked="0"/>
    </xf>
    <xf numFmtId="0" fontId="62" fillId="0" borderId="23" xfId="0" applyFont="1" applyFill="1" applyBorder="1" applyProtection="1"/>
    <xf numFmtId="2" fontId="62" fillId="0" borderId="23" xfId="0" applyNumberFormat="1" applyFont="1" applyFill="1" applyBorder="1" applyProtection="1"/>
    <xf numFmtId="165" fontId="62" fillId="0" borderId="23" xfId="0" applyNumberFormat="1" applyFont="1" applyFill="1" applyBorder="1" applyProtection="1"/>
    <xf numFmtId="0" fontId="62" fillId="0" borderId="13" xfId="0" applyFont="1" applyFill="1" applyBorder="1" applyAlignment="1" applyProtection="1"/>
    <xf numFmtId="2" fontId="62" fillId="0" borderId="13" xfId="0" applyNumberFormat="1" applyFont="1" applyFill="1" applyBorder="1" applyProtection="1">
      <protection locked="0"/>
    </xf>
    <xf numFmtId="0" fontId="62" fillId="0" borderId="10" xfId="0" applyFont="1" applyFill="1" applyBorder="1" applyAlignment="1" applyProtection="1">
      <alignment horizontal="center"/>
    </xf>
    <xf numFmtId="0" fontId="62" fillId="0" borderId="0" xfId="0" applyFont="1" applyFill="1" applyBorder="1" applyAlignment="1" applyProtection="1"/>
    <xf numFmtId="2" fontId="62" fillId="0" borderId="0" xfId="0" applyNumberFormat="1" applyFont="1" applyFill="1" applyBorder="1" applyProtection="1">
      <protection locked="0"/>
    </xf>
    <xf numFmtId="0" fontId="62" fillId="0" borderId="23" xfId="0" applyFont="1" applyFill="1" applyBorder="1" applyAlignment="1" applyProtection="1"/>
    <xf numFmtId="2" fontId="62" fillId="0" borderId="23" xfId="0" applyNumberFormat="1" applyFont="1" applyFill="1" applyBorder="1" applyProtection="1">
      <protection locked="0"/>
    </xf>
    <xf numFmtId="0" fontId="62" fillId="0" borderId="13" xfId="0" applyFont="1" applyFill="1" applyBorder="1" applyAlignment="1" applyProtection="1">
      <alignment horizontal="left"/>
    </xf>
    <xf numFmtId="0" fontId="62" fillId="0" borderId="22" xfId="0" applyFont="1" applyFill="1" applyBorder="1" applyAlignment="1" applyProtection="1"/>
    <xf numFmtId="165" fontId="62" fillId="0" borderId="23" xfId="0" applyNumberFormat="1" applyFont="1" applyFill="1" applyBorder="1" applyProtection="1">
      <protection locked="0"/>
    </xf>
    <xf numFmtId="165" fontId="62" fillId="0" borderId="0" xfId="0" applyNumberFormat="1" applyFont="1" applyFill="1" applyBorder="1" applyProtection="1">
      <protection locked="0"/>
    </xf>
    <xf numFmtId="165" fontId="62" fillId="0" borderId="13" xfId="0" applyNumberFormat="1" applyFont="1" applyFill="1" applyBorder="1" applyProtection="1">
      <protection locked="0"/>
    </xf>
    <xf numFmtId="0" fontId="62" fillId="0" borderId="22" xfId="0" applyFont="1" applyFill="1" applyBorder="1" applyAlignment="1" applyProtection="1">
      <alignment horizontal="center"/>
      <protection locked="0"/>
    </xf>
    <xf numFmtId="0" fontId="62" fillId="0" borderId="22" xfId="0" applyFont="1" applyFill="1" applyBorder="1" applyProtection="1"/>
    <xf numFmtId="165" fontId="62" fillId="0" borderId="22" xfId="0" applyNumberFormat="1" applyFont="1" applyFill="1" applyBorder="1" applyProtection="1">
      <protection locked="0"/>
    </xf>
    <xf numFmtId="0" fontId="86" fillId="0" borderId="18" xfId="0" applyFont="1" applyFill="1" applyBorder="1" applyProtection="1"/>
    <xf numFmtId="0" fontId="87" fillId="0" borderId="23" xfId="0" applyFont="1" applyFill="1" applyBorder="1" applyAlignment="1" applyProtection="1">
      <alignment horizontal="center"/>
    </xf>
    <xf numFmtId="2" fontId="62" fillId="0" borderId="21" xfId="0" applyNumberFormat="1" applyFont="1" applyFill="1" applyBorder="1" applyAlignment="1" applyProtection="1">
      <alignment horizontal="center"/>
      <protection locked="0"/>
    </xf>
    <xf numFmtId="2" fontId="62" fillId="0" borderId="10" xfId="0" applyNumberFormat="1" applyFont="1" applyFill="1" applyBorder="1" applyAlignment="1" applyProtection="1">
      <alignment horizontal="center"/>
      <protection locked="0"/>
    </xf>
    <xf numFmtId="0" fontId="62" fillId="0" borderId="10" xfId="0" applyFont="1" applyFill="1" applyBorder="1" applyAlignment="1">
      <alignment horizontal="center"/>
    </xf>
    <xf numFmtId="1" fontId="62" fillId="0" borderId="34" xfId="0" applyNumberFormat="1" applyFont="1" applyFill="1" applyBorder="1" applyProtection="1"/>
    <xf numFmtId="0" fontId="62" fillId="0" borderId="29" xfId="0" applyFont="1" applyFill="1" applyBorder="1" applyProtection="1"/>
    <xf numFmtId="4" fontId="62" fillId="0" borderId="10" xfId="0" applyNumberFormat="1" applyFont="1" applyFill="1" applyBorder="1" applyProtection="1"/>
    <xf numFmtId="1" fontId="62" fillId="0" borderId="18" xfId="0" applyNumberFormat="1" applyFont="1" applyFill="1" applyBorder="1" applyProtection="1"/>
    <xf numFmtId="1" fontId="90" fillId="0" borderId="18" xfId="0" applyNumberFormat="1" applyFont="1" applyFill="1" applyBorder="1" applyProtection="1"/>
    <xf numFmtId="0" fontId="86" fillId="0" borderId="23" xfId="0" applyFont="1" applyFill="1" applyBorder="1" applyAlignment="1" applyProtection="1"/>
    <xf numFmtId="2" fontId="90" fillId="0" borderId="23" xfId="0" applyNumberFormat="1" applyFont="1" applyFill="1" applyBorder="1" applyProtection="1"/>
    <xf numFmtId="4" fontId="0" fillId="0" borderId="0" xfId="0" applyNumberFormat="1" applyProtection="1"/>
    <xf numFmtId="0" fontId="62" fillId="0" borderId="21" xfId="0" applyFont="1" applyFill="1" applyBorder="1" applyAlignment="1" applyProtection="1">
      <alignment horizontal="center"/>
    </xf>
    <xf numFmtId="1" fontId="62" fillId="0" borderId="10" xfId="0" applyNumberFormat="1" applyFont="1" applyFill="1" applyBorder="1" applyAlignment="1" applyProtection="1">
      <alignment horizontal="center"/>
    </xf>
    <xf numFmtId="3" fontId="62" fillId="0" borderId="10" xfId="0" applyNumberFormat="1" applyFont="1" applyFill="1" applyBorder="1" applyAlignment="1" applyProtection="1">
      <alignment horizontal="right"/>
    </xf>
    <xf numFmtId="2" fontId="0" fillId="0" borderId="10" xfId="0" applyNumberFormat="1" applyFill="1" applyBorder="1" applyProtection="1">
      <protection locked="0"/>
    </xf>
    <xf numFmtId="2" fontId="0" fillId="0" borderId="23" xfId="0" applyNumberFormat="1" applyFill="1" applyBorder="1" applyProtection="1">
      <protection locked="0"/>
    </xf>
    <xf numFmtId="2" fontId="0" fillId="28" borderId="14" xfId="0" applyNumberFormat="1" applyFill="1" applyBorder="1" applyAlignment="1" applyProtection="1">
      <alignment horizontal="right"/>
    </xf>
    <xf numFmtId="2" fontId="94" fillId="0" borderId="0" xfId="0" applyNumberFormat="1" applyFont="1" applyFill="1" applyBorder="1" applyProtection="1"/>
    <xf numFmtId="0" fontId="95" fillId="0" borderId="0" xfId="0" applyFont="1" applyAlignment="1" applyProtection="1">
      <alignment vertical="center"/>
    </xf>
    <xf numFmtId="168" fontId="0" fillId="0" borderId="0" xfId="0" applyNumberFormat="1" applyAlignment="1" applyProtection="1">
      <alignment vertical="center"/>
    </xf>
    <xf numFmtId="166" fontId="0" fillId="0" borderId="0" xfId="0" applyNumberFormat="1" applyAlignment="1" applyProtection="1">
      <alignment horizontal="center" vertical="center"/>
    </xf>
    <xf numFmtId="0" fontId="0" fillId="0" borderId="0" xfId="0" applyFill="1" applyAlignment="1" applyProtection="1">
      <alignment horizontal="right" vertical="center"/>
    </xf>
    <xf numFmtId="0" fontId="30" fillId="0" borderId="0" xfId="0" applyFont="1" applyFill="1" applyAlignment="1" applyProtection="1">
      <alignment horizontal="right" vertical="center"/>
    </xf>
    <xf numFmtId="168" fontId="0" fillId="0" borderId="0" xfId="0" applyNumberFormat="1" applyFill="1" applyAlignment="1" applyProtection="1">
      <alignment vertical="center"/>
    </xf>
    <xf numFmtId="168" fontId="30" fillId="0" borderId="0" xfId="0" applyNumberFormat="1" applyFont="1" applyFill="1" applyAlignment="1" applyProtection="1">
      <alignment vertical="center"/>
    </xf>
    <xf numFmtId="3" fontId="0" fillId="0" borderId="0" xfId="0" applyNumberFormat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15" xfId="0" applyFont="1" applyBorder="1" applyAlignment="1">
      <alignment vertical="center"/>
    </xf>
    <xf numFmtId="166" fontId="0" fillId="0" borderId="0" xfId="0" applyNumberFormat="1" applyAlignment="1" applyProtection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 applyProtection="1">
      <alignment horizontal="center" vertical="center"/>
    </xf>
    <xf numFmtId="176" fontId="0" fillId="0" borderId="0" xfId="0" applyNumberForma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3" fontId="0" fillId="0" borderId="14" xfId="0" applyNumberFormat="1" applyBorder="1"/>
    <xf numFmtId="177" fontId="0" fillId="0" borderId="14" xfId="0" applyNumberFormat="1" applyBorder="1"/>
    <xf numFmtId="177" fontId="0" fillId="0" borderId="14" xfId="0" applyNumberFormat="1" applyBorder="1" applyAlignment="1">
      <alignment vertical="center"/>
    </xf>
    <xf numFmtId="0" fontId="10" fillId="0" borderId="0" xfId="0" applyFont="1" applyAlignment="1" applyProtection="1">
      <alignment horizontal="centerContinuous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2" fontId="0" fillId="0" borderId="0" xfId="0" applyNumberFormat="1" applyAlignment="1" applyProtection="1">
      <alignment horizontal="right" vertical="center"/>
      <protection locked="0"/>
    </xf>
    <xf numFmtId="165" fontId="24" fillId="0" borderId="0" xfId="0" applyNumberFormat="1" applyFont="1" applyAlignment="1" applyProtection="1">
      <alignment horizontal="right" vertical="center"/>
      <protection locked="0"/>
    </xf>
    <xf numFmtId="2" fontId="24" fillId="0" borderId="0" xfId="0" applyNumberFormat="1" applyFont="1" applyAlignment="1" applyProtection="1">
      <alignment horizontal="right" vertical="center"/>
      <protection locked="0"/>
    </xf>
    <xf numFmtId="0" fontId="3" fillId="0" borderId="20" xfId="0" applyFont="1" applyBorder="1" applyAlignment="1" applyProtection="1">
      <alignment horizontal="center"/>
      <protection locked="0"/>
    </xf>
    <xf numFmtId="0" fontId="0" fillId="0" borderId="20" xfId="0" applyBorder="1" applyProtection="1">
      <protection locked="0"/>
    </xf>
    <xf numFmtId="0" fontId="3" fillId="0" borderId="20" xfId="0" applyFont="1" applyBorder="1" applyAlignment="1" applyProtection="1">
      <alignment horizontal="center" wrapText="1"/>
      <protection locked="0"/>
    </xf>
    <xf numFmtId="2" fontId="3" fillId="0" borderId="20" xfId="0" applyNumberFormat="1" applyFont="1" applyBorder="1" applyAlignment="1" applyProtection="1">
      <alignment horizontal="center" wrapText="1"/>
      <protection locked="0"/>
    </xf>
    <xf numFmtId="165" fontId="3" fillId="0" borderId="20" xfId="0" applyNumberFormat="1" applyFont="1" applyFill="1" applyBorder="1" applyAlignment="1" applyProtection="1">
      <alignment horizontal="center"/>
      <protection locked="0"/>
    </xf>
    <xf numFmtId="2" fontId="3" fillId="0" borderId="20" xfId="0" applyNumberFormat="1" applyFont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22" xfId="0" applyFill="1" applyBorder="1" applyProtection="1">
      <protection locked="0"/>
    </xf>
    <xf numFmtId="2" fontId="0" fillId="0" borderId="22" xfId="0" applyNumberFormat="1" applyFill="1" applyBorder="1" applyProtection="1">
      <protection locked="0"/>
    </xf>
    <xf numFmtId="0" fontId="23" fillId="0" borderId="18" xfId="0" applyFont="1" applyFill="1" applyBorder="1" applyAlignment="1" applyProtection="1">
      <protection locked="0"/>
    </xf>
    <xf numFmtId="0" fontId="0" fillId="0" borderId="23" xfId="0" applyFill="1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23" fillId="0" borderId="10" xfId="0" applyFont="1" applyFill="1" applyBorder="1" applyAlignment="1" applyProtection="1"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0" borderId="10" xfId="0" applyFill="1" applyBorder="1" applyProtection="1">
      <protection locked="0"/>
    </xf>
    <xf numFmtId="0" fontId="2" fillId="0" borderId="0" xfId="0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15" xfId="0" applyBorder="1" applyAlignment="1" applyProtection="1">
      <protection locked="0"/>
    </xf>
    <xf numFmtId="0" fontId="0" fillId="0" borderId="15" xfId="0" applyBorder="1" applyProtection="1">
      <protection locked="0"/>
    </xf>
    <xf numFmtId="0" fontId="11" fillId="0" borderId="23" xfId="0" applyFont="1" applyFill="1" applyBorder="1" applyAlignment="1" applyProtection="1">
      <protection locked="0"/>
    </xf>
    <xf numFmtId="0" fontId="11" fillId="0" borderId="13" xfId="0" applyFont="1" applyFill="1" applyBorder="1" applyAlignment="1" applyProtection="1">
      <alignment horizontal="center"/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0" fillId="0" borderId="13" xfId="0" applyFill="1" applyBorder="1" applyProtection="1">
      <protection locked="0"/>
    </xf>
    <xf numFmtId="2" fontId="0" fillId="0" borderId="13" xfId="0" applyNumberFormat="1" applyFill="1" applyBorder="1" applyProtection="1">
      <protection locked="0"/>
    </xf>
    <xf numFmtId="0" fontId="0" fillId="0" borderId="20" xfId="0" applyBorder="1" applyAlignment="1" applyProtection="1">
      <alignment horizontal="center"/>
      <protection locked="0"/>
    </xf>
    <xf numFmtId="2" fontId="0" fillId="0" borderId="0" xfId="0" applyNumberFormat="1" applyBorder="1" applyProtection="1">
      <protection locked="0"/>
    </xf>
    <xf numFmtId="0" fontId="11" fillId="0" borderId="18" xfId="0" applyFont="1" applyFill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protection locked="0"/>
    </xf>
    <xf numFmtId="0" fontId="11" fillId="0" borderId="23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left"/>
      <protection locked="0"/>
    </xf>
    <xf numFmtId="0" fontId="0" fillId="0" borderId="15" xfId="0" applyFill="1" applyBorder="1" applyAlignment="1" applyProtection="1">
      <protection locked="0"/>
    </xf>
    <xf numFmtId="0" fontId="11" fillId="0" borderId="61" xfId="0" applyFont="1" applyFill="1" applyBorder="1" applyAlignment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0" xfId="0" applyFont="1" applyBorder="1" applyProtection="1">
      <protection locked="0"/>
    </xf>
    <xf numFmtId="0" fontId="44" fillId="0" borderId="10" xfId="0" applyFont="1" applyBorder="1" applyProtection="1">
      <protection locked="0"/>
    </xf>
    <xf numFmtId="0" fontId="44" fillId="0" borderId="10" xfId="0" applyFont="1" applyBorder="1" applyAlignment="1" applyProtection="1">
      <alignment horizontal="center"/>
      <protection locked="0"/>
    </xf>
    <xf numFmtId="2" fontId="0" fillId="0" borderId="10" xfId="0" applyNumberFormat="1" applyBorder="1" applyProtection="1">
      <protection locked="0"/>
    </xf>
    <xf numFmtId="0" fontId="11" fillId="24" borderId="23" xfId="0" applyFont="1" applyFill="1" applyBorder="1" applyAlignment="1" applyProtection="1">
      <protection locked="0"/>
    </xf>
    <xf numFmtId="0" fontId="0" fillId="24" borderId="23" xfId="0" applyFill="1" applyBorder="1" applyAlignment="1" applyProtection="1">
      <alignment horizontal="center"/>
      <protection locked="0"/>
    </xf>
    <xf numFmtId="0" fontId="0" fillId="24" borderId="23" xfId="0" applyFill="1" applyBorder="1" applyProtection="1">
      <protection locked="0"/>
    </xf>
    <xf numFmtId="2" fontId="0" fillId="24" borderId="23" xfId="0" applyNumberFormat="1" applyFill="1" applyBorder="1" applyProtection="1">
      <protection locked="0"/>
    </xf>
    <xf numFmtId="165" fontId="0" fillId="24" borderId="23" xfId="0" applyNumberFormat="1" applyFill="1" applyBorder="1" applyProtection="1">
      <protection locked="0"/>
    </xf>
    <xf numFmtId="2" fontId="0" fillId="24" borderId="21" xfId="0" applyNumberFormat="1" applyFill="1" applyBorder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2" fontId="0" fillId="0" borderId="22" xfId="0" applyNumberFormat="1" applyFill="1" applyBorder="1" applyProtection="1"/>
    <xf numFmtId="165" fontId="0" fillId="0" borderId="23" xfId="0" applyNumberFormat="1" applyFill="1" applyBorder="1" applyProtection="1"/>
    <xf numFmtId="2" fontId="44" fillId="0" borderId="23" xfId="0" applyNumberFormat="1" applyFont="1" applyFill="1" applyBorder="1" applyProtection="1"/>
    <xf numFmtId="165" fontId="0" fillId="0" borderId="15" xfId="0" applyNumberFormat="1" applyBorder="1" applyProtection="1"/>
    <xf numFmtId="2" fontId="28" fillId="0" borderId="23" xfId="0" applyNumberFormat="1" applyFont="1" applyFill="1" applyBorder="1" applyProtection="1"/>
    <xf numFmtId="2" fontId="28" fillId="0" borderId="10" xfId="0" applyNumberFormat="1" applyFont="1" applyFill="1" applyBorder="1" applyProtection="1"/>
    <xf numFmtId="2" fontId="0" fillId="0" borderId="21" xfId="0" applyNumberFormat="1" applyFill="1" applyBorder="1" applyProtection="1"/>
    <xf numFmtId="2" fontId="0" fillId="0" borderId="13" xfId="0" applyNumberFormat="1" applyFill="1" applyBorder="1" applyProtection="1"/>
    <xf numFmtId="2" fontId="0" fillId="0" borderId="62" xfId="0" applyNumberFormat="1" applyBorder="1" applyProtection="1"/>
    <xf numFmtId="2" fontId="0" fillId="0" borderId="28" xfId="0" applyNumberFormat="1" applyBorder="1" applyProtection="1"/>
    <xf numFmtId="2" fontId="0" fillId="0" borderId="62" xfId="0" applyNumberFormat="1" applyFill="1" applyBorder="1" applyProtection="1"/>
    <xf numFmtId="2" fontId="0" fillId="0" borderId="15" xfId="0" applyNumberFormat="1" applyFill="1" applyBorder="1" applyProtection="1"/>
    <xf numFmtId="2" fontId="24" fillId="0" borderId="22" xfId="0" applyNumberFormat="1" applyFont="1" applyFill="1" applyBorder="1" applyProtection="1"/>
    <xf numFmtId="165" fontId="0" fillId="0" borderId="15" xfId="0" applyNumberFormat="1" applyBorder="1" applyProtection="1">
      <protection locked="0"/>
    </xf>
    <xf numFmtId="165" fontId="0" fillId="0" borderId="23" xfId="0" applyNumberFormat="1" applyFill="1" applyBorder="1" applyProtection="1">
      <protection locked="0"/>
    </xf>
    <xf numFmtId="165" fontId="0" fillId="0" borderId="10" xfId="0" applyNumberFormat="1" applyFill="1" applyBorder="1" applyProtection="1">
      <protection locked="0"/>
    </xf>
    <xf numFmtId="165" fontId="0" fillId="0" borderId="13" xfId="0" applyNumberFormat="1" applyFill="1" applyBorder="1" applyProtection="1">
      <protection locked="0"/>
    </xf>
    <xf numFmtId="165" fontId="0" fillId="28" borderId="62" xfId="0" applyNumberFormat="1" applyFill="1" applyBorder="1" applyProtection="1">
      <protection locked="0"/>
    </xf>
    <xf numFmtId="165" fontId="0" fillId="28" borderId="28" xfId="0" applyNumberFormat="1" applyFill="1" applyBorder="1" applyProtection="1">
      <protection locked="0"/>
    </xf>
    <xf numFmtId="165" fontId="0" fillId="0" borderId="22" xfId="0" applyNumberFormat="1" applyFill="1" applyBorder="1" applyProtection="1">
      <protection locked="0"/>
    </xf>
    <xf numFmtId="165" fontId="0" fillId="28" borderId="15" xfId="0" applyNumberFormat="1" applyFill="1" applyBorder="1" applyProtection="1">
      <protection locked="0"/>
    </xf>
    <xf numFmtId="0" fontId="27" fillId="0" borderId="0" xfId="0" applyFont="1"/>
    <xf numFmtId="0" fontId="100" fillId="0" borderId="13" xfId="0" applyFont="1" applyBorder="1" applyAlignment="1">
      <alignment horizontal="center" vertical="center" wrapText="1"/>
    </xf>
    <xf numFmtId="49" fontId="101" fillId="0" borderId="13" xfId="0" applyNumberFormat="1" applyFont="1" applyBorder="1" applyAlignment="1">
      <alignment horizontal="center" vertical="center" wrapText="1"/>
    </xf>
    <xf numFmtId="0" fontId="100" fillId="0" borderId="13" xfId="0" applyFont="1" applyBorder="1" applyAlignment="1">
      <alignment vertical="center"/>
    </xf>
    <xf numFmtId="9" fontId="100" fillId="0" borderId="13" xfId="0" applyNumberFormat="1" applyFont="1" applyBorder="1" applyAlignment="1">
      <alignment horizontal="right" vertical="center"/>
    </xf>
    <xf numFmtId="9" fontId="100" fillId="0" borderId="13" xfId="0" applyNumberFormat="1" applyFont="1" applyBorder="1" applyAlignment="1">
      <alignment horizontal="center" vertical="center"/>
    </xf>
    <xf numFmtId="4" fontId="100" fillId="0" borderId="0" xfId="0" applyNumberFormat="1" applyFont="1" applyBorder="1" applyAlignment="1">
      <alignment horizontal="left" vertical="center"/>
    </xf>
    <xf numFmtId="0" fontId="100" fillId="0" borderId="0" xfId="0" applyFont="1" applyBorder="1" applyAlignment="1">
      <alignment vertical="center"/>
    </xf>
    <xf numFmtId="0" fontId="100" fillId="0" borderId="0" xfId="0" applyFont="1" applyFill="1" applyAlignment="1">
      <alignment vertical="center"/>
    </xf>
    <xf numFmtId="49" fontId="101" fillId="0" borderId="43" xfId="0" applyNumberFormat="1" applyFont="1" applyBorder="1" applyAlignment="1">
      <alignment horizontal="center" vertical="center" textRotation="90" wrapText="1"/>
    </xf>
    <xf numFmtId="49" fontId="101" fillId="0" borderId="20" xfId="0" applyNumberFormat="1" applyFont="1" applyBorder="1" applyAlignment="1">
      <alignment horizontal="center" wrapText="1"/>
    </xf>
    <xf numFmtId="49" fontId="101" fillId="0" borderId="20" xfId="0" applyNumberFormat="1" applyFont="1" applyBorder="1" applyAlignment="1">
      <alignment horizontal="center" vertical="center" wrapText="1"/>
    </xf>
    <xf numFmtId="49" fontId="101" fillId="0" borderId="20" xfId="0" applyNumberFormat="1" applyFont="1" applyBorder="1" applyAlignment="1">
      <alignment horizontal="center" vertical="center" textRotation="90" wrapText="1"/>
    </xf>
    <xf numFmtId="3" fontId="101" fillId="28" borderId="20" xfId="0" applyNumberFormat="1" applyFont="1" applyFill="1" applyBorder="1" applyAlignment="1" applyProtection="1">
      <alignment horizontal="center" vertical="center" wrapText="1"/>
      <protection locked="0"/>
    </xf>
    <xf numFmtId="1" fontId="101" fillId="25" borderId="20" xfId="0" applyNumberFormat="1" applyFont="1" applyFill="1" applyBorder="1" applyAlignment="1">
      <alignment horizontal="center" vertical="center" wrapText="1"/>
    </xf>
    <xf numFmtId="4" fontId="102" fillId="25" borderId="20" xfId="0" applyNumberFormat="1" applyFont="1" applyFill="1" applyBorder="1" applyAlignment="1">
      <alignment horizontal="right" vertical="center" wrapText="1"/>
    </xf>
    <xf numFmtId="9" fontId="101" fillId="0" borderId="20" xfId="0" applyNumberFormat="1" applyFont="1" applyBorder="1" applyAlignment="1">
      <alignment horizontal="center" vertical="center" wrapText="1"/>
    </xf>
    <xf numFmtId="4" fontId="101" fillId="0" borderId="61" xfId="0" applyNumberFormat="1" applyFont="1" applyBorder="1" applyAlignment="1">
      <alignment horizontal="center" vertical="center" wrapText="1"/>
    </xf>
    <xf numFmtId="49" fontId="101" fillId="0" borderId="0" xfId="0" applyNumberFormat="1" applyFont="1" applyFill="1" applyBorder="1" applyAlignment="1">
      <alignment horizontal="center" vertical="center"/>
    </xf>
    <xf numFmtId="0" fontId="102" fillId="35" borderId="10" xfId="45" applyNumberFormat="1" applyFont="1" applyFill="1" applyBorder="1" applyAlignment="1">
      <alignment horizontal="left" vertical="center" wrapText="1"/>
    </xf>
    <xf numFmtId="0" fontId="104" fillId="35" borderId="10" xfId="45" applyNumberFormat="1" applyFont="1" applyFill="1" applyBorder="1" applyAlignment="1">
      <alignment horizontal="left" vertical="top"/>
    </xf>
    <xf numFmtId="0" fontId="100" fillId="35" borderId="10" xfId="45" applyFont="1" applyFill="1" applyBorder="1" applyAlignment="1">
      <alignment horizontal="left"/>
    </xf>
    <xf numFmtId="0" fontId="100" fillId="35" borderId="10" xfId="45" applyFont="1" applyFill="1" applyBorder="1" applyAlignment="1">
      <alignment horizontal="right"/>
    </xf>
    <xf numFmtId="3" fontId="100" fillId="35" borderId="20" xfId="0" applyNumberFormat="1" applyFont="1" applyFill="1" applyBorder="1" applyAlignment="1" applyProtection="1">
      <alignment horizontal="center" vertical="center" wrapText="1"/>
      <protection locked="0"/>
    </xf>
    <xf numFmtId="4" fontId="101" fillId="35" borderId="10" xfId="45" applyNumberFormat="1" applyFont="1" applyFill="1" applyBorder="1" applyAlignment="1">
      <alignment horizontal="right"/>
    </xf>
    <xf numFmtId="0" fontId="100" fillId="0" borderId="0" xfId="45" applyFont="1" applyAlignment="1">
      <alignment horizontal="left"/>
    </xf>
    <xf numFmtId="0" fontId="104" fillId="36" borderId="10" xfId="45" applyNumberFormat="1" applyFont="1" applyFill="1" applyBorder="1" applyAlignment="1">
      <alignment horizontal="center" vertical="center" wrapText="1"/>
    </xf>
    <xf numFmtId="49" fontId="104" fillId="36" borderId="10" xfId="45" quotePrefix="1" applyNumberFormat="1" applyFont="1" applyFill="1" applyBorder="1" applyAlignment="1">
      <alignment horizontal="center" vertical="center" wrapText="1"/>
    </xf>
    <xf numFmtId="0" fontId="100" fillId="36" borderId="10" xfId="45" applyFont="1" applyFill="1" applyBorder="1" applyAlignment="1">
      <alignment horizontal="center" vertical="center" wrapText="1"/>
    </xf>
    <xf numFmtId="3" fontId="100" fillId="36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6" borderId="10" xfId="45" applyNumberFormat="1" applyFont="1" applyFill="1" applyBorder="1" applyAlignment="1">
      <alignment horizontal="right" vertical="center" wrapText="1"/>
    </xf>
    <xf numFmtId="0" fontId="104" fillId="25" borderId="10" xfId="45" applyNumberFormat="1" applyFont="1" applyFill="1" applyBorder="1" applyAlignment="1">
      <alignment horizontal="left" vertical="center" wrapText="1"/>
    </xf>
    <xf numFmtId="0" fontId="100" fillId="0" borderId="10" xfId="0" applyFont="1" applyBorder="1" applyAlignment="1">
      <alignment horizontal="center" vertical="center" wrapText="1"/>
    </xf>
    <xf numFmtId="0" fontId="104" fillId="25" borderId="10" xfId="45" applyNumberFormat="1" applyFont="1" applyFill="1" applyBorder="1" applyAlignment="1">
      <alignment horizontal="center" vertical="center" wrapText="1"/>
    </xf>
    <xf numFmtId="0" fontId="100" fillId="0" borderId="10" xfId="45" applyFont="1" applyBorder="1" applyAlignment="1">
      <alignment horizontal="center" vertical="center" wrapText="1"/>
    </xf>
    <xf numFmtId="3" fontId="100" fillId="28" borderId="20" xfId="0" applyNumberFormat="1" applyFont="1" applyFill="1" applyBorder="1" applyAlignment="1" applyProtection="1">
      <alignment horizontal="center" vertical="center" wrapText="1"/>
      <protection locked="0"/>
    </xf>
    <xf numFmtId="4" fontId="100" fillId="0" borderId="10" xfId="0" applyNumberFormat="1" applyFont="1" applyBorder="1" applyAlignment="1">
      <alignment horizontal="center" vertical="center" wrapText="1"/>
    </xf>
    <xf numFmtId="4" fontId="100" fillId="0" borderId="20" xfId="0" applyNumberFormat="1" applyFont="1" applyBorder="1" applyAlignment="1">
      <alignment horizontal="center" vertical="center" wrapText="1"/>
    </xf>
    <xf numFmtId="9" fontId="100" fillId="0" borderId="10" xfId="41" applyFont="1" applyBorder="1" applyAlignment="1">
      <alignment horizontal="center" vertical="center" wrapText="1"/>
    </xf>
    <xf numFmtId="0" fontId="102" fillId="37" borderId="10" xfId="45" applyNumberFormat="1" applyFont="1" applyFill="1" applyBorder="1" applyAlignment="1">
      <alignment horizontal="left" vertical="center" wrapText="1"/>
    </xf>
    <xf numFmtId="165" fontId="102" fillId="37" borderId="10" xfId="45" applyNumberFormat="1" applyFont="1" applyFill="1" applyBorder="1" applyAlignment="1">
      <alignment horizontal="center" vertical="center" wrapText="1"/>
    </xf>
    <xf numFmtId="0" fontId="102" fillId="37" borderId="10" xfId="45" applyNumberFormat="1" applyFont="1" applyFill="1" applyBorder="1" applyAlignment="1">
      <alignment horizontal="center" vertical="center" wrapText="1"/>
    </xf>
    <xf numFmtId="0" fontId="101" fillId="37" borderId="10" xfId="45" applyFont="1" applyFill="1" applyBorder="1" applyAlignment="1">
      <alignment horizontal="center" vertical="center" wrapText="1"/>
    </xf>
    <xf numFmtId="165" fontId="102" fillId="37" borderId="10" xfId="45" applyNumberFormat="1" applyFont="1" applyFill="1" applyBorder="1" applyAlignment="1">
      <alignment horizontal="right" vertical="center" wrapText="1"/>
    </xf>
    <xf numFmtId="4" fontId="100" fillId="37" borderId="20" xfId="0" applyNumberFormat="1" applyFont="1" applyFill="1" applyBorder="1" applyAlignment="1">
      <alignment horizontal="center" vertical="center" wrapText="1"/>
    </xf>
    <xf numFmtId="4" fontId="102" fillId="37" borderId="10" xfId="45" applyNumberFormat="1" applyFont="1" applyFill="1" applyBorder="1" applyAlignment="1">
      <alignment horizontal="right" vertical="center" wrapText="1"/>
    </xf>
    <xf numFmtId="0" fontId="101" fillId="0" borderId="0" xfId="45" applyFont="1" applyAlignment="1">
      <alignment horizontal="left"/>
    </xf>
    <xf numFmtId="0" fontId="104" fillId="35" borderId="10" xfId="45" applyNumberFormat="1" applyFont="1" applyFill="1" applyBorder="1" applyAlignment="1">
      <alignment horizontal="center" vertical="center" wrapText="1"/>
    </xf>
    <xf numFmtId="0" fontId="100" fillId="35" borderId="10" xfId="45" applyFont="1" applyFill="1" applyBorder="1" applyAlignment="1">
      <alignment horizontal="center" vertical="center" wrapText="1"/>
    </xf>
    <xf numFmtId="4" fontId="102" fillId="35" borderId="10" xfId="45" applyNumberFormat="1" applyFont="1" applyFill="1" applyBorder="1" applyAlignment="1">
      <alignment horizontal="right" vertical="center" wrapText="1"/>
    </xf>
    <xf numFmtId="0" fontId="105" fillId="38" borderId="10" xfId="45" applyNumberFormat="1" applyFont="1" applyFill="1" applyBorder="1" applyAlignment="1">
      <alignment horizontal="center" vertical="center" wrapText="1"/>
    </xf>
    <xf numFmtId="0" fontId="104" fillId="38" borderId="10" xfId="45" applyNumberFormat="1" applyFont="1" applyFill="1" applyBorder="1" applyAlignment="1">
      <alignment horizontal="center" vertical="center" wrapText="1"/>
    </xf>
    <xf numFmtId="49" fontId="104" fillId="38" borderId="10" xfId="45" applyNumberFormat="1" applyFont="1" applyFill="1" applyBorder="1" applyAlignment="1">
      <alignment horizontal="center" vertical="center" wrapText="1"/>
    </xf>
    <xf numFmtId="0" fontId="100" fillId="38" borderId="10" xfId="45" applyFont="1" applyFill="1" applyBorder="1" applyAlignment="1">
      <alignment horizontal="center" vertical="center" wrapText="1"/>
    </xf>
    <xf numFmtId="3" fontId="100" fillId="38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8" borderId="10" xfId="45" applyNumberFormat="1" applyFont="1" applyFill="1" applyBorder="1" applyAlignment="1">
      <alignment horizontal="right" vertical="center" wrapText="1"/>
    </xf>
    <xf numFmtId="0" fontId="104" fillId="39" borderId="10" xfId="45" applyNumberFormat="1" applyFont="1" applyFill="1" applyBorder="1" applyAlignment="1">
      <alignment horizontal="center" vertical="center" wrapText="1"/>
    </xf>
    <xf numFmtId="49" fontId="104" fillId="39" borderId="10" xfId="45" quotePrefix="1" applyNumberFormat="1" applyFont="1" applyFill="1" applyBorder="1" applyAlignment="1">
      <alignment horizontal="center" vertical="center" wrapText="1"/>
    </xf>
    <xf numFmtId="0" fontId="100" fillId="39" borderId="10" xfId="45" applyFont="1" applyFill="1" applyBorder="1" applyAlignment="1">
      <alignment horizontal="center" vertical="center" wrapText="1"/>
    </xf>
    <xf numFmtId="3" fontId="100" fillId="39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39" borderId="10" xfId="45" applyNumberFormat="1" applyFont="1" applyFill="1" applyBorder="1" applyAlignment="1">
      <alignment horizontal="right" vertical="center" wrapText="1"/>
    </xf>
    <xf numFmtId="4" fontId="100" fillId="39" borderId="10" xfId="45" applyNumberFormat="1" applyFont="1" applyFill="1" applyBorder="1" applyAlignment="1">
      <alignment horizontal="center" vertical="center" wrapText="1"/>
    </xf>
    <xf numFmtId="0" fontId="104" fillId="40" borderId="10" xfId="45" applyNumberFormat="1" applyFont="1" applyFill="1" applyBorder="1" applyAlignment="1">
      <alignment horizontal="center" vertical="center" wrapText="1"/>
    </xf>
    <xf numFmtId="49" fontId="104" fillId="40" borderId="10" xfId="45" quotePrefix="1" applyNumberFormat="1" applyFont="1" applyFill="1" applyBorder="1" applyAlignment="1">
      <alignment horizontal="center" vertical="center" wrapText="1"/>
    </xf>
    <xf numFmtId="0" fontId="100" fillId="40" borderId="10" xfId="45" applyFont="1" applyFill="1" applyBorder="1" applyAlignment="1">
      <alignment horizontal="center" vertical="center" wrapText="1"/>
    </xf>
    <xf numFmtId="4" fontId="102" fillId="40" borderId="10" xfId="45" applyNumberFormat="1" applyFont="1" applyFill="1" applyBorder="1" applyAlignment="1">
      <alignment horizontal="right" vertical="center" wrapText="1"/>
    </xf>
    <xf numFmtId="165" fontId="104" fillId="25" borderId="10" xfId="45" applyNumberFormat="1" applyFont="1" applyFill="1" applyBorder="1" applyAlignment="1">
      <alignment horizontal="center" vertical="center" wrapText="1"/>
    </xf>
    <xf numFmtId="4" fontId="104" fillId="40" borderId="10" xfId="45" applyNumberFormat="1" applyFont="1" applyFill="1" applyBorder="1" applyAlignment="1">
      <alignment horizontal="right" vertical="center" wrapText="1"/>
    </xf>
    <xf numFmtId="0" fontId="100" fillId="0" borderId="10" xfId="0" applyFont="1" applyFill="1" applyBorder="1" applyAlignment="1">
      <alignment horizontal="center" vertical="center" wrapText="1"/>
    </xf>
    <xf numFmtId="3" fontId="101" fillId="37" borderId="10" xfId="0" applyNumberFormat="1" applyFont="1" applyFill="1" applyBorder="1" applyAlignment="1" applyProtection="1">
      <alignment horizontal="center" vertical="center" wrapText="1"/>
      <protection locked="0"/>
    </xf>
    <xf numFmtId="0" fontId="102" fillId="38" borderId="10" xfId="45" applyNumberFormat="1" applyFont="1" applyFill="1" applyBorder="1" applyAlignment="1">
      <alignment horizontal="left" vertical="center" wrapText="1"/>
    </xf>
    <xf numFmtId="165" fontId="102" fillId="38" borderId="10" xfId="45" applyNumberFormat="1" applyFont="1" applyFill="1" applyBorder="1" applyAlignment="1">
      <alignment horizontal="center" vertical="center" wrapText="1"/>
    </xf>
    <xf numFmtId="0" fontId="102" fillId="38" borderId="10" xfId="45" applyNumberFormat="1" applyFont="1" applyFill="1" applyBorder="1" applyAlignment="1">
      <alignment horizontal="center" vertical="center" wrapText="1"/>
    </xf>
    <xf numFmtId="0" fontId="101" fillId="38" borderId="10" xfId="45" applyFont="1" applyFill="1" applyBorder="1" applyAlignment="1">
      <alignment horizontal="center" vertical="center" wrapText="1"/>
    </xf>
    <xf numFmtId="3" fontId="101" fillId="38" borderId="10" xfId="0" applyNumberFormat="1" applyFont="1" applyFill="1" applyBorder="1" applyAlignment="1" applyProtection="1">
      <alignment horizontal="center" vertical="center" wrapText="1"/>
      <protection locked="0"/>
    </xf>
    <xf numFmtId="3" fontId="100" fillId="0" borderId="0" xfId="45" applyNumberFormat="1" applyFont="1" applyAlignment="1">
      <alignment horizontal="left"/>
    </xf>
    <xf numFmtId="4" fontId="101" fillId="0" borderId="0" xfId="45" applyNumberFormat="1" applyFont="1" applyAlignment="1">
      <alignment horizontal="right"/>
    </xf>
    <xf numFmtId="4" fontId="100" fillId="0" borderId="0" xfId="45" applyNumberFormat="1" applyFont="1" applyAlignment="1">
      <alignment horizontal="left"/>
    </xf>
    <xf numFmtId="0" fontId="100" fillId="0" borderId="0" xfId="45" applyFont="1" applyAlignment="1">
      <alignment horizontal="center"/>
    </xf>
    <xf numFmtId="3" fontId="100" fillId="0" borderId="0" xfId="45" applyNumberFormat="1" applyFont="1" applyAlignment="1">
      <alignment horizontal="center"/>
    </xf>
    <xf numFmtId="4" fontId="100" fillId="0" borderId="0" xfId="45" applyNumberFormat="1" applyFont="1" applyAlignment="1">
      <alignment horizontal="center"/>
    </xf>
    <xf numFmtId="0" fontId="0" fillId="0" borderId="34" xfId="0" applyBorder="1"/>
    <xf numFmtId="165" fontId="106" fillId="37" borderId="10" xfId="45" applyNumberFormat="1" applyFont="1" applyFill="1" applyBorder="1" applyAlignment="1">
      <alignment horizontal="right" vertical="center" wrapText="1"/>
    </xf>
    <xf numFmtId="165" fontId="106" fillId="38" borderId="10" xfId="45" applyNumberFormat="1" applyFont="1" applyFill="1" applyBorder="1" applyAlignment="1">
      <alignment horizontal="right" vertical="center" wrapText="1"/>
    </xf>
    <xf numFmtId="0" fontId="107" fillId="0" borderId="13" xfId="0" applyFont="1" applyBorder="1" applyAlignment="1">
      <alignment vertical="center"/>
    </xf>
    <xf numFmtId="4" fontId="107" fillId="0" borderId="13" xfId="0" applyNumberFormat="1" applyFont="1" applyBorder="1" applyAlignment="1">
      <alignment vertical="center"/>
    </xf>
    <xf numFmtId="3" fontId="107" fillId="25" borderId="13" xfId="0" applyNumberFormat="1" applyFont="1" applyFill="1" applyBorder="1" applyAlignment="1" applyProtection="1">
      <alignment vertical="center"/>
      <protection locked="0"/>
    </xf>
    <xf numFmtId="1" fontId="107" fillId="25" borderId="13" xfId="0" applyNumberFormat="1" applyFont="1" applyFill="1" applyBorder="1" applyAlignment="1">
      <alignment vertical="center"/>
    </xf>
    <xf numFmtId="4" fontId="108" fillId="25" borderId="13" xfId="0" applyNumberFormat="1" applyFont="1" applyFill="1" applyBorder="1" applyAlignment="1">
      <alignment horizontal="right" vertical="center"/>
    </xf>
    <xf numFmtId="167" fontId="108" fillId="0" borderId="0" xfId="0" applyNumberFormat="1" applyFont="1" applyFill="1" applyBorder="1" applyAlignment="1">
      <alignment horizontal="center" vertical="center"/>
    </xf>
    <xf numFmtId="9" fontId="107" fillId="0" borderId="0" xfId="0" applyNumberFormat="1" applyFont="1" applyFill="1" applyAlignment="1">
      <alignment vertical="center"/>
    </xf>
    <xf numFmtId="0" fontId="89" fillId="39" borderId="10" xfId="45" applyNumberFormat="1" applyFont="1" applyFill="1" applyBorder="1" applyAlignment="1">
      <alignment horizontal="left" vertical="center" wrapText="1"/>
    </xf>
    <xf numFmtId="0" fontId="3" fillId="42" borderId="10" xfId="0" applyNumberFormat="1" applyFont="1" applyFill="1" applyBorder="1" applyAlignment="1">
      <alignment horizontal="left" vertical="center" wrapText="1"/>
    </xf>
    <xf numFmtId="0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" fontId="0" fillId="0" borderId="10" xfId="0" applyNumberFormat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1" fontId="0" fillId="25" borderId="10" xfId="0" applyNumberFormat="1" applyFill="1" applyBorder="1" applyAlignment="1">
      <alignment horizontal="center" vertical="center"/>
    </xf>
    <xf numFmtId="9" fontId="2" fillId="0" borderId="10" xfId="41" applyBorder="1" applyAlignment="1">
      <alignment horizontal="center" vertical="center"/>
    </xf>
    <xf numFmtId="4" fontId="0" fillId="0" borderId="18" xfId="0" applyNumberFormat="1" applyBorder="1" applyAlignment="1">
      <alignment vertical="center"/>
    </xf>
    <xf numFmtId="4" fontId="0" fillId="0" borderId="10" xfId="0" applyNumberFormat="1" applyBorder="1" applyAlignment="1">
      <alignment vertical="center"/>
    </xf>
    <xf numFmtId="0" fontId="0" fillId="42" borderId="10" xfId="0" applyNumberFormat="1" applyFill="1" applyBorder="1" applyAlignment="1">
      <alignment horizontal="left" vertical="center" wrapText="1"/>
    </xf>
    <xf numFmtId="0" fontId="6" fillId="42" borderId="10" xfId="0" applyNumberFormat="1" applyFont="1" applyFill="1" applyBorder="1" applyAlignment="1">
      <alignment horizontal="left" vertical="center" wrapText="1"/>
    </xf>
    <xf numFmtId="3" fontId="109" fillId="39" borderId="20" xfId="0" applyNumberFormat="1" applyFont="1" applyFill="1" applyBorder="1" applyAlignment="1" applyProtection="1">
      <alignment horizontal="center" vertical="center" wrapText="1"/>
      <protection locked="0"/>
    </xf>
    <xf numFmtId="0" fontId="4" fillId="42" borderId="10" xfId="0" applyFont="1" applyFill="1" applyBorder="1" applyAlignment="1">
      <alignment horizontal="left" vertical="center"/>
    </xf>
    <xf numFmtId="0" fontId="3" fillId="43" borderId="10" xfId="0" applyNumberFormat="1" applyFont="1" applyFill="1" applyBorder="1" applyAlignment="1">
      <alignment horizontal="left" vertical="center" wrapText="1"/>
    </xf>
    <xf numFmtId="0" fontId="0" fillId="43" borderId="10" xfId="0" applyNumberFormat="1" applyFill="1" applyBorder="1" applyAlignment="1">
      <alignment horizontal="left" vertical="center" wrapText="1"/>
    </xf>
    <xf numFmtId="0" fontId="6" fillId="43" borderId="10" xfId="0" applyNumberFormat="1" applyFont="1" applyFill="1" applyBorder="1" applyAlignment="1">
      <alignment horizontal="left" vertical="center" wrapText="1"/>
    </xf>
    <xf numFmtId="49" fontId="4" fillId="0" borderId="10" xfId="0" applyNumberFormat="1" applyFont="1" applyBorder="1" applyAlignment="1">
      <alignment horizontal="center" vertical="center" wrapText="1"/>
    </xf>
    <xf numFmtId="0" fontId="4" fillId="43" borderId="10" xfId="0" applyFont="1" applyFill="1" applyBorder="1" applyAlignment="1">
      <alignment horizontal="left" vertical="center"/>
    </xf>
    <xf numFmtId="0" fontId="4" fillId="44" borderId="10" xfId="0" applyNumberFormat="1" applyFont="1" applyFill="1" applyBorder="1" applyAlignment="1">
      <alignment horizontal="left" vertical="center" wrapText="1"/>
    </xf>
    <xf numFmtId="0" fontId="3" fillId="44" borderId="10" xfId="0" applyNumberFormat="1" applyFont="1" applyFill="1" applyBorder="1" applyAlignment="1">
      <alignment horizontal="left" vertical="center" wrapText="1"/>
    </xf>
    <xf numFmtId="0" fontId="6" fillId="44" borderId="10" xfId="0" applyNumberFormat="1" applyFont="1" applyFill="1" applyBorder="1" applyAlignment="1">
      <alignment horizontal="left" vertical="center" wrapText="1"/>
    </xf>
    <xf numFmtId="0" fontId="4" fillId="44" borderId="10" xfId="0" applyFont="1" applyFill="1" applyBorder="1" applyAlignment="1">
      <alignment horizontal="left" vertical="center"/>
    </xf>
    <xf numFmtId="0" fontId="4" fillId="45" borderId="10" xfId="0" applyNumberFormat="1" applyFont="1" applyFill="1" applyBorder="1" applyAlignment="1">
      <alignment horizontal="left" vertical="center" wrapText="1"/>
    </xf>
    <xf numFmtId="0" fontId="3" fillId="45" borderId="10" xfId="0" applyNumberFormat="1" applyFont="1" applyFill="1" applyBorder="1" applyAlignment="1">
      <alignment horizontal="left" vertical="center" wrapText="1"/>
    </xf>
    <xf numFmtId="0" fontId="6" fillId="45" borderId="10" xfId="0" applyNumberFormat="1" applyFont="1" applyFill="1" applyBorder="1" applyAlignment="1">
      <alignment horizontal="left" vertical="center" wrapText="1"/>
    </xf>
    <xf numFmtId="0" fontId="4" fillId="45" borderId="10" xfId="0" applyFont="1" applyFill="1" applyBorder="1" applyAlignment="1">
      <alignment horizontal="left" vertical="center" wrapText="1"/>
    </xf>
    <xf numFmtId="0" fontId="104" fillId="0" borderId="10" xfId="45" applyNumberFormat="1" applyFont="1" applyFill="1" applyBorder="1" applyAlignment="1">
      <alignment horizontal="left" vertical="center" wrapText="1"/>
    </xf>
    <xf numFmtId="165" fontId="104" fillId="0" borderId="10" xfId="45" applyNumberFormat="1" applyFont="1" applyFill="1" applyBorder="1" applyAlignment="1">
      <alignment horizontal="center" vertical="center" wrapText="1"/>
    </xf>
    <xf numFmtId="0" fontId="104" fillId="0" borderId="10" xfId="45" applyNumberFormat="1" applyFont="1" applyFill="1" applyBorder="1" applyAlignment="1">
      <alignment horizontal="center" vertical="center" wrapText="1"/>
    </xf>
    <xf numFmtId="10" fontId="0" fillId="0" borderId="0" xfId="41" applyNumberFormat="1" applyFont="1" applyFill="1" applyBorder="1" applyAlignment="1" applyProtection="1">
      <alignment horizontal="right" vertical="center"/>
    </xf>
    <xf numFmtId="0" fontId="57" fillId="0" borderId="36" xfId="0" applyFont="1" applyBorder="1" applyAlignment="1" applyProtection="1">
      <alignment vertical="center"/>
    </xf>
    <xf numFmtId="10" fontId="57" fillId="0" borderId="36" xfId="0" applyNumberFormat="1" applyFont="1" applyBorder="1" applyAlignment="1" applyProtection="1">
      <alignment horizontal="center" vertical="center"/>
    </xf>
    <xf numFmtId="0" fontId="98" fillId="0" borderId="0" xfId="0" applyFont="1" applyProtection="1"/>
    <xf numFmtId="164" fontId="98" fillId="25" borderId="36" xfId="0" applyNumberFormat="1" applyFont="1" applyFill="1" applyBorder="1" applyAlignment="1" applyProtection="1">
      <alignment vertical="center"/>
    </xf>
    <xf numFmtId="0" fontId="62" fillId="28" borderId="10" xfId="0" applyFont="1" applyFill="1" applyBorder="1" applyAlignment="1" applyProtection="1">
      <alignment horizontal="center" vertical="center" wrapText="1"/>
      <protection locked="0"/>
    </xf>
    <xf numFmtId="0" fontId="62" fillId="0" borderId="14" xfId="0" applyFont="1" applyFill="1" applyBorder="1" applyAlignment="1" applyProtection="1">
      <alignment horizontal="center" vertical="center" wrapText="1"/>
      <protection locked="0"/>
    </xf>
    <xf numFmtId="0" fontId="62" fillId="0" borderId="10" xfId="0" applyFont="1" applyFill="1" applyBorder="1" applyAlignment="1" applyProtection="1">
      <alignment horizontal="center" vertical="center" wrapText="1"/>
      <protection locked="0"/>
    </xf>
    <xf numFmtId="3" fontId="87" fillId="28" borderId="45" xfId="0" applyNumberFormat="1" applyFont="1" applyFill="1" applyBorder="1" applyAlignment="1" applyProtection="1">
      <alignment horizontal="center" vertical="center" wrapText="1"/>
      <protection locked="0"/>
    </xf>
    <xf numFmtId="0" fontId="39" fillId="28" borderId="45" xfId="0" applyFont="1" applyFill="1" applyBorder="1" applyAlignment="1" applyProtection="1">
      <alignment horizontal="center" vertical="center" wrapText="1"/>
      <protection locked="0"/>
    </xf>
    <xf numFmtId="0" fontId="62" fillId="0" borderId="45" xfId="0" applyFont="1" applyFill="1" applyBorder="1" applyAlignment="1" applyProtection="1">
      <alignment horizontal="center" vertical="center" wrapText="1"/>
      <protection locked="0"/>
    </xf>
    <xf numFmtId="0" fontId="39" fillId="0" borderId="63" xfId="0" applyFont="1" applyFill="1" applyBorder="1" applyAlignment="1" applyProtection="1">
      <alignment horizontal="center" vertical="center" wrapText="1"/>
      <protection locked="0"/>
    </xf>
    <xf numFmtId="0" fontId="14" fillId="28" borderId="10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14" fillId="47" borderId="0" xfId="0" applyFont="1" applyFill="1" applyBorder="1" applyAlignment="1" applyProtection="1">
      <alignment horizontal="center" vertical="center"/>
      <protection locked="0"/>
    </xf>
    <xf numFmtId="0" fontId="27" fillId="28" borderId="10" xfId="0" applyFont="1" applyFill="1" applyBorder="1" applyAlignment="1" applyProtection="1">
      <alignment vertical="center"/>
      <protection locked="0"/>
    </xf>
    <xf numFmtId="0" fontId="27" fillId="28" borderId="10" xfId="0" applyFont="1" applyFill="1" applyBorder="1" applyAlignment="1" applyProtection="1">
      <alignment horizontal="center" vertical="center"/>
      <protection locked="0"/>
    </xf>
    <xf numFmtId="0" fontId="14" fillId="28" borderId="10" xfId="0" applyFont="1" applyFill="1" applyBorder="1" applyAlignment="1" applyProtection="1">
      <alignment horizontal="left" vertical="center"/>
      <protection locked="0"/>
    </xf>
    <xf numFmtId="0" fontId="98" fillId="0" borderId="0" xfId="0" applyFont="1" applyAlignment="1">
      <alignment horizontal="left" vertical="center"/>
    </xf>
    <xf numFmtId="0" fontId="98" fillId="0" borderId="0" xfId="0" applyFont="1" applyFill="1" applyBorder="1" applyAlignment="1">
      <alignment horizontal="left" vertical="center"/>
    </xf>
    <xf numFmtId="0" fontId="110" fillId="0" borderId="0" xfId="0" applyFont="1" applyAlignment="1">
      <alignment horizontal="left" vertical="center"/>
    </xf>
    <xf numFmtId="0" fontId="14" fillId="0" borderId="0" xfId="0" applyFont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55" fillId="0" borderId="0" xfId="0" applyFont="1" applyAlignment="1" applyProtection="1">
      <alignment horizontal="right" vertical="center"/>
      <protection locked="0"/>
    </xf>
    <xf numFmtId="0" fontId="13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24" fillId="0" borderId="0" xfId="0" applyFon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vertic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51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right"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11" fillId="24" borderId="10" xfId="0" applyFont="1" applyFill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3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6" fillId="0" borderId="0" xfId="0" applyFont="1" applyFill="1" applyBorder="1" applyAlignment="1" applyProtection="1">
      <alignment horizontal="left" vertical="center"/>
      <protection locked="0"/>
    </xf>
    <xf numFmtId="3" fontId="14" fillId="0" borderId="19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right" vertical="center"/>
      <protection locked="0"/>
    </xf>
    <xf numFmtId="0" fontId="14" fillId="0" borderId="0" xfId="0" applyFon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right" vertical="center"/>
      <protection locked="0"/>
    </xf>
    <xf numFmtId="0" fontId="6" fillId="0" borderId="0" xfId="0" applyFont="1" applyBorder="1" applyAlignment="1" applyProtection="1">
      <alignment vertical="center" wrapText="1"/>
      <protection locked="0"/>
    </xf>
    <xf numFmtId="2" fontId="14" fillId="0" borderId="56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3" fontId="3" fillId="0" borderId="0" xfId="0" applyNumberFormat="1" applyFont="1" applyFill="1" applyBorder="1" applyAlignment="1" applyProtection="1">
      <alignment horizontal="left" vertical="center"/>
      <protection locked="0"/>
    </xf>
    <xf numFmtId="0" fontId="114" fillId="0" borderId="17" xfId="0" applyFont="1" applyBorder="1" applyAlignment="1" applyProtection="1">
      <alignment horizontal="right" vertical="center"/>
      <protection locked="0"/>
    </xf>
    <xf numFmtId="0" fontId="26" fillId="0" borderId="46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0" fillId="0" borderId="32" xfId="0" applyBorder="1" applyAlignment="1" applyProtection="1">
      <alignment vertical="center" wrapText="1"/>
      <protection locked="0"/>
    </xf>
    <xf numFmtId="0" fontId="57" fillId="0" borderId="0" xfId="0" applyFont="1" applyFill="1" applyBorder="1" applyAlignment="1" applyProtection="1">
      <alignment horizontal="right" vertical="center"/>
      <protection locked="0"/>
    </xf>
    <xf numFmtId="0" fontId="25" fillId="0" borderId="13" xfId="0" applyFont="1" applyFill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3" fontId="6" fillId="0" borderId="0" xfId="0" applyNumberFormat="1" applyFont="1" applyFill="1" applyBorder="1" applyAlignment="1" applyProtection="1">
      <alignment vertical="center"/>
      <protection locked="0"/>
    </xf>
    <xf numFmtId="3" fontId="0" fillId="0" borderId="32" xfId="0" applyNumberFormat="1" applyFill="1" applyBorder="1" applyAlignment="1" applyProtection="1">
      <alignment vertical="center"/>
      <protection locked="0"/>
    </xf>
    <xf numFmtId="2" fontId="7" fillId="0" borderId="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vertical="center"/>
      <protection locked="0"/>
    </xf>
    <xf numFmtId="0" fontId="20" fillId="0" borderId="0" xfId="0" applyFont="1" applyFill="1" applyBorder="1" applyAlignment="1" applyProtection="1">
      <alignment vertical="center"/>
      <protection locked="0"/>
    </xf>
    <xf numFmtId="3" fontId="0" fillId="0" borderId="0" xfId="0" applyNumberFormat="1" applyFill="1" applyBorder="1" applyAlignment="1" applyProtection="1">
      <alignment vertical="center"/>
      <protection locked="0"/>
    </xf>
    <xf numFmtId="0" fontId="43" fillId="0" borderId="0" xfId="0" applyFont="1" applyFill="1" applyBorder="1" applyAlignment="1" applyProtection="1">
      <alignment vertical="center"/>
      <protection locked="0"/>
    </xf>
    <xf numFmtId="0" fontId="114" fillId="0" borderId="44" xfId="0" applyFont="1" applyBorder="1" applyAlignment="1" applyProtection="1">
      <alignment horizontal="right" vertical="center"/>
      <protection locked="0"/>
    </xf>
    <xf numFmtId="0" fontId="0" fillId="0" borderId="13" xfId="0" applyFill="1" applyBorder="1" applyAlignment="1" applyProtection="1">
      <alignment vertical="center"/>
      <protection locked="0"/>
    </xf>
    <xf numFmtId="0" fontId="0" fillId="0" borderId="32" xfId="0" applyFill="1" applyBorder="1" applyAlignment="1" applyProtection="1">
      <alignment horizontal="left" vertical="center"/>
      <protection locked="0"/>
    </xf>
    <xf numFmtId="0" fontId="67" fillId="0" borderId="44" xfId="0" applyFont="1" applyBorder="1" applyAlignment="1" applyProtection="1">
      <alignment horizontal="right" vertical="center"/>
      <protection locked="0"/>
    </xf>
    <xf numFmtId="0" fontId="45" fillId="0" borderId="0" xfId="0" applyFont="1" applyFill="1" applyBorder="1" applyAlignment="1" applyProtection="1">
      <alignment vertical="center"/>
      <protection locked="0"/>
    </xf>
    <xf numFmtId="0" fontId="45" fillId="0" borderId="0" xfId="0" applyFont="1" applyFill="1" applyBorder="1" applyAlignment="1" applyProtection="1">
      <alignment horizontal="center" vertical="center"/>
      <protection locked="0"/>
    </xf>
    <xf numFmtId="0" fontId="44" fillId="0" borderId="0" xfId="0" applyFont="1" applyFill="1" applyBorder="1" applyAlignment="1" applyProtection="1">
      <alignment horizontal="center" vertical="center"/>
      <protection locked="0"/>
    </xf>
    <xf numFmtId="0" fontId="25" fillId="29" borderId="0" xfId="0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vertical="center"/>
      <protection locked="0"/>
    </xf>
    <xf numFmtId="0" fontId="27" fillId="0" borderId="13" xfId="0" applyFont="1" applyFill="1" applyBorder="1" applyAlignment="1" applyProtection="1">
      <alignment vertical="center"/>
      <protection locked="0"/>
    </xf>
    <xf numFmtId="0" fontId="0" fillId="0" borderId="12" xfId="0" applyFill="1" applyBorder="1" applyAlignment="1" applyProtection="1">
      <alignment vertical="center"/>
      <protection locked="0"/>
    </xf>
    <xf numFmtId="0" fontId="27" fillId="0" borderId="41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169" fontId="0" fillId="26" borderId="11" xfId="0" applyNumberFormat="1" applyFill="1" applyBorder="1" applyAlignment="1" applyProtection="1">
      <alignment vertical="center"/>
      <protection locked="0"/>
    </xf>
    <xf numFmtId="3" fontId="3" fillId="26" borderId="11" xfId="0" applyNumberFormat="1" applyFont="1" applyFill="1" applyBorder="1" applyAlignment="1" applyProtection="1">
      <alignment horizontal="left" vertical="center"/>
      <protection locked="0"/>
    </xf>
    <xf numFmtId="3" fontId="3" fillId="26" borderId="40" xfId="0" applyNumberFormat="1" applyFont="1" applyFill="1" applyBorder="1" applyAlignment="1" applyProtection="1">
      <alignment horizontal="left" vertical="center"/>
      <protection locked="0"/>
    </xf>
    <xf numFmtId="0" fontId="15" fillId="0" borderId="57" xfId="0" applyFont="1" applyFill="1" applyBorder="1" applyAlignment="1" applyProtection="1">
      <alignment vertical="center"/>
      <protection locked="0"/>
    </xf>
    <xf numFmtId="0" fontId="15" fillId="0" borderId="12" xfId="0" applyFont="1" applyFill="1" applyBorder="1" applyAlignment="1" applyProtection="1">
      <alignment vertical="center"/>
      <protection locked="0"/>
    </xf>
    <xf numFmtId="0" fontId="111" fillId="0" borderId="12" xfId="0" applyFont="1" applyFill="1" applyBorder="1" applyAlignment="1" applyProtection="1">
      <alignment vertical="center"/>
      <protection locked="0"/>
    </xf>
    <xf numFmtId="4" fontId="112" fillId="0" borderId="12" xfId="0" applyNumberFormat="1" applyFont="1" applyFill="1" applyBorder="1" applyAlignment="1" applyProtection="1">
      <alignment horizontal="center" vertical="center"/>
      <protection locked="0"/>
    </xf>
    <xf numFmtId="0" fontId="15" fillId="0" borderId="41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14" fillId="27" borderId="46" xfId="0" applyFont="1" applyFill="1" applyBorder="1" applyAlignment="1" applyProtection="1">
      <alignment horizontal="left" vertical="center"/>
      <protection locked="0"/>
    </xf>
    <xf numFmtId="0" fontId="7" fillId="27" borderId="10" xfId="0" applyFont="1" applyFill="1" applyBorder="1" applyAlignment="1" applyProtection="1">
      <alignment horizontal="center" vertical="center"/>
      <protection locked="0"/>
    </xf>
    <xf numFmtId="1" fontId="7" fillId="27" borderId="10" xfId="0" applyNumberFormat="1" applyFont="1" applyFill="1" applyBorder="1" applyAlignment="1" applyProtection="1">
      <alignment horizontal="center" vertical="center"/>
      <protection locked="0"/>
    </xf>
    <xf numFmtId="2" fontId="7" fillId="27" borderId="45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7" fillId="0" borderId="42" xfId="0" applyFont="1" applyFill="1" applyBorder="1" applyAlignment="1" applyProtection="1">
      <alignment horizontal="center" vertical="center"/>
      <protection locked="0"/>
    </xf>
    <xf numFmtId="0" fontId="25" fillId="0" borderId="34" xfId="0" applyFont="1" applyFill="1" applyBorder="1" applyAlignment="1" applyProtection="1">
      <alignment horizontal="center" vertical="center" wrapText="1"/>
      <protection locked="0"/>
    </xf>
    <xf numFmtId="0" fontId="25" fillId="0" borderId="10" xfId="0" applyFont="1" applyFill="1" applyBorder="1" applyAlignment="1" applyProtection="1">
      <alignment horizontal="center" vertical="center" wrapText="1"/>
      <protection locked="0"/>
    </xf>
    <xf numFmtId="0" fontId="25" fillId="0" borderId="10" xfId="0" applyFont="1" applyFill="1" applyBorder="1" applyAlignment="1" applyProtection="1">
      <alignment vertical="center"/>
      <protection locked="0"/>
    </xf>
    <xf numFmtId="0" fontId="7" fillId="0" borderId="10" xfId="0" applyFont="1" applyFill="1" applyBorder="1" applyAlignment="1" applyProtection="1">
      <alignment vertical="center"/>
      <protection locked="0"/>
    </xf>
    <xf numFmtId="0" fontId="0" fillId="0" borderId="45" xfId="0" applyFill="1" applyBorder="1" applyAlignment="1" applyProtection="1">
      <alignment vertical="center"/>
      <protection locked="0"/>
    </xf>
    <xf numFmtId="0" fontId="7" fillId="0" borderId="43" xfId="0" applyFont="1" applyFill="1" applyBorder="1" applyAlignment="1" applyProtection="1">
      <alignment horizontal="center" vertical="center"/>
      <protection locked="0"/>
    </xf>
    <xf numFmtId="0" fontId="12" fillId="0" borderId="18" xfId="0" applyFont="1" applyFill="1" applyBorder="1" applyAlignment="1" applyProtection="1">
      <alignment horizontal="center" vertical="center"/>
      <protection locked="0"/>
    </xf>
    <xf numFmtId="3" fontId="7" fillId="0" borderId="10" xfId="0" applyNumberFormat="1" applyFont="1" applyFill="1" applyBorder="1" applyAlignment="1" applyProtection="1">
      <alignment vertical="center"/>
      <protection locked="0"/>
    </xf>
    <xf numFmtId="0" fontId="7" fillId="0" borderId="34" xfId="0" applyFont="1" applyFill="1" applyBorder="1" applyAlignment="1" applyProtection="1">
      <alignment horizontal="center" vertical="center" wrapText="1"/>
      <protection locked="0"/>
    </xf>
    <xf numFmtId="0" fontId="25" fillId="0" borderId="34" xfId="0" applyFont="1" applyBorder="1" applyAlignment="1" applyProtection="1">
      <alignment horizontal="center" vertical="center" wrapText="1"/>
      <protection locked="0"/>
    </xf>
    <xf numFmtId="0" fontId="62" fillId="0" borderId="14" xfId="0" applyFont="1" applyFill="1" applyBorder="1" applyAlignment="1" applyProtection="1">
      <alignment vertical="center" wrapText="1"/>
      <protection locked="0"/>
    </xf>
    <xf numFmtId="0" fontId="7" fillId="0" borderId="46" xfId="0" applyFont="1" applyFill="1" applyBorder="1" applyAlignment="1" applyProtection="1">
      <alignment horizontal="center" vertical="center" wrapText="1"/>
      <protection locked="0"/>
    </xf>
    <xf numFmtId="0" fontId="62" fillId="0" borderId="10" xfId="0" applyFont="1" applyFill="1" applyBorder="1" applyAlignment="1" applyProtection="1">
      <alignment vertical="center" wrapText="1"/>
      <protection locked="0"/>
    </xf>
    <xf numFmtId="0" fontId="7" fillId="0" borderId="18" xfId="0" applyFont="1" applyFill="1" applyBorder="1" applyAlignment="1" applyProtection="1">
      <alignment horizontal="center" vertical="center" wrapText="1"/>
      <protection locked="0"/>
    </xf>
    <xf numFmtId="0" fontId="25" fillId="0" borderId="18" xfId="0" applyFont="1" applyBorder="1" applyAlignment="1" applyProtection="1">
      <alignment horizontal="center" vertical="center" wrapText="1"/>
      <protection locked="0"/>
    </xf>
    <xf numFmtId="0" fontId="7" fillId="0" borderId="23" xfId="0" applyFont="1" applyFill="1" applyBorder="1" applyAlignment="1" applyProtection="1">
      <alignment horizontal="center" vertical="center"/>
      <protection locked="0"/>
    </xf>
    <xf numFmtId="0" fontId="7" fillId="0" borderId="10" xfId="0" applyFont="1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vertical="center"/>
      <protection locked="0"/>
    </xf>
    <xf numFmtId="0" fontId="25" fillId="0" borderId="18" xfId="0" applyFont="1" applyFill="1" applyBorder="1" applyAlignment="1" applyProtection="1">
      <alignment horizontal="center" vertical="center" wrapText="1"/>
      <protection locked="0"/>
    </xf>
    <xf numFmtId="0" fontId="7" fillId="0" borderId="70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14" fontId="7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3" fontId="3" fillId="0" borderId="0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69" fontId="7" fillId="0" borderId="0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 wrapText="1"/>
      <protection locked="0"/>
    </xf>
    <xf numFmtId="170" fontId="22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Fill="1" applyBorder="1" applyAlignment="1" applyProtection="1">
      <alignment horizontal="center" vertical="center" wrapText="1"/>
      <protection locked="0"/>
    </xf>
    <xf numFmtId="17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 wrapText="1"/>
    </xf>
    <xf numFmtId="3" fontId="0" fillId="0" borderId="0" xfId="0" applyNumberFormat="1" applyFont="1" applyAlignment="1" applyProtection="1">
      <alignment horizontal="center" vertical="center"/>
    </xf>
    <xf numFmtId="3" fontId="62" fillId="28" borderId="66" xfId="0" applyNumberFormat="1" applyFont="1" applyFill="1" applyBorder="1" applyAlignment="1" applyProtection="1">
      <alignment horizontal="center" vertical="center" wrapText="1"/>
      <protection locked="0"/>
    </xf>
    <xf numFmtId="3" fontId="62" fillId="28" borderId="45" xfId="0" applyNumberFormat="1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right"/>
    </xf>
    <xf numFmtId="0" fontId="98" fillId="0" borderId="0" xfId="0" applyFont="1" applyAlignment="1">
      <alignment horizontal="center" vertical="center" wrapText="1"/>
    </xf>
    <xf numFmtId="0" fontId="7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98" fillId="0" borderId="0" xfId="0" applyNumberFormat="1" applyFont="1" applyBorder="1" applyAlignment="1">
      <alignment vertical="center"/>
    </xf>
    <xf numFmtId="0" fontId="0" fillId="0" borderId="23" xfId="0" applyBorder="1" applyAlignment="1" applyProtection="1">
      <alignment horizontal="center"/>
      <protection locked="0"/>
    </xf>
    <xf numFmtId="0" fontId="0" fillId="0" borderId="23" xfId="0" applyBorder="1" applyProtection="1"/>
    <xf numFmtId="0" fontId="0" fillId="0" borderId="23" xfId="0" applyBorder="1" applyAlignment="1" applyProtection="1">
      <alignment horizontal="center"/>
    </xf>
    <xf numFmtId="2" fontId="0" fillId="0" borderId="23" xfId="0" applyNumberFormat="1" applyBorder="1" applyProtection="1"/>
    <xf numFmtId="165" fontId="0" fillId="0" borderId="23" xfId="0" applyNumberFormat="1" applyBorder="1" applyProtection="1"/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</xf>
    <xf numFmtId="2" fontId="0" fillId="0" borderId="13" xfId="0" applyNumberFormat="1" applyBorder="1" applyProtection="1"/>
    <xf numFmtId="165" fontId="0" fillId="0" borderId="13" xfId="0" applyNumberFormat="1" applyBorder="1" applyProtection="1"/>
    <xf numFmtId="0" fontId="3" fillId="41" borderId="10" xfId="0" applyNumberFormat="1" applyFont="1" applyFill="1" applyBorder="1" applyAlignment="1">
      <alignment horizontal="left" vertical="center" wrapText="1"/>
    </xf>
    <xf numFmtId="0" fontId="0" fillId="41" borderId="10" xfId="0" applyNumberFormat="1" applyFill="1" applyBorder="1" applyAlignment="1">
      <alignment horizontal="left" vertical="center" wrapText="1"/>
    </xf>
    <xf numFmtId="3" fontId="0" fillId="28" borderId="10" xfId="0" applyNumberFormat="1" applyFill="1" applyBorder="1" applyAlignment="1" applyProtection="1">
      <alignment horizontal="center" vertical="center"/>
      <protection hidden="1"/>
    </xf>
    <xf numFmtId="0" fontId="98" fillId="0" borderId="0" xfId="0" applyFont="1" applyFill="1" applyBorder="1" applyAlignment="1" applyProtection="1">
      <alignment vertical="center"/>
    </xf>
    <xf numFmtId="0" fontId="0" fillId="0" borderId="0" xfId="0" applyFont="1" applyAlignment="1">
      <alignment vertical="center"/>
    </xf>
    <xf numFmtId="0" fontId="0" fillId="0" borderId="0" xfId="0" applyNumberFormat="1" applyBorder="1" applyAlignment="1">
      <alignment horizontal="right" vertical="center"/>
    </xf>
    <xf numFmtId="0" fontId="118" fillId="35" borderId="0" xfId="0" applyFont="1" applyFill="1" applyAlignment="1">
      <alignment horizontal="center" vertical="center" wrapText="1"/>
    </xf>
    <xf numFmtId="0" fontId="118" fillId="0" borderId="0" xfId="0" applyFont="1" applyAlignment="1">
      <alignment vertical="center"/>
    </xf>
    <xf numFmtId="0" fontId="0" fillId="0" borderId="15" xfId="0" applyFill="1" applyBorder="1" applyAlignment="1" applyProtection="1">
      <alignment horizontal="left"/>
      <protection locked="0"/>
    </xf>
    <xf numFmtId="0" fontId="0" fillId="0" borderId="15" xfId="0" applyBorder="1" applyAlignment="1" applyProtection="1"/>
    <xf numFmtId="0" fontId="0" fillId="0" borderId="15" xfId="0" applyBorder="1" applyAlignment="1" applyProtection="1">
      <alignment horizontal="center"/>
    </xf>
    <xf numFmtId="0" fontId="0" fillId="0" borderId="0" xfId="0" applyFill="1" applyBorder="1" applyAlignment="1" applyProtection="1">
      <alignment vertical="center" wrapText="1"/>
    </xf>
    <xf numFmtId="0" fontId="29" fillId="0" borderId="0" xfId="0" applyFont="1" applyFill="1" applyBorder="1" applyAlignment="1" applyProtection="1">
      <alignment horizontal="center" vertical="center" wrapText="1"/>
    </xf>
    <xf numFmtId="0" fontId="91" fillId="0" borderId="10" xfId="0" applyFont="1" applyBorder="1" applyAlignment="1">
      <alignment horizontal="center" wrapText="1"/>
    </xf>
    <xf numFmtId="0" fontId="91" fillId="0" borderId="10" xfId="0" applyFont="1" applyBorder="1" applyAlignment="1">
      <alignment wrapText="1"/>
    </xf>
    <xf numFmtId="2" fontId="0" fillId="0" borderId="0" xfId="0" applyNumberFormat="1" applyFont="1" applyAlignment="1" applyProtection="1">
      <alignment horizontal="center"/>
    </xf>
    <xf numFmtId="0" fontId="0" fillId="0" borderId="0" xfId="0" applyFont="1" applyProtection="1"/>
    <xf numFmtId="1" fontId="99" fillId="0" borderId="0" xfId="0" applyNumberFormat="1" applyFont="1" applyAlignment="1" applyProtection="1">
      <alignment horizontal="left"/>
    </xf>
    <xf numFmtId="2" fontId="98" fillId="0" borderId="0" xfId="0" applyNumberFormat="1" applyFont="1" applyProtection="1"/>
    <xf numFmtId="0" fontId="58" fillId="0" borderId="0" xfId="0" applyFont="1" applyFill="1" applyBorder="1" applyAlignment="1" applyProtection="1">
      <alignment horizontal="right" vertical="center"/>
    </xf>
    <xf numFmtId="0" fontId="119" fillId="0" borderId="0" xfId="0" applyFont="1" applyFill="1" applyBorder="1" applyAlignment="1" applyProtection="1">
      <alignment vertical="center" wrapText="1"/>
    </xf>
    <xf numFmtId="0" fontId="2" fillId="0" borderId="0" xfId="0" applyFont="1" applyFill="1" applyBorder="1" applyAlignment="1" applyProtection="1">
      <alignment vertical="center"/>
    </xf>
    <xf numFmtId="0" fontId="39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vertical="center" wrapText="1"/>
    </xf>
    <xf numFmtId="0" fontId="29" fillId="0" borderId="19" xfId="0" applyFont="1" applyBorder="1" applyAlignment="1" applyProtection="1">
      <alignment horizontal="center" wrapText="1"/>
    </xf>
    <xf numFmtId="0" fontId="29" fillId="0" borderId="19" xfId="0" applyFont="1" applyBorder="1" applyAlignment="1" applyProtection="1">
      <alignment horizontal="center" vertical="center" wrapText="1"/>
    </xf>
    <xf numFmtId="0" fontId="29" fillId="0" borderId="30" xfId="0" applyFont="1" applyBorder="1" applyAlignment="1" applyProtection="1">
      <alignment horizontal="center" vertical="center" wrapText="1"/>
    </xf>
    <xf numFmtId="0" fontId="24" fillId="0" borderId="51" xfId="0" applyFont="1" applyBorder="1" applyAlignment="1" applyProtection="1">
      <alignment vertical="center"/>
    </xf>
    <xf numFmtId="0" fontId="55" fillId="0" borderId="52" xfId="0" applyFont="1" applyBorder="1" applyAlignment="1" applyProtection="1">
      <alignment horizontal="center" wrapText="1"/>
    </xf>
    <xf numFmtId="0" fontId="29" fillId="0" borderId="52" xfId="0" applyFont="1" applyBorder="1" applyAlignment="1" applyProtection="1">
      <alignment horizontal="center" vertical="center" wrapText="1"/>
    </xf>
    <xf numFmtId="0" fontId="29" fillId="0" borderId="53" xfId="0" applyFont="1" applyBorder="1" applyAlignment="1" applyProtection="1">
      <alignment horizontal="center" vertical="center" wrapText="1"/>
    </xf>
    <xf numFmtId="0" fontId="52" fillId="31" borderId="43" xfId="0" applyFont="1" applyFill="1" applyBorder="1" applyAlignment="1" applyProtection="1">
      <alignment vertical="center"/>
    </xf>
    <xf numFmtId="0" fontId="2" fillId="0" borderId="14" xfId="0" applyFont="1" applyBorder="1" applyAlignment="1" applyProtection="1">
      <alignment vertical="center"/>
    </xf>
    <xf numFmtId="0" fontId="51" fillId="0" borderId="43" xfId="0" applyFont="1" applyBorder="1" applyAlignment="1" applyProtection="1">
      <alignment horizontal="left"/>
    </xf>
    <xf numFmtId="0" fontId="51" fillId="0" borderId="23" xfId="0" applyFont="1" applyBorder="1" applyAlignment="1" applyProtection="1">
      <alignment horizontal="left"/>
    </xf>
    <xf numFmtId="0" fontId="51" fillId="0" borderId="47" xfId="0" applyFont="1" applyBorder="1" applyAlignment="1" applyProtection="1">
      <alignment horizontal="left"/>
    </xf>
    <xf numFmtId="0" fontId="52" fillId="31" borderId="50" xfId="0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2" fontId="10" fillId="0" borderId="10" xfId="0" applyNumberFormat="1" applyFont="1" applyFill="1" applyBorder="1" applyProtection="1"/>
    <xf numFmtId="0" fontId="39" fillId="0" borderId="13" xfId="0" applyFont="1" applyFill="1" applyBorder="1" applyAlignment="1" applyProtection="1">
      <alignment horizontal="left"/>
    </xf>
    <xf numFmtId="0" fontId="87" fillId="0" borderId="13" xfId="0" applyFont="1" applyFill="1" applyBorder="1" applyAlignment="1" applyProtection="1">
      <alignment horizontal="left"/>
    </xf>
    <xf numFmtId="0" fontId="121" fillId="0" borderId="10" xfId="0" applyFont="1" applyFill="1" applyBorder="1" applyAlignment="1" applyProtection="1">
      <alignment horizontal="center"/>
    </xf>
    <xf numFmtId="2" fontId="121" fillId="0" borderId="10" xfId="0" applyNumberFormat="1" applyFont="1" applyFill="1" applyBorder="1" applyProtection="1"/>
    <xf numFmtId="3" fontId="113" fillId="28" borderId="45" xfId="0" applyNumberFormat="1" applyFont="1" applyFill="1" applyBorder="1" applyAlignment="1" applyProtection="1">
      <alignment horizontal="center" vertical="center" wrapText="1"/>
      <protection locked="0"/>
    </xf>
    <xf numFmtId="0" fontId="123" fillId="0" borderId="0" xfId="0" applyFont="1"/>
    <xf numFmtId="0" fontId="11" fillId="41" borderId="0" xfId="0" applyFont="1" applyFill="1" applyBorder="1" applyAlignment="1" applyProtection="1">
      <alignment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1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vertical="center"/>
      <protection locked="0"/>
    </xf>
    <xf numFmtId="0" fontId="11" fillId="0" borderId="0" xfId="0" applyNumberFormat="1" applyFont="1" applyFill="1" applyBorder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41" borderId="0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41" borderId="0" xfId="0" applyFont="1" applyFill="1" applyAlignment="1" applyProtection="1">
      <alignment vertical="center"/>
      <protection locked="0"/>
    </xf>
    <xf numFmtId="49" fontId="0" fillId="0" borderId="0" xfId="0" applyNumberFormat="1" applyFont="1" applyFill="1" applyBorder="1" applyAlignment="1" applyProtection="1">
      <alignment vertical="center"/>
      <protection locked="0"/>
    </xf>
    <xf numFmtId="0" fontId="0" fillId="41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3" fontId="0" fillId="0" borderId="61" xfId="0" applyNumberFormat="1" applyBorder="1" applyAlignment="1" applyProtection="1">
      <alignment vertical="center"/>
    </xf>
    <xf numFmtId="168" fontId="0" fillId="0" borderId="22" xfId="0" applyNumberFormat="1" applyBorder="1" applyAlignment="1" applyProtection="1">
      <alignment vertical="center"/>
    </xf>
    <xf numFmtId="3" fontId="0" fillId="0" borderId="22" xfId="0" applyNumberFormat="1" applyBorder="1" applyAlignment="1" applyProtection="1">
      <alignment vertical="center"/>
    </xf>
    <xf numFmtId="168" fontId="0" fillId="0" borderId="22" xfId="0" applyNumberFormat="1" applyFill="1" applyBorder="1" applyAlignment="1" applyProtection="1">
      <alignment vertical="center"/>
    </xf>
    <xf numFmtId="168" fontId="30" fillId="0" borderId="22" xfId="0" applyNumberFormat="1" applyFont="1" applyFill="1" applyBorder="1" applyAlignment="1" applyProtection="1">
      <alignment vertical="center"/>
    </xf>
    <xf numFmtId="0" fontId="0" fillId="0" borderId="22" xfId="0" applyBorder="1" applyAlignment="1" applyProtection="1">
      <alignment vertical="center"/>
    </xf>
    <xf numFmtId="168" fontId="0" fillId="0" borderId="62" xfId="0" applyNumberFormat="1" applyFill="1" applyBorder="1" applyAlignment="1" applyProtection="1">
      <alignment vertical="center"/>
    </xf>
    <xf numFmtId="3" fontId="0" fillId="0" borderId="27" xfId="0" applyNumberFormat="1" applyBorder="1" applyAlignment="1" applyProtection="1">
      <alignment vertical="center"/>
    </xf>
    <xf numFmtId="168" fontId="0" fillId="0" borderId="0" xfId="0" applyNumberFormat="1" applyBorder="1" applyAlignment="1" applyProtection="1">
      <alignment vertical="center"/>
    </xf>
    <xf numFmtId="3" fontId="0" fillId="0" borderId="0" xfId="0" applyNumberFormat="1" applyBorder="1" applyAlignment="1" applyProtection="1">
      <alignment vertical="center"/>
    </xf>
    <xf numFmtId="168" fontId="0" fillId="0" borderId="0" xfId="0" applyNumberFormat="1" applyFill="1" applyBorder="1" applyAlignment="1" applyProtection="1">
      <alignment vertical="center"/>
    </xf>
    <xf numFmtId="168" fontId="0" fillId="0" borderId="28" xfId="0" applyNumberFormat="1" applyFill="1" applyBorder="1" applyAlignment="1" applyProtection="1">
      <alignment vertical="center"/>
    </xf>
    <xf numFmtId="168" fontId="30" fillId="0" borderId="0" xfId="0" applyNumberFormat="1" applyFont="1" applyFill="1" applyBorder="1" applyAlignment="1" applyProtection="1">
      <alignment vertical="center"/>
    </xf>
    <xf numFmtId="3" fontId="0" fillId="0" borderId="34" xfId="0" applyNumberFormat="1" applyBorder="1" applyAlignment="1" applyProtection="1">
      <alignment vertical="center"/>
    </xf>
    <xf numFmtId="168" fontId="0" fillId="0" borderId="13" xfId="0" applyNumberFormat="1" applyBorder="1" applyAlignment="1" applyProtection="1">
      <alignment vertical="center"/>
    </xf>
    <xf numFmtId="3" fontId="0" fillId="0" borderId="13" xfId="0" applyNumberFormat="1" applyBorder="1" applyAlignment="1" applyProtection="1">
      <alignment vertical="center"/>
    </xf>
    <xf numFmtId="168" fontId="0" fillId="0" borderId="13" xfId="0" applyNumberFormat="1" applyFill="1" applyBorder="1" applyAlignment="1" applyProtection="1">
      <alignment vertical="center"/>
    </xf>
    <xf numFmtId="168" fontId="0" fillId="0" borderId="29" xfId="0" applyNumberFormat="1" applyFill="1" applyBorder="1" applyAlignment="1" applyProtection="1">
      <alignment vertical="center"/>
    </xf>
    <xf numFmtId="166" fontId="0" fillId="0" borderId="22" xfId="0" applyNumberFormat="1" applyBorder="1" applyAlignment="1" applyProtection="1">
      <alignment vertical="center"/>
    </xf>
    <xf numFmtId="166" fontId="0" fillId="0" borderId="62" xfId="0" applyNumberFormat="1" applyBorder="1" applyAlignment="1" applyProtection="1">
      <alignment vertical="center"/>
    </xf>
    <xf numFmtId="166" fontId="0" fillId="0" borderId="0" xfId="0" applyNumberFormat="1" applyBorder="1" applyAlignment="1" applyProtection="1">
      <alignment vertical="center"/>
    </xf>
    <xf numFmtId="166" fontId="0" fillId="0" borderId="28" xfId="0" applyNumberFormat="1" applyBorder="1" applyAlignment="1" applyProtection="1">
      <alignment vertical="center"/>
    </xf>
    <xf numFmtId="166" fontId="0" fillId="0" borderId="13" xfId="0" applyNumberFormat="1" applyBorder="1" applyAlignment="1" applyProtection="1">
      <alignment vertical="center"/>
    </xf>
    <xf numFmtId="166" fontId="0" fillId="0" borderId="29" xfId="0" applyNumberFormat="1" applyBorder="1" applyAlignment="1" applyProtection="1">
      <alignment vertical="center"/>
    </xf>
    <xf numFmtId="0" fontId="0" fillId="0" borderId="61" xfId="0" applyBorder="1" applyAlignment="1">
      <alignment vertical="center"/>
    </xf>
    <xf numFmtId="0" fontId="0" fillId="0" borderId="62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28" xfId="0" applyBorder="1" applyAlignment="1" applyProtection="1">
      <alignment vertical="center"/>
    </xf>
    <xf numFmtId="3" fontId="0" fillId="0" borderId="27" xfId="0" applyNumberFormat="1" applyBorder="1" applyAlignment="1">
      <alignment vertical="center"/>
    </xf>
    <xf numFmtId="0" fontId="0" fillId="0" borderId="29" xfId="0" applyBorder="1" applyAlignment="1" applyProtection="1">
      <alignment vertical="center"/>
    </xf>
    <xf numFmtId="3" fontId="0" fillId="0" borderId="0" xfId="0" applyNumberFormat="1" applyFill="1" applyBorder="1" applyAlignment="1" applyProtection="1">
      <alignment vertical="center"/>
    </xf>
    <xf numFmtId="168" fontId="96" fillId="0" borderId="0" xfId="0" applyNumberFormat="1" applyFont="1" applyFill="1" applyBorder="1" applyAlignment="1" applyProtection="1">
      <alignment vertical="center"/>
    </xf>
    <xf numFmtId="166" fontId="96" fillId="0" borderId="0" xfId="0" applyNumberFormat="1" applyFont="1" applyFill="1" applyBorder="1" applyAlignment="1" applyProtection="1">
      <alignment vertical="center"/>
    </xf>
    <xf numFmtId="3" fontId="0" fillId="0" borderId="0" xfId="0" applyNumberFormat="1" applyFill="1" applyBorder="1" applyAlignment="1">
      <alignment vertical="center"/>
    </xf>
    <xf numFmtId="168" fontId="0" fillId="0" borderId="0" xfId="0" applyNumberFormat="1" applyFill="1" applyBorder="1" applyAlignment="1">
      <alignment vertical="center"/>
    </xf>
    <xf numFmtId="166" fontId="0" fillId="0" borderId="0" xfId="0" applyNumberFormat="1" applyFont="1" applyFill="1" applyBorder="1" applyAlignment="1" applyProtection="1">
      <alignment vertical="center"/>
    </xf>
    <xf numFmtId="166" fontId="0" fillId="0" borderId="0" xfId="0" applyNumberFormat="1" applyFill="1" applyBorder="1" applyAlignment="1" applyProtection="1">
      <alignment vertical="center"/>
    </xf>
    <xf numFmtId="3" fontId="93" fillId="0" borderId="0" xfId="37" applyNumberFormat="1" applyFont="1" applyFill="1" applyBorder="1" applyAlignment="1">
      <alignment horizontal="right" vertical="top"/>
    </xf>
    <xf numFmtId="166" fontId="93" fillId="0" borderId="0" xfId="37" applyNumberFormat="1" applyFont="1" applyFill="1" applyBorder="1" applyAlignment="1">
      <alignment horizontal="right" vertical="top"/>
    </xf>
    <xf numFmtId="49" fontId="0" fillId="0" borderId="0" xfId="0" applyNumberFormat="1" applyBorder="1" applyAlignment="1" applyProtection="1">
      <alignment vertical="center"/>
    </xf>
    <xf numFmtId="0" fontId="0" fillId="0" borderId="13" xfId="0" applyBorder="1" applyAlignment="1" applyProtection="1">
      <alignment horizontal="right" vertical="center"/>
    </xf>
    <xf numFmtId="0" fontId="118" fillId="0" borderId="0" xfId="0" applyFont="1" applyAlignment="1" applyProtection="1">
      <alignment vertical="center"/>
    </xf>
    <xf numFmtId="0" fontId="0" fillId="48" borderId="0" xfId="0" applyFill="1" applyAlignment="1">
      <alignment horizontal="center" vertical="center" wrapText="1"/>
    </xf>
    <xf numFmtId="3" fontId="11" fillId="0" borderId="10" xfId="0" applyNumberFormat="1" applyFont="1" applyBorder="1" applyAlignment="1">
      <alignment vertical="center"/>
    </xf>
    <xf numFmtId="0" fontId="98" fillId="0" borderId="0" xfId="0" applyFont="1" applyAlignment="1" applyProtection="1">
      <alignment vertical="center"/>
      <protection locked="0"/>
    </xf>
    <xf numFmtId="0" fontId="98" fillId="0" borderId="0" xfId="0" applyFont="1" applyAlignment="1">
      <alignment vertical="center"/>
    </xf>
    <xf numFmtId="166" fontId="98" fillId="0" borderId="0" xfId="0" applyNumberFormat="1" applyFont="1" applyAlignment="1">
      <alignment vertical="center"/>
    </xf>
    <xf numFmtId="2" fontId="99" fillId="0" borderId="0" xfId="0" applyNumberFormat="1" applyFont="1" applyAlignment="1" applyProtection="1">
      <alignment vertical="center"/>
      <protection locked="0"/>
    </xf>
    <xf numFmtId="1" fontId="111" fillId="0" borderId="0" xfId="0" applyNumberFormat="1" applyFont="1" applyBorder="1" applyAlignment="1">
      <alignment horizontal="right" vertical="center"/>
    </xf>
    <xf numFmtId="0" fontId="125" fillId="0" borderId="0" xfId="0" applyFont="1" applyBorder="1" applyAlignment="1">
      <alignment vertical="center"/>
    </xf>
    <xf numFmtId="0" fontId="0" fillId="0" borderId="21" xfId="0" applyFont="1" applyBorder="1" applyAlignment="1">
      <alignment horizontal="center" vertical="center" wrapText="1"/>
    </xf>
    <xf numFmtId="0" fontId="0" fillId="28" borderId="15" xfId="0" applyFont="1" applyFill="1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25" fillId="0" borderId="0" xfId="0" applyFont="1" applyFill="1"/>
    <xf numFmtId="0" fontId="11" fillId="0" borderId="0" xfId="0" applyFont="1" applyFill="1"/>
    <xf numFmtId="0" fontId="63" fillId="0" borderId="0" xfId="0" applyFont="1" applyFill="1" applyAlignment="1">
      <alignment horizontal="center" vertical="center"/>
    </xf>
    <xf numFmtId="0" fontId="63" fillId="0" borderId="0" xfId="0" applyFont="1" applyFill="1" applyBorder="1" applyAlignment="1">
      <alignment horizontal="center" vertical="center"/>
    </xf>
    <xf numFmtId="0" fontId="63" fillId="0" borderId="1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/>
    </xf>
    <xf numFmtId="0" fontId="11" fillId="0" borderId="13" xfId="0" applyFont="1" applyFill="1" applyBorder="1" applyAlignment="1">
      <alignment horizontal="right"/>
    </xf>
    <xf numFmtId="0" fontId="11" fillId="0" borderId="13" xfId="0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0" fontId="63" fillId="0" borderId="0" xfId="0" applyFont="1" applyFill="1" applyAlignment="1">
      <alignment horizontal="center"/>
    </xf>
    <xf numFmtId="0" fontId="11" fillId="0" borderId="0" xfId="0" applyFont="1" applyFill="1" applyAlignment="1">
      <alignment vertical="center"/>
    </xf>
    <xf numFmtId="0" fontId="11" fillId="0" borderId="0" xfId="0" applyFont="1" applyFill="1" applyAlignment="1">
      <alignment vertical="center" textRotation="90" wrapText="1"/>
    </xf>
    <xf numFmtId="0" fontId="0" fillId="0" borderId="0" xfId="0" applyFill="1" applyAlignment="1">
      <alignment horizontal="center" vertical="center"/>
    </xf>
    <xf numFmtId="0" fontId="29" fillId="0" borderId="0" xfId="0" applyFont="1" applyFill="1" applyBorder="1" applyAlignment="1">
      <alignment horizontal="center"/>
    </xf>
    <xf numFmtId="0" fontId="0" fillId="0" borderId="12" xfId="0" applyFill="1" applyBorder="1"/>
    <xf numFmtId="0" fontId="0" fillId="0" borderId="44" xfId="0" applyBorder="1"/>
    <xf numFmtId="0" fontId="0" fillId="35" borderId="0" xfId="0" applyFill="1" applyBorder="1"/>
    <xf numFmtId="0" fontId="0" fillId="0" borderId="32" xfId="0" applyBorder="1"/>
    <xf numFmtId="0" fontId="98" fillId="0" borderId="46" xfId="0" applyFont="1" applyBorder="1" applyAlignment="1">
      <alignment vertical="center"/>
    </xf>
    <xf numFmtId="0" fontId="98" fillId="0" borderId="23" xfId="0" applyFont="1" applyBorder="1" applyAlignment="1">
      <alignment vertical="center"/>
    </xf>
    <xf numFmtId="0" fontId="98" fillId="0" borderId="21" xfId="0" applyFont="1" applyBorder="1" applyAlignment="1">
      <alignment vertical="center"/>
    </xf>
    <xf numFmtId="0" fontId="0" fillId="35" borderId="23" xfId="0" applyFill="1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47" xfId="0" applyBorder="1" applyAlignment="1">
      <alignment vertical="center"/>
    </xf>
    <xf numFmtId="0" fontId="98" fillId="0" borderId="67" xfId="0" applyFont="1" applyBorder="1" applyAlignment="1">
      <alignment vertical="center"/>
    </xf>
    <xf numFmtId="0" fontId="98" fillId="0" borderId="48" xfId="0" applyFont="1" applyBorder="1" applyAlignment="1">
      <alignment vertical="center"/>
    </xf>
    <xf numFmtId="0" fontId="0" fillId="35" borderId="67" xfId="0" applyFill="1" applyBorder="1" applyAlignment="1">
      <alignment vertical="center"/>
    </xf>
    <xf numFmtId="0" fontId="0" fillId="0" borderId="54" xfId="0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68" xfId="0" applyBorder="1" applyAlignment="1">
      <alignment vertical="center"/>
    </xf>
    <xf numFmtId="0" fontId="98" fillId="0" borderId="0" xfId="0" applyFont="1" applyBorder="1" applyAlignment="1">
      <alignment vertical="center"/>
    </xf>
    <xf numFmtId="0" fontId="0" fillId="35" borderId="13" xfId="0" applyFill="1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67" xfId="0" applyBorder="1" applyAlignment="1">
      <alignment horizontal="center" vertical="center"/>
    </xf>
    <xf numFmtId="0" fontId="0" fillId="35" borderId="0" xfId="0" applyFill="1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82" xfId="0" applyBorder="1"/>
    <xf numFmtId="0" fontId="0" fillId="0" borderId="29" xfId="0" applyBorder="1"/>
    <xf numFmtId="0" fontId="0" fillId="35" borderId="13" xfId="0" applyFill="1" applyBorder="1"/>
    <xf numFmtId="0" fontId="0" fillId="0" borderId="80" xfId="0" applyBorder="1"/>
    <xf numFmtId="0" fontId="0" fillId="0" borderId="46" xfId="0" applyBorder="1"/>
    <xf numFmtId="0" fontId="0" fillId="0" borderId="23" xfId="0" applyBorder="1"/>
    <xf numFmtId="0" fontId="0" fillId="0" borderId="21" xfId="0" applyBorder="1"/>
    <xf numFmtId="0" fontId="0" fillId="0" borderId="18" xfId="0" applyBorder="1"/>
    <xf numFmtId="0" fontId="0" fillId="35" borderId="23" xfId="0" applyFill="1" applyBorder="1"/>
    <xf numFmtId="0" fontId="0" fillId="0" borderId="47" xfId="0" applyBorder="1"/>
    <xf numFmtId="0" fontId="0" fillId="0" borderId="70" xfId="0" applyBorder="1"/>
    <xf numFmtId="0" fontId="0" fillId="0" borderId="67" xfId="0" applyBorder="1"/>
    <xf numFmtId="0" fontId="0" fillId="0" borderId="48" xfId="0" applyBorder="1"/>
    <xf numFmtId="0" fontId="0" fillId="0" borderId="54" xfId="0" applyBorder="1"/>
    <xf numFmtId="0" fontId="0" fillId="35" borderId="67" xfId="0" applyFill="1" applyBorder="1"/>
    <xf numFmtId="0" fontId="0" fillId="0" borderId="68" xfId="0" applyBorder="1"/>
    <xf numFmtId="0" fontId="0" fillId="0" borderId="13" xfId="0" applyFill="1" applyBorder="1"/>
    <xf numFmtId="1" fontId="0" fillId="35" borderId="23" xfId="0" applyNumberFormat="1" applyFill="1" applyBorder="1" applyAlignment="1">
      <alignment vertical="center"/>
    </xf>
    <xf numFmtId="3" fontId="0" fillId="0" borderId="18" xfId="0" applyNumberFormat="1" applyBorder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0" xfId="0" applyFill="1" applyBorder="1"/>
    <xf numFmtId="0" fontId="126" fillId="0" borderId="21" xfId="0" applyFont="1" applyBorder="1" applyAlignment="1">
      <alignment vertical="center" wrapText="1"/>
    </xf>
    <xf numFmtId="3" fontId="11" fillId="0" borderId="18" xfId="0" applyNumberFormat="1" applyFont="1" applyBorder="1" applyAlignment="1">
      <alignment horizontal="center" vertical="center"/>
    </xf>
    <xf numFmtId="0" fontId="98" fillId="0" borderId="70" xfId="0" applyFont="1" applyBorder="1" applyAlignment="1">
      <alignment vertical="center"/>
    </xf>
    <xf numFmtId="0" fontId="126" fillId="0" borderId="48" xfId="0" applyFont="1" applyBorder="1" applyAlignment="1">
      <alignment vertical="center" wrapText="1"/>
    </xf>
    <xf numFmtId="0" fontId="0" fillId="0" borderId="0" xfId="0" applyFont="1" applyAlignment="1" applyProtection="1">
      <alignment vertical="center"/>
    </xf>
    <xf numFmtId="3" fontId="0" fillId="0" borderId="0" xfId="0" applyNumberFormat="1" applyFont="1" applyAlignment="1">
      <alignment vertical="center"/>
    </xf>
    <xf numFmtId="0" fontId="127" fillId="0" borderId="27" xfId="0" applyFont="1" applyFill="1" applyBorder="1" applyAlignment="1">
      <alignment vertical="center"/>
    </xf>
    <xf numFmtId="0" fontId="127" fillId="0" borderId="34" xfId="0" applyFont="1" applyFill="1" applyBorder="1" applyAlignment="1">
      <alignment vertical="center"/>
    </xf>
    <xf numFmtId="0" fontId="0" fillId="32" borderId="0" xfId="0" applyFont="1" applyFill="1" applyAlignment="1" applyProtection="1">
      <alignment vertical="center"/>
    </xf>
    <xf numFmtId="0" fontId="0" fillId="28" borderId="0" xfId="0" applyFont="1" applyFill="1" applyAlignment="1" applyProtection="1">
      <alignment vertical="center"/>
      <protection locked="0"/>
    </xf>
    <xf numFmtId="0" fontId="0" fillId="32" borderId="0" xfId="0" applyNumberFormat="1" applyFont="1" applyFill="1" applyAlignment="1" applyProtection="1">
      <alignment vertical="center"/>
      <protection locked="0"/>
    </xf>
    <xf numFmtId="0" fontId="0" fillId="32" borderId="0" xfId="0" applyNumberFormat="1" applyFont="1" applyFill="1" applyAlignment="1" applyProtection="1">
      <alignment vertical="center"/>
    </xf>
    <xf numFmtId="172" fontId="0" fillId="0" borderId="28" xfId="0" applyNumberFormat="1" applyFont="1" applyBorder="1" applyAlignment="1" applyProtection="1">
      <alignment horizontal="right" vertical="center"/>
    </xf>
    <xf numFmtId="0" fontId="0" fillId="0" borderId="0" xfId="0" applyNumberFormat="1" applyFont="1" applyBorder="1" applyAlignment="1">
      <alignment horizontal="center" vertical="center"/>
    </xf>
    <xf numFmtId="0" fontId="0" fillId="0" borderId="0" xfId="0" applyNumberFormat="1" applyFont="1" applyBorder="1" applyAlignment="1">
      <alignment vertical="center"/>
    </xf>
    <xf numFmtId="0" fontId="98" fillId="0" borderId="61" xfId="0" applyFont="1" applyFill="1" applyBorder="1" applyAlignment="1">
      <alignment vertical="center"/>
    </xf>
    <xf numFmtId="0" fontId="98" fillId="0" borderId="22" xfId="0" applyFont="1" applyFill="1" applyBorder="1" applyAlignment="1">
      <alignment vertical="center"/>
    </xf>
    <xf numFmtId="0" fontId="98" fillId="0" borderId="62" xfId="0" applyFont="1" applyFill="1" applyBorder="1" applyAlignment="1">
      <alignment vertical="center"/>
    </xf>
    <xf numFmtId="0" fontId="98" fillId="0" borderId="28" xfId="0" applyFont="1" applyBorder="1" applyAlignment="1">
      <alignment vertical="center"/>
    </xf>
    <xf numFmtId="0" fontId="98" fillId="0" borderId="27" xfId="0" applyFont="1" applyFill="1" applyBorder="1" applyAlignment="1">
      <alignment vertical="center"/>
    </xf>
    <xf numFmtId="0" fontId="98" fillId="0" borderId="0" xfId="0" applyFont="1" applyFill="1" applyBorder="1" applyAlignment="1">
      <alignment vertical="center"/>
    </xf>
    <xf numFmtId="0" fontId="98" fillId="0" borderId="28" xfId="0" applyFont="1" applyFill="1" applyBorder="1" applyAlignment="1">
      <alignment vertical="center"/>
    </xf>
    <xf numFmtId="0" fontId="98" fillId="0" borderId="34" xfId="0" applyFont="1" applyFill="1" applyBorder="1" applyAlignment="1">
      <alignment vertical="center"/>
    </xf>
    <xf numFmtId="0" fontId="98" fillId="0" borderId="13" xfId="0" applyFont="1" applyFill="1" applyBorder="1" applyAlignment="1">
      <alignment vertical="center"/>
    </xf>
    <xf numFmtId="0" fontId="98" fillId="0" borderId="29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10" xfId="0" applyFont="1" applyBorder="1" applyAlignment="1">
      <alignment vertical="center"/>
    </xf>
    <xf numFmtId="0" fontId="62" fillId="0" borderId="10" xfId="0" applyFont="1" applyBorder="1" applyAlignment="1">
      <alignment horizontal="center" vertical="center"/>
    </xf>
    <xf numFmtId="0" fontId="2" fillId="28" borderId="0" xfId="46" applyNumberFormat="1" applyFill="1" applyBorder="1" applyAlignment="1" applyProtection="1">
      <alignment vertical="center"/>
      <protection locked="0"/>
    </xf>
    <xf numFmtId="0" fontId="2" fillId="28" borderId="0" xfId="46" applyFill="1" applyAlignment="1" applyProtection="1">
      <alignment vertical="center"/>
      <protection locked="0"/>
    </xf>
    <xf numFmtId="0" fontId="2" fillId="28" borderId="0" xfId="46" applyFont="1" applyFill="1" applyAlignment="1" applyProtection="1">
      <alignment vertical="center"/>
      <protection locked="0"/>
    </xf>
    <xf numFmtId="0" fontId="118" fillId="0" borderId="0" xfId="0" quotePrefix="1" applyFont="1" applyBorder="1" applyAlignment="1" applyProtection="1">
      <alignment vertical="center"/>
    </xf>
    <xf numFmtId="0" fontId="118" fillId="0" borderId="0" xfId="0" quotePrefix="1" applyFont="1" applyAlignment="1">
      <alignment vertical="center"/>
    </xf>
    <xf numFmtId="0" fontId="2" fillId="0" borderId="0" xfId="46" applyFont="1" applyAlignment="1" applyProtection="1">
      <alignment vertical="center"/>
      <protection locked="0"/>
    </xf>
    <xf numFmtId="0" fontId="2" fillId="0" borderId="0" xfId="46" applyFont="1" applyAlignment="1">
      <alignment vertical="center"/>
    </xf>
    <xf numFmtId="0" fontId="2" fillId="0" borderId="0" xfId="0" applyFont="1" applyAlignment="1">
      <alignment vertical="center"/>
    </xf>
    <xf numFmtId="166" fontId="2" fillId="0" borderId="0" xfId="46" applyNumberFormat="1" applyFont="1" applyAlignment="1">
      <alignment vertical="center"/>
    </xf>
    <xf numFmtId="3" fontId="2" fillId="0" borderId="0" xfId="46" applyNumberFormat="1" applyFont="1" applyAlignment="1" applyProtection="1">
      <alignment vertical="center"/>
      <protection locked="0"/>
    </xf>
    <xf numFmtId="2" fontId="26" fillId="0" borderId="0" xfId="46" applyNumberFormat="1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horizontal="right" vertical="center"/>
    </xf>
    <xf numFmtId="0" fontId="0" fillId="0" borderId="0" xfId="0" applyFont="1" applyBorder="1" applyAlignment="1" applyProtection="1">
      <alignment vertical="center"/>
    </xf>
    <xf numFmtId="0" fontId="98" fillId="0" borderId="0" xfId="0" applyFont="1" applyFill="1" applyBorder="1" applyAlignment="1" applyProtection="1">
      <alignment horizontal="center" vertical="center"/>
    </xf>
    <xf numFmtId="0" fontId="98" fillId="0" borderId="0" xfId="0" applyFont="1" applyAlignment="1" applyProtection="1">
      <alignment vertical="center"/>
    </xf>
    <xf numFmtId="3" fontId="98" fillId="0" borderId="0" xfId="0" applyNumberFormat="1" applyFont="1" applyAlignment="1" applyProtection="1">
      <alignment vertical="center"/>
      <protection locked="0"/>
    </xf>
    <xf numFmtId="0" fontId="98" fillId="0" borderId="0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10" fillId="0" borderId="10" xfId="0" applyFont="1" applyBorder="1" applyAlignment="1">
      <alignment vertical="center"/>
    </xf>
    <xf numFmtId="0" fontId="0" fillId="0" borderId="0" xfId="0" applyFill="1" applyBorder="1" applyAlignment="1"/>
    <xf numFmtId="0" fontId="0" fillId="0" borderId="10" xfId="0" applyFill="1" applyBorder="1"/>
    <xf numFmtId="0" fontId="11" fillId="0" borderId="0" xfId="0" applyFont="1" applyFill="1" applyBorder="1" applyAlignment="1">
      <alignment vertical="center"/>
    </xf>
    <xf numFmtId="0" fontId="11" fillId="0" borderId="10" xfId="0" applyFont="1" applyFill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 vertical="center"/>
    </xf>
    <xf numFmtId="3" fontId="0" fillId="0" borderId="14" xfId="0" applyNumberFormat="1" applyBorder="1" applyAlignment="1">
      <alignment vertical="center"/>
    </xf>
    <xf numFmtId="2" fontId="62" fillId="0" borderId="21" xfId="0" applyNumberFormat="1" applyFont="1" applyFill="1" applyBorder="1" applyProtection="1"/>
    <xf numFmtId="2" fontId="0" fillId="0" borderId="15" xfId="0" applyNumberFormat="1" applyFont="1" applyFill="1" applyBorder="1" applyAlignment="1" applyProtection="1">
      <alignment horizontal="right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center"/>
      <protection locked="0"/>
    </xf>
    <xf numFmtId="4" fontId="11" fillId="0" borderId="0" xfId="0" applyNumberFormat="1" applyFont="1" applyProtection="1"/>
    <xf numFmtId="4" fontId="0" fillId="0" borderId="0" xfId="0" applyNumberFormat="1" applyFill="1" applyBorder="1" applyProtection="1"/>
    <xf numFmtId="4" fontId="11" fillId="0" borderId="10" xfId="0" applyNumberFormat="1" applyFont="1" applyFill="1" applyBorder="1" applyProtection="1"/>
    <xf numFmtId="0" fontId="0" fillId="0" borderId="10" xfId="0" applyBorder="1" applyAlignment="1" applyProtection="1">
      <alignment horizontal="center"/>
      <protection locked="0"/>
    </xf>
    <xf numFmtId="0" fontId="0" fillId="35" borderId="18" xfId="0" applyFill="1" applyBorder="1" applyAlignment="1">
      <alignment horizontal="center" vertical="center"/>
    </xf>
    <xf numFmtId="1" fontId="0" fillId="0" borderId="0" xfId="0" applyNumberFormat="1" applyAlignment="1" applyProtection="1">
      <alignment horizontal="right"/>
    </xf>
    <xf numFmtId="164" fontId="0" fillId="34" borderId="15" xfId="28" applyFont="1" applyFill="1" applyBorder="1" applyProtection="1"/>
    <xf numFmtId="164" fontId="0" fillId="28" borderId="15" xfId="28" applyFont="1" applyFill="1" applyBorder="1" applyProtection="1"/>
    <xf numFmtId="164" fontId="11" fillId="48" borderId="15" xfId="28" applyFont="1" applyFill="1" applyBorder="1" applyProtection="1"/>
    <xf numFmtId="164" fontId="128" fillId="48" borderId="15" xfId="28" applyFont="1" applyFill="1" applyBorder="1" applyProtection="1"/>
    <xf numFmtId="164" fontId="0" fillId="28" borderId="15" xfId="28" applyFont="1" applyFill="1" applyBorder="1" applyProtection="1">
      <protection locked="0"/>
    </xf>
    <xf numFmtId="164" fontId="0" fillId="34" borderId="20" xfId="28" applyFont="1" applyFill="1" applyBorder="1" applyProtection="1"/>
    <xf numFmtId="164" fontId="0" fillId="34" borderId="14" xfId="28" applyFont="1" applyFill="1" applyBorder="1" applyProtection="1"/>
    <xf numFmtId="164" fontId="0" fillId="28" borderId="62" xfId="28" applyFont="1" applyFill="1" applyBorder="1" applyProtection="1"/>
    <xf numFmtId="164" fontId="0" fillId="28" borderId="28" xfId="28" applyFont="1" applyFill="1" applyBorder="1" applyProtection="1"/>
    <xf numFmtId="164" fontId="0" fillId="0" borderId="15" xfId="28" applyFont="1" applyFill="1" applyBorder="1" applyProtection="1"/>
    <xf numFmtId="164" fontId="97" fillId="28" borderId="15" xfId="28" applyFont="1" applyFill="1" applyBorder="1" applyProtection="1"/>
    <xf numFmtId="164" fontId="11" fillId="48" borderId="15" xfId="28" applyFont="1" applyFill="1" applyBorder="1" applyAlignment="1" applyProtection="1">
      <alignment horizontal="right"/>
    </xf>
    <xf numFmtId="179" fontId="11" fillId="48" borderId="15" xfId="0" applyNumberFormat="1" applyFont="1" applyFill="1" applyBorder="1" applyAlignment="1" applyProtection="1">
      <alignment horizontal="right"/>
    </xf>
    <xf numFmtId="182" fontId="11" fillId="48" borderId="15" xfId="0" applyNumberFormat="1" applyFont="1" applyFill="1" applyBorder="1" applyAlignment="1" applyProtection="1">
      <alignment horizontal="right"/>
    </xf>
    <xf numFmtId="183" fontId="11" fillId="48" borderId="15" xfId="0" applyNumberFormat="1" applyFont="1" applyFill="1" applyBorder="1" applyAlignment="1" applyProtection="1">
      <alignment horizontal="right"/>
    </xf>
    <xf numFmtId="180" fontId="0" fillId="28" borderId="28" xfId="0" applyNumberFormat="1" applyFont="1" applyFill="1" applyBorder="1" applyProtection="1"/>
    <xf numFmtId="0" fontId="0" fillId="0" borderId="10" xfId="0" applyFont="1" applyFill="1" applyBorder="1" applyAlignment="1" applyProtection="1">
      <alignment horizontal="left"/>
      <protection locked="0"/>
    </xf>
    <xf numFmtId="164" fontId="2" fillId="28" borderId="15" xfId="28" applyFont="1" applyFill="1" applyBorder="1" applyProtection="1"/>
    <xf numFmtId="180" fontId="0" fillId="28" borderId="15" xfId="0" applyNumberFormat="1" applyFont="1" applyFill="1" applyBorder="1" applyProtection="1"/>
    <xf numFmtId="184" fontId="0" fillId="28" borderId="15" xfId="0" applyNumberFormat="1" applyFont="1" applyFill="1" applyBorder="1" applyProtection="1"/>
    <xf numFmtId="0" fontId="0" fillId="0" borderId="10" xfId="0" applyBorder="1" applyProtection="1">
      <protection locked="0"/>
    </xf>
    <xf numFmtId="166" fontId="0" fillId="38" borderId="0" xfId="0" applyNumberFormat="1" applyFill="1" applyBorder="1" applyAlignment="1" applyProtection="1">
      <alignment vertical="center"/>
    </xf>
    <xf numFmtId="2" fontId="0" fillId="38" borderId="0" xfId="0" applyNumberFormat="1" applyFill="1" applyBorder="1" applyAlignment="1" applyProtection="1">
      <alignment vertical="center"/>
    </xf>
    <xf numFmtId="2" fontId="0" fillId="38" borderId="13" xfId="0" applyNumberFormat="1" applyFill="1" applyBorder="1" applyAlignment="1" applyProtection="1">
      <alignment vertical="center"/>
    </xf>
    <xf numFmtId="164" fontId="24" fillId="0" borderId="0" xfId="28" applyFont="1" applyAlignment="1" applyProtection="1">
      <alignment horizontal="right" vertical="center"/>
    </xf>
    <xf numFmtId="164" fontId="3" fillId="0" borderId="20" xfId="28" applyFont="1" applyBorder="1" applyAlignment="1" applyProtection="1">
      <alignment horizontal="center"/>
    </xf>
    <xf numFmtId="164" fontId="24" fillId="0" borderId="62" xfId="28" applyFont="1" applyFill="1" applyBorder="1" applyProtection="1"/>
    <xf numFmtId="164" fontId="24" fillId="0" borderId="21" xfId="28" applyFont="1" applyFill="1" applyBorder="1" applyProtection="1"/>
    <xf numFmtId="164" fontId="0" fillId="0" borderId="15" xfId="28" applyFont="1" applyBorder="1" applyProtection="1"/>
    <xf numFmtId="164" fontId="11" fillId="0" borderId="62" xfId="28" applyFont="1" applyFill="1" applyBorder="1" applyProtection="1"/>
    <xf numFmtId="164" fontId="0" fillId="0" borderId="62" xfId="28" applyFont="1" applyBorder="1" applyProtection="1"/>
    <xf numFmtId="164" fontId="0" fillId="0" borderId="28" xfId="28" applyFont="1" applyBorder="1" applyProtection="1"/>
    <xf numFmtId="164" fontId="0" fillId="0" borderId="29" xfId="28" applyFont="1" applyBorder="1" applyProtection="1"/>
    <xf numFmtId="164" fontId="11" fillId="0" borderId="21" xfId="28" applyFont="1" applyFill="1" applyBorder="1" applyProtection="1"/>
    <xf numFmtId="164" fontId="39" fillId="24" borderId="21" xfId="28" applyFont="1" applyFill="1" applyBorder="1" applyProtection="1"/>
    <xf numFmtId="164" fontId="0" fillId="0" borderId="0" xfId="28" applyFont="1" applyProtection="1"/>
    <xf numFmtId="164" fontId="2" fillId="28" borderId="15" xfId="28" applyNumberFormat="1" applyFont="1" applyFill="1" applyBorder="1" applyProtection="1"/>
    <xf numFmtId="180" fontId="0" fillId="28" borderId="15" xfId="0" applyNumberFormat="1" applyFont="1" applyFill="1" applyBorder="1" applyProtection="1">
      <protection locked="0"/>
    </xf>
    <xf numFmtId="184" fontId="0" fillId="28" borderId="15" xfId="0" applyNumberFormat="1" applyFont="1" applyFill="1" applyBorder="1" applyProtection="1">
      <protection locked="0"/>
    </xf>
    <xf numFmtId="185" fontId="39" fillId="35" borderId="21" xfId="28" applyNumberFormat="1" applyFont="1" applyFill="1" applyBorder="1" applyAlignment="1">
      <alignment horizontal="center" vertical="center"/>
    </xf>
    <xf numFmtId="0" fontId="98" fillId="0" borderId="0" xfId="0" applyFont="1" applyFill="1" applyBorder="1" applyAlignment="1">
      <alignment horizontal="center" vertical="center"/>
    </xf>
    <xf numFmtId="14" fontId="98" fillId="0" borderId="0" xfId="0" applyNumberFormat="1" applyFont="1" applyFill="1" applyBorder="1" applyAlignment="1">
      <alignment horizontal="center" vertical="center"/>
    </xf>
    <xf numFmtId="0" fontId="0" fillId="0" borderId="10" xfId="0" applyBorder="1" applyAlignment="1" applyProtection="1">
      <alignment horizontal="center"/>
      <protection locked="0"/>
    </xf>
    <xf numFmtId="0" fontId="0" fillId="52" borderId="10" xfId="0" applyFont="1" applyFill="1" applyBorder="1" applyProtection="1">
      <protection locked="0"/>
    </xf>
    <xf numFmtId="0" fontId="0" fillId="51" borderId="10" xfId="0" applyFill="1" applyBorder="1" applyProtection="1">
      <protection locked="0"/>
    </xf>
    <xf numFmtId="0" fontId="0" fillId="36" borderId="10" xfId="0" applyFill="1" applyBorder="1" applyProtection="1">
      <protection locked="0"/>
    </xf>
    <xf numFmtId="0" fontId="62" fillId="0" borderId="23" xfId="0" applyFont="1" applyFill="1" applyBorder="1" applyAlignment="1" applyProtection="1">
      <alignment horizontal="left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applyBorder="1" applyAlignment="1">
      <alignment horizontal="center" vertical="center" wrapText="1"/>
    </xf>
    <xf numFmtId="0" fontId="0" fillId="49" borderId="61" xfId="0" applyFill="1" applyBorder="1" applyAlignment="1" applyProtection="1">
      <alignment horizontal="right" vertical="center"/>
    </xf>
    <xf numFmtId="0" fontId="0" fillId="49" borderId="22" xfId="0" applyFill="1" applyBorder="1" applyAlignment="1" applyProtection="1">
      <alignment horizontal="right" vertical="center"/>
    </xf>
    <xf numFmtId="0" fontId="0" fillId="49" borderId="62" xfId="0" applyFill="1" applyBorder="1" applyAlignment="1" applyProtection="1">
      <alignment horizontal="right" vertical="center"/>
    </xf>
    <xf numFmtId="0" fontId="0" fillId="34" borderId="61" xfId="0" applyFill="1" applyBorder="1" applyAlignment="1" applyProtection="1">
      <alignment horizontal="right" vertical="center"/>
    </xf>
    <xf numFmtId="0" fontId="0" fillId="34" borderId="22" xfId="0" applyFill="1" applyBorder="1" applyAlignment="1" applyProtection="1">
      <alignment horizontal="right" vertical="center"/>
    </xf>
    <xf numFmtId="0" fontId="0" fillId="34" borderId="62" xfId="0" applyFill="1" applyBorder="1" applyAlignment="1" applyProtection="1">
      <alignment horizontal="right" vertical="center"/>
    </xf>
    <xf numFmtId="0" fontId="0" fillId="53" borderId="61" xfId="0" applyFill="1" applyBorder="1" applyAlignment="1" applyProtection="1">
      <alignment horizontal="right" vertical="center"/>
    </xf>
    <xf numFmtId="0" fontId="0" fillId="53" borderId="22" xfId="0" applyFill="1" applyBorder="1" applyAlignment="1" applyProtection="1">
      <alignment horizontal="right" vertical="center"/>
    </xf>
    <xf numFmtId="0" fontId="0" fillId="53" borderId="62" xfId="0" applyFill="1" applyBorder="1" applyAlignment="1" applyProtection="1">
      <alignment horizontal="right" vertical="center"/>
    </xf>
    <xf numFmtId="0" fontId="130" fillId="36" borderId="10" xfId="45" applyNumberFormat="1" applyFont="1" applyFill="1" applyBorder="1" applyAlignment="1">
      <alignment horizontal="left" vertical="center" wrapText="1"/>
    </xf>
    <xf numFmtId="0" fontId="131" fillId="52" borderId="10" xfId="45" applyNumberFormat="1" applyFont="1" applyFill="1" applyBorder="1" applyAlignment="1">
      <alignment horizontal="left" vertical="center" wrapText="1"/>
    </xf>
    <xf numFmtId="0" fontId="104" fillId="52" borderId="10" xfId="45" applyNumberFormat="1" applyFont="1" applyFill="1" applyBorder="1" applyAlignment="1">
      <alignment horizontal="center" vertical="center" wrapText="1"/>
    </xf>
    <xf numFmtId="49" fontId="104" fillId="52" borderId="10" xfId="45" quotePrefix="1" applyNumberFormat="1" applyFont="1" applyFill="1" applyBorder="1" applyAlignment="1">
      <alignment horizontal="center" vertical="center" wrapText="1"/>
    </xf>
    <xf numFmtId="0" fontId="100" fillId="52" borderId="10" xfId="45" applyFont="1" applyFill="1" applyBorder="1" applyAlignment="1">
      <alignment horizontal="center" vertical="center" wrapText="1"/>
    </xf>
    <xf numFmtId="3" fontId="100" fillId="52" borderId="20" xfId="0" applyNumberFormat="1" applyFont="1" applyFill="1" applyBorder="1" applyAlignment="1" applyProtection="1">
      <alignment horizontal="center" vertical="center" wrapText="1"/>
      <protection locked="0"/>
    </xf>
    <xf numFmtId="4" fontId="102" fillId="52" borderId="10" xfId="45" applyNumberFormat="1" applyFont="1" applyFill="1" applyBorder="1" applyAlignment="1">
      <alignment horizontal="right" vertical="center" wrapText="1"/>
    </xf>
    <xf numFmtId="0" fontId="104" fillId="44" borderId="10" xfId="45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 wrapText="1"/>
    </xf>
    <xf numFmtId="3" fontId="10" fillId="0" borderId="10" xfId="0" applyNumberFormat="1" applyFont="1" applyBorder="1" applyAlignment="1">
      <alignment vertical="center"/>
    </xf>
    <xf numFmtId="4" fontId="10" fillId="0" borderId="10" xfId="0" applyNumberFormat="1" applyFont="1" applyBorder="1" applyAlignment="1">
      <alignment horizontal="right" vertical="center"/>
    </xf>
    <xf numFmtId="4" fontId="10" fillId="0" borderId="10" xfId="0" applyNumberFormat="1" applyFont="1" applyBorder="1" applyAlignment="1">
      <alignment vertical="center"/>
    </xf>
    <xf numFmtId="168" fontId="0" fillId="45" borderId="0" xfId="0" applyNumberFormat="1" applyFill="1" applyBorder="1" applyAlignment="1" applyProtection="1">
      <alignment vertical="center"/>
    </xf>
    <xf numFmtId="168" fontId="0" fillId="45" borderId="28" xfId="0" applyNumberFormat="1" applyFill="1" applyBorder="1" applyAlignment="1" applyProtection="1">
      <alignment vertical="center"/>
    </xf>
    <xf numFmtId="168" fontId="0" fillId="45" borderId="13" xfId="0" applyNumberFormat="1" applyFill="1" applyBorder="1" applyAlignment="1" applyProtection="1">
      <alignment vertical="center"/>
    </xf>
    <xf numFmtId="168" fontId="0" fillId="45" borderId="29" xfId="0" applyNumberFormat="1" applyFill="1" applyBorder="1" applyAlignment="1" applyProtection="1">
      <alignment vertical="center"/>
    </xf>
    <xf numFmtId="168" fontId="0" fillId="45" borderId="22" xfId="0" applyNumberFormat="1" applyFill="1" applyBorder="1" applyAlignment="1" applyProtection="1">
      <alignment vertical="center"/>
    </xf>
    <xf numFmtId="168" fontId="30" fillId="45" borderId="22" xfId="0" applyNumberFormat="1" applyFont="1" applyFill="1" applyBorder="1" applyAlignment="1" applyProtection="1">
      <alignment vertical="center"/>
    </xf>
    <xf numFmtId="0" fontId="0" fillId="45" borderId="62" xfId="0" applyFill="1" applyBorder="1" applyAlignment="1" applyProtection="1">
      <alignment vertical="center"/>
    </xf>
    <xf numFmtId="0" fontId="0" fillId="45" borderId="28" xfId="0" applyFill="1" applyBorder="1" applyAlignment="1" applyProtection="1">
      <alignment vertical="center"/>
    </xf>
    <xf numFmtId="168" fontId="30" fillId="45" borderId="0" xfId="0" applyNumberFormat="1" applyFont="1" applyFill="1" applyBorder="1" applyAlignment="1" applyProtection="1">
      <alignment vertical="center"/>
    </xf>
    <xf numFmtId="0" fontId="0" fillId="45" borderId="29" xfId="0" applyFill="1" applyBorder="1" applyAlignment="1" applyProtection="1">
      <alignment vertical="center"/>
    </xf>
    <xf numFmtId="168" fontId="0" fillId="45" borderId="62" xfId="0" applyNumberFormat="1" applyFill="1" applyBorder="1" applyAlignment="1" applyProtection="1">
      <alignment vertical="center"/>
    </xf>
    <xf numFmtId="166" fontId="0" fillId="45" borderId="62" xfId="0" applyNumberFormat="1" applyFill="1" applyBorder="1" applyAlignment="1" applyProtection="1">
      <alignment vertical="center"/>
    </xf>
    <xf numFmtId="166" fontId="0" fillId="45" borderId="28" xfId="0" applyNumberFormat="1" applyFill="1" applyBorder="1" applyAlignment="1" applyProtection="1">
      <alignment vertical="center"/>
    </xf>
    <xf numFmtId="166" fontId="0" fillId="45" borderId="29" xfId="0" applyNumberFormat="1" applyFill="1" applyBorder="1" applyAlignment="1" applyProtection="1">
      <alignment vertical="center"/>
    </xf>
    <xf numFmtId="0" fontId="0" fillId="50" borderId="61" xfId="0" applyFill="1" applyBorder="1" applyAlignment="1" applyProtection="1">
      <alignment horizontal="right" vertical="center"/>
    </xf>
    <xf numFmtId="0" fontId="0" fillId="50" borderId="22" xfId="0" applyFill="1" applyBorder="1" applyAlignment="1" applyProtection="1">
      <alignment horizontal="right" vertical="center"/>
    </xf>
    <xf numFmtId="0" fontId="0" fillId="50" borderId="62" xfId="0" applyFill="1" applyBorder="1" applyAlignment="1" applyProtection="1">
      <alignment horizontal="right" vertical="center"/>
    </xf>
    <xf numFmtId="0" fontId="0" fillId="0" borderId="10" xfId="0" applyBorder="1" applyAlignment="1">
      <alignment horizontal="center" vertical="center" wrapText="1"/>
    </xf>
    <xf numFmtId="0" fontId="132" fillId="0" borderId="0" xfId="0" applyFont="1" applyBorder="1" applyAlignment="1">
      <alignment vertical="center"/>
    </xf>
    <xf numFmtId="0" fontId="57" fillId="0" borderId="10" xfId="0" applyNumberFormat="1" applyFont="1" applyFill="1" applyBorder="1" applyAlignment="1">
      <alignment horizontal="center" vertical="center" wrapText="1"/>
    </xf>
    <xf numFmtId="0" fontId="98" fillId="0" borderId="21" xfId="0" applyFont="1" applyBorder="1" applyAlignment="1">
      <alignment horizontal="center" vertical="center" wrapText="1"/>
    </xf>
    <xf numFmtId="0" fontId="0" fillId="0" borderId="0" xfId="0" applyNumberFormat="1" applyBorder="1" applyAlignment="1" applyProtection="1">
      <alignment horizontal="right" vertical="center"/>
    </xf>
    <xf numFmtId="3" fontId="0" fillId="0" borderId="0" xfId="0" applyNumberFormat="1" applyFont="1" applyAlignment="1" applyProtection="1">
      <alignment vertical="center"/>
    </xf>
    <xf numFmtId="3" fontId="0" fillId="0" borderId="0" xfId="0" applyNumberFormat="1" applyAlignment="1" applyProtection="1">
      <alignment vertical="center"/>
    </xf>
    <xf numFmtId="3" fontId="0" fillId="0" borderId="0" xfId="0" applyNumberFormat="1" applyFont="1" applyBorder="1" applyAlignment="1" applyProtection="1">
      <alignment horizontal="right" vertical="center"/>
    </xf>
    <xf numFmtId="4" fontId="50" fillId="0" borderId="0" xfId="0" applyNumberFormat="1" applyFont="1" applyAlignment="1" applyProtection="1">
      <alignment vertical="center"/>
    </xf>
    <xf numFmtId="4" fontId="0" fillId="0" borderId="0" xfId="0" applyNumberFormat="1" applyAlignment="1" applyProtection="1">
      <alignment vertical="center"/>
    </xf>
    <xf numFmtId="0" fontId="10" fillId="0" borderId="0" xfId="0" applyFont="1" applyAlignment="1">
      <alignment vertical="center"/>
    </xf>
    <xf numFmtId="0" fontId="98" fillId="0" borderId="0" xfId="0" applyFont="1" applyBorder="1"/>
    <xf numFmtId="0" fontId="98" fillId="0" borderId="0" xfId="46" applyFont="1" applyBorder="1" applyAlignment="1">
      <alignment horizontal="center" vertical="center" wrapText="1"/>
    </xf>
    <xf numFmtId="0" fontId="98" fillId="0" borderId="0" xfId="46" applyFont="1" applyFill="1" applyBorder="1" applyAlignment="1" applyProtection="1">
      <alignment horizontal="center" vertical="center"/>
      <protection locked="0"/>
    </xf>
    <xf numFmtId="165" fontId="98" fillId="0" borderId="0" xfId="0" applyNumberFormat="1" applyFont="1" applyFill="1" applyBorder="1" applyAlignment="1">
      <alignment vertical="center"/>
    </xf>
    <xf numFmtId="0" fontId="98" fillId="0" borderId="0" xfId="46" applyFont="1" applyFill="1" applyBorder="1" applyAlignment="1">
      <alignment horizontal="center" vertical="center"/>
    </xf>
    <xf numFmtId="0" fontId="98" fillId="0" borderId="0" xfId="0" applyFont="1" applyBorder="1" applyAlignment="1">
      <alignment horizontal="center" vertical="center"/>
    </xf>
    <xf numFmtId="165" fontId="98" fillId="0" borderId="0" xfId="0" applyNumberFormat="1" applyFont="1" applyBorder="1" applyAlignment="1">
      <alignment vertical="center"/>
    </xf>
    <xf numFmtId="1" fontId="0" fillId="35" borderId="67" xfId="0" applyNumberFormat="1" applyFill="1" applyBorder="1" applyAlignment="1">
      <alignment vertical="center"/>
    </xf>
    <xf numFmtId="1" fontId="0" fillId="35" borderId="10" xfId="0" applyNumberFormat="1" applyFill="1" applyBorder="1" applyAlignment="1">
      <alignment vertical="center"/>
    </xf>
    <xf numFmtId="0" fontId="0" fillId="0" borderId="0" xfId="0" applyFont="1" applyFill="1"/>
    <xf numFmtId="0" fontId="134" fillId="0" borderId="0" xfId="0" applyFont="1" applyFill="1"/>
    <xf numFmtId="0" fontId="31" fillId="0" borderId="0" xfId="0" applyFont="1" applyFill="1"/>
    <xf numFmtId="3" fontId="11" fillId="0" borderId="54" xfId="0" applyNumberFormat="1" applyFont="1" applyBorder="1" applyAlignment="1">
      <alignment horizontal="center" vertical="center"/>
    </xf>
    <xf numFmtId="0" fontId="26" fillId="0" borderId="56" xfId="0" applyFont="1" applyFill="1" applyBorder="1" applyAlignment="1" applyProtection="1">
      <alignment horizontal="center" vertical="center" wrapText="1"/>
      <protection locked="0"/>
    </xf>
    <xf numFmtId="0" fontId="14" fillId="0" borderId="31" xfId="0" applyFont="1" applyFill="1" applyBorder="1" applyAlignment="1" applyProtection="1">
      <alignment horizontal="center" vertical="center"/>
      <protection locked="0"/>
    </xf>
    <xf numFmtId="0" fontId="0" fillId="28" borderId="63" xfId="0" applyFill="1" applyBorder="1" applyAlignment="1" applyProtection="1">
      <alignment horizontal="center" vertical="center"/>
      <protection locked="0"/>
    </xf>
    <xf numFmtId="0" fontId="98" fillId="55" borderId="0" xfId="0" applyFont="1" applyFill="1" applyAlignment="1">
      <alignment horizontal="center" vertical="center"/>
    </xf>
    <xf numFmtId="0" fontId="135" fillId="0" borderId="0" xfId="0" applyFont="1" applyAlignment="1">
      <alignment vertical="center"/>
    </xf>
    <xf numFmtId="0" fontId="136" fillId="0" borderId="0" xfId="0" applyFont="1" applyAlignment="1">
      <alignment vertical="center"/>
    </xf>
    <xf numFmtId="0" fontId="136" fillId="0" borderId="0" xfId="0" applyFont="1" applyFill="1" applyAlignment="1">
      <alignment vertical="center"/>
    </xf>
    <xf numFmtId="0" fontId="136" fillId="0" borderId="0" xfId="0" applyFont="1" applyFill="1" applyAlignment="1">
      <alignment horizontal="center" vertical="center"/>
    </xf>
    <xf numFmtId="0" fontId="137" fillId="0" borderId="0" xfId="0" applyFont="1" applyFill="1" applyAlignment="1">
      <alignment horizontal="center" vertical="center"/>
    </xf>
    <xf numFmtId="0" fontId="137" fillId="0" borderId="0" xfId="0" applyFont="1" applyFill="1" applyAlignment="1">
      <alignment vertical="center"/>
    </xf>
    <xf numFmtId="0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14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49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0" fontId="101" fillId="56" borderId="10" xfId="45" applyFont="1" applyFill="1" applyBorder="1" applyAlignment="1" applyProtection="1">
      <alignment horizontal="center" vertical="distributed" wrapText="1"/>
      <protection locked="0"/>
    </xf>
    <xf numFmtId="0" fontId="101" fillId="56" borderId="10" xfId="45" applyFont="1" applyFill="1" applyBorder="1" applyAlignment="1" applyProtection="1">
      <alignment horizontal="center" vertical="center" wrapText="1"/>
      <protection locked="0"/>
    </xf>
    <xf numFmtId="3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0" fontId="101" fillId="56" borderId="10" xfId="45" applyFont="1" applyFill="1" applyBorder="1" applyAlignment="1" applyProtection="1">
      <alignment vertical="center" wrapText="1"/>
      <protection locked="0"/>
    </xf>
    <xf numFmtId="3" fontId="101" fillId="56" borderId="10" xfId="45" applyNumberFormat="1" applyFont="1" applyFill="1" applyBorder="1" applyAlignment="1" applyProtection="1">
      <alignment vertical="center" wrapText="1"/>
      <protection locked="0"/>
    </xf>
    <xf numFmtId="4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57" borderId="10" xfId="45" applyNumberFormat="1" applyFont="1" applyFill="1" applyBorder="1" applyAlignment="1" applyProtection="1">
      <alignment horizontal="center" vertical="center" wrapText="1"/>
      <protection locked="0"/>
    </xf>
    <xf numFmtId="186" fontId="101" fillId="56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59" borderId="10" xfId="45" applyNumberFormat="1" applyFont="1" applyFill="1" applyBorder="1" applyAlignment="1" applyProtection="1">
      <alignment horizontal="center" vertical="center" wrapText="1"/>
      <protection locked="0"/>
    </xf>
    <xf numFmtId="170" fontId="101" fillId="58" borderId="10" xfId="45" applyNumberFormat="1" applyFont="1" applyFill="1" applyBorder="1" applyAlignment="1" applyProtection="1">
      <alignment horizontal="center" vertical="center" wrapText="1"/>
      <protection locked="0"/>
    </xf>
    <xf numFmtId="3" fontId="2" fillId="0" borderId="0" xfId="46" applyNumberFormat="1" applyFont="1" applyAlignment="1">
      <alignment vertical="center"/>
    </xf>
    <xf numFmtId="0" fontId="0" fillId="0" borderId="10" xfId="0" applyFont="1" applyBorder="1" applyAlignment="1">
      <alignment horizontal="left" vertical="center"/>
    </xf>
    <xf numFmtId="0" fontId="0" fillId="0" borderId="10" xfId="0" applyFont="1" applyBorder="1" applyAlignment="1">
      <alignment vertical="center"/>
    </xf>
    <xf numFmtId="0" fontId="0" fillId="0" borderId="10" xfId="0" applyFont="1" applyBorder="1" applyAlignment="1">
      <alignment horizontal="center" vertical="center"/>
    </xf>
    <xf numFmtId="3" fontId="0" fillId="0" borderId="10" xfId="0" applyNumberFormat="1" applyFont="1" applyBorder="1" applyAlignment="1">
      <alignment vertical="center"/>
    </xf>
    <xf numFmtId="178" fontId="0" fillId="0" borderId="10" xfId="0" applyNumberFormat="1" applyFont="1" applyBorder="1" applyAlignment="1">
      <alignment vertical="center"/>
    </xf>
    <xf numFmtId="10" fontId="0" fillId="0" borderId="10" xfId="41" applyNumberFormat="1" applyFont="1" applyBorder="1" applyAlignment="1">
      <alignment vertical="center"/>
    </xf>
    <xf numFmtId="0" fontId="98" fillId="0" borderId="10" xfId="0" applyFont="1" applyBorder="1" applyAlignment="1">
      <alignment horizontal="center" vertical="center" wrapText="1"/>
    </xf>
    <xf numFmtId="0" fontId="98" fillId="0" borderId="15" xfId="0" applyFont="1" applyBorder="1" applyAlignment="1">
      <alignment vertical="center"/>
    </xf>
    <xf numFmtId="178" fontId="98" fillId="0" borderId="28" xfId="0" applyNumberFormat="1" applyFont="1" applyBorder="1" applyAlignment="1">
      <alignment vertical="center"/>
    </xf>
    <xf numFmtId="4" fontId="98" fillId="0" borderId="20" xfId="0" applyNumberFormat="1" applyFont="1" applyBorder="1" applyAlignment="1">
      <alignment vertical="center"/>
    </xf>
    <xf numFmtId="4" fontId="98" fillId="0" borderId="15" xfId="0" applyNumberFormat="1" applyFont="1" applyBorder="1" applyAlignment="1">
      <alignment vertical="center"/>
    </xf>
    <xf numFmtId="178" fontId="98" fillId="0" borderId="29" xfId="0" applyNumberFormat="1" applyFont="1" applyBorder="1" applyAlignment="1">
      <alignment vertical="center"/>
    </xf>
    <xf numFmtId="4" fontId="98" fillId="0" borderId="14" xfId="0" applyNumberFormat="1" applyFont="1" applyBorder="1" applyAlignment="1">
      <alignment vertical="center"/>
    </xf>
    <xf numFmtId="0" fontId="98" fillId="0" borderId="0" xfId="0" applyFont="1" applyFill="1" applyAlignment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0" fillId="0" borderId="12" xfId="0" applyBorder="1" applyAlignment="1">
      <alignment vertical="center"/>
    </xf>
    <xf numFmtId="2" fontId="98" fillId="0" borderId="22" xfId="0" applyNumberFormat="1" applyFont="1" applyFill="1" applyBorder="1" applyProtection="1"/>
    <xf numFmtId="0" fontId="11" fillId="0" borderId="10" xfId="0" applyFont="1" applyBorder="1" applyAlignment="1">
      <alignment horizontal="center" vertical="center"/>
    </xf>
    <xf numFmtId="188" fontId="0" fillId="0" borderId="10" xfId="0" applyNumberFormat="1" applyFont="1" applyBorder="1" applyAlignment="1">
      <alignment horizontal="right" vertical="center"/>
    </xf>
    <xf numFmtId="0" fontId="0" fillId="0" borderId="14" xfId="0" applyBorder="1" applyProtection="1">
      <protection locked="0"/>
    </xf>
    <xf numFmtId="0" fontId="0" fillId="0" borderId="0" xfId="0" applyAlignment="1">
      <alignment vertical="center" wrapText="1"/>
    </xf>
    <xf numFmtId="0" fontId="0" fillId="0" borderId="85" xfId="0" applyBorder="1" applyProtection="1"/>
    <xf numFmtId="0" fontId="0" fillId="0" borderId="43" xfId="0" applyBorder="1" applyProtection="1"/>
    <xf numFmtId="166" fontId="0" fillId="0" borderId="50" xfId="0" applyNumberFormat="1" applyBorder="1" applyProtection="1"/>
    <xf numFmtId="0" fontId="0" fillId="0" borderId="58" xfId="0" applyBorder="1" applyProtection="1"/>
    <xf numFmtId="164" fontId="0" fillId="53" borderId="15" xfId="28" applyFont="1" applyFill="1" applyBorder="1" applyProtection="1"/>
    <xf numFmtId="164" fontId="11" fillId="53" borderId="15" xfId="28" applyFont="1" applyFill="1" applyBorder="1" applyProtection="1"/>
    <xf numFmtId="0" fontId="0" fillId="0" borderId="15" xfId="0" applyFont="1" applyBorder="1" applyProtection="1"/>
    <xf numFmtId="0" fontId="0" fillId="0" borderId="0" xfId="0" applyFill="1" applyBorder="1" applyAlignment="1" applyProtection="1">
      <protection locked="0"/>
    </xf>
    <xf numFmtId="164" fontId="11" fillId="53" borderId="15" xfId="28" applyFont="1" applyFill="1" applyBorder="1" applyAlignment="1" applyProtection="1">
      <alignment horizontal="right"/>
    </xf>
    <xf numFmtId="181" fontId="11" fillId="53" borderId="15" xfId="28" applyNumberFormat="1" applyFont="1" applyFill="1" applyBorder="1" applyAlignment="1" applyProtection="1">
      <alignment horizontal="right"/>
    </xf>
    <xf numFmtId="0" fontId="25" fillId="0" borderId="0" xfId="0" applyFont="1" applyAlignment="1" applyProtection="1">
      <alignment vertical="center"/>
    </xf>
    <xf numFmtId="4" fontId="0" fillId="0" borderId="0" xfId="0" applyNumberFormat="1" applyFont="1" applyFill="1" applyAlignment="1" applyProtection="1">
      <alignment horizontal="center" vertical="center"/>
    </xf>
    <xf numFmtId="2" fontId="0" fillId="0" borderId="0" xfId="0" applyNumberFormat="1" applyFont="1" applyFill="1" applyBorder="1" applyAlignment="1" applyProtection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2" fontId="11" fillId="0" borderId="0" xfId="0" applyNumberFormat="1" applyFont="1" applyFill="1" applyBorder="1" applyAlignment="1" applyProtection="1">
      <alignment horizontal="center" vertical="center"/>
    </xf>
    <xf numFmtId="0" fontId="27" fillId="0" borderId="0" xfId="0" applyFont="1" applyAlignment="1" applyProtection="1">
      <alignment horizontal="right"/>
    </xf>
    <xf numFmtId="0" fontId="11" fillId="0" borderId="0" xfId="0" applyFont="1" applyFill="1" applyBorder="1" applyAlignment="1" applyProtection="1">
      <alignment vertical="center"/>
    </xf>
    <xf numFmtId="0" fontId="0" fillId="0" borderId="0" xfId="0" applyFont="1" applyBorder="1" applyProtection="1"/>
    <xf numFmtId="0" fontId="99" fillId="0" borderId="0" xfId="0" applyFont="1" applyFill="1" applyBorder="1" applyAlignment="1" applyProtection="1">
      <alignment horizontal="center" vertical="center" wrapText="1"/>
    </xf>
    <xf numFmtId="9" fontId="61" fillId="0" borderId="35" xfId="0" applyNumberFormat="1" applyFont="1" applyFill="1" applyBorder="1" applyAlignment="1" applyProtection="1">
      <alignment horizontal="center"/>
    </xf>
    <xf numFmtId="164" fontId="11" fillId="0" borderId="35" xfId="0" applyNumberFormat="1" applyFont="1" applyFill="1" applyBorder="1" applyAlignment="1" applyProtection="1">
      <alignment vertical="center"/>
    </xf>
    <xf numFmtId="0" fontId="23" fillId="0" borderId="35" xfId="0" applyFont="1" applyFill="1" applyBorder="1" applyAlignment="1" applyProtection="1">
      <alignment vertical="center"/>
    </xf>
    <xf numFmtId="10" fontId="2" fillId="0" borderId="38" xfId="0" applyNumberFormat="1" applyFont="1" applyFill="1" applyBorder="1" applyAlignment="1" applyProtection="1">
      <alignment horizontal="center" vertical="center"/>
    </xf>
    <xf numFmtId="0" fontId="0" fillId="0" borderId="55" xfId="0" applyFont="1" applyFill="1" applyBorder="1" applyAlignment="1" applyProtection="1">
      <alignment horizontal="center" vertical="center"/>
    </xf>
    <xf numFmtId="0" fontId="0" fillId="0" borderId="36" xfId="0" applyFont="1" applyFill="1" applyBorder="1" applyAlignment="1" applyProtection="1">
      <alignment horizontal="center" vertical="center"/>
    </xf>
    <xf numFmtId="0" fontId="0" fillId="0" borderId="37" xfId="0" applyFont="1" applyFill="1" applyBorder="1" applyAlignment="1" applyProtection="1">
      <alignment horizontal="center" vertical="center"/>
    </xf>
    <xf numFmtId="0" fontId="0" fillId="0" borderId="35" xfId="0" applyFont="1" applyFill="1" applyBorder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 vertical="center"/>
    </xf>
    <xf numFmtId="0" fontId="0" fillId="0" borderId="38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/>
    </xf>
    <xf numFmtId="0" fontId="0" fillId="0" borderId="37" xfId="0" applyFont="1" applyBorder="1" applyAlignment="1" applyProtection="1">
      <alignment horizontal="center" vertical="center"/>
    </xf>
    <xf numFmtId="167" fontId="98" fillId="25" borderId="16" xfId="0" applyNumberFormat="1" applyFont="1" applyFill="1" applyBorder="1" applyAlignment="1" applyProtection="1">
      <alignment horizontal="center" vertical="center"/>
    </xf>
    <xf numFmtId="0" fontId="11" fillId="0" borderId="10" xfId="0" applyFont="1" applyBorder="1" applyAlignment="1">
      <alignment horizontal="center" vertical="center"/>
    </xf>
    <xf numFmtId="3" fontId="0" fillId="0" borderId="0" xfId="0" applyNumberFormat="1" applyFont="1" applyAlignment="1">
      <alignment horizontal="right" vertical="center"/>
    </xf>
    <xf numFmtId="1" fontId="0" fillId="0" borderId="0" xfId="0" applyNumberFormat="1" applyFont="1" applyAlignment="1">
      <alignment vertical="center"/>
    </xf>
    <xf numFmtId="0" fontId="0" fillId="0" borderId="18" xfId="0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3" fontId="0" fillId="0" borderId="18" xfId="0" applyNumberFormat="1" applyBorder="1" applyAlignment="1">
      <alignment horizontal="center" vertical="center"/>
    </xf>
    <xf numFmtId="3" fontId="11" fillId="0" borderId="18" xfId="0" applyNumberFormat="1" applyFont="1" applyBorder="1" applyAlignment="1">
      <alignment horizontal="center" vertical="center"/>
    </xf>
    <xf numFmtId="0" fontId="63" fillId="0" borderId="0" xfId="0" applyFont="1" applyAlignment="1">
      <alignment horizontal="center"/>
    </xf>
    <xf numFmtId="0" fontId="98" fillId="0" borderId="0" xfId="0" applyNumberFormat="1" applyFont="1" applyBorder="1" applyAlignment="1">
      <alignment horizontal="center" vertical="center"/>
    </xf>
    <xf numFmtId="4" fontId="98" fillId="0" borderId="27" xfId="0" applyNumberFormat="1" applyFont="1" applyFill="1" applyBorder="1" applyAlignment="1" applyProtection="1">
      <alignment vertical="center"/>
      <protection locked="0"/>
    </xf>
    <xf numFmtId="4" fontId="98" fillId="0" borderId="34" xfId="0" applyNumberFormat="1" applyFont="1" applyFill="1" applyBorder="1" applyAlignment="1" applyProtection="1">
      <alignment vertical="center"/>
      <protection locked="0"/>
    </xf>
    <xf numFmtId="0" fontId="10" fillId="0" borderId="10" xfId="0" applyFont="1" applyBorder="1" applyAlignment="1">
      <alignment vertical="center"/>
    </xf>
    <xf numFmtId="0" fontId="10" fillId="0" borderId="0" xfId="0" applyFont="1" applyAlignment="1">
      <alignment vertical="center"/>
    </xf>
    <xf numFmtId="4" fontId="0" fillId="0" borderId="10" xfId="0" applyNumberFormat="1" applyFont="1" applyBorder="1" applyAlignment="1">
      <alignment vertical="center"/>
    </xf>
    <xf numFmtId="4" fontId="39" fillId="0" borderId="10" xfId="0" applyNumberFormat="1" applyFont="1" applyBorder="1" applyAlignment="1">
      <alignment vertical="center"/>
    </xf>
    <xf numFmtId="10" fontId="0" fillId="0" borderId="10" xfId="0" applyNumberFormat="1" applyFont="1" applyBorder="1" applyAlignment="1">
      <alignment vertical="center"/>
    </xf>
    <xf numFmtId="0" fontId="0" fillId="0" borderId="18" xfId="0" applyBorder="1" applyAlignment="1">
      <alignment horizontal="center" vertical="center" wrapText="1"/>
    </xf>
    <xf numFmtId="4" fontId="39" fillId="0" borderId="0" xfId="0" applyNumberFormat="1" applyFont="1" applyBorder="1" applyAlignment="1">
      <alignment vertical="center"/>
    </xf>
    <xf numFmtId="3" fontId="62" fillId="0" borderId="10" xfId="0" applyNumberFormat="1" applyFont="1" applyBorder="1" applyAlignment="1">
      <alignment horizontal="right" vertical="center"/>
    </xf>
    <xf numFmtId="4" fontId="62" fillId="0" borderId="10" xfId="0" applyNumberFormat="1" applyFont="1" applyBorder="1" applyAlignment="1">
      <alignment horizontal="right" vertical="center"/>
    </xf>
    <xf numFmtId="0" fontId="9" fillId="0" borderId="0" xfId="0" applyFont="1" applyAlignment="1">
      <alignment horizontal="left" vertic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Font="1" applyAlignment="1">
      <alignment horizontal="center" vertical="center"/>
    </xf>
    <xf numFmtId="0" fontId="11" fillId="0" borderId="20" xfId="0" applyFont="1" applyBorder="1" applyAlignment="1" applyProtection="1">
      <alignment horizontal="center"/>
    </xf>
    <xf numFmtId="0" fontId="11" fillId="0" borderId="14" xfId="0" applyFont="1" applyBorder="1" applyAlignment="1" applyProtection="1">
      <alignment horizontal="center"/>
    </xf>
    <xf numFmtId="4" fontId="0" fillId="0" borderId="27" xfId="0" applyNumberFormat="1" applyBorder="1" applyAlignment="1">
      <alignment vertical="center"/>
    </xf>
    <xf numFmtId="0" fontId="0" fillId="35" borderId="10" xfId="0" applyFill="1" applyBorder="1" applyAlignment="1">
      <alignment horizontal="center" vertical="center" wrapText="1"/>
    </xf>
    <xf numFmtId="165" fontId="0" fillId="0" borderId="61" xfId="0" applyNumberFormat="1" applyBorder="1" applyAlignment="1">
      <alignment vertical="center"/>
    </xf>
    <xf numFmtId="165" fontId="0" fillId="0" borderId="27" xfId="0" applyNumberFormat="1" applyBorder="1" applyAlignment="1">
      <alignment vertical="center"/>
    </xf>
    <xf numFmtId="165" fontId="0" fillId="0" borderId="34" xfId="0" applyNumberFormat="1" applyBorder="1" applyAlignment="1">
      <alignment vertical="center"/>
    </xf>
    <xf numFmtId="4" fontId="0" fillId="0" borderId="15" xfId="0" applyNumberFormat="1" applyBorder="1" applyAlignment="1">
      <alignment vertical="center"/>
    </xf>
    <xf numFmtId="0" fontId="10" fillId="35" borderId="10" xfId="0" applyFont="1" applyFill="1" applyBorder="1" applyAlignment="1">
      <alignment vertical="center"/>
    </xf>
    <xf numFmtId="0" fontId="10" fillId="35" borderId="10" xfId="0" applyFont="1" applyFill="1" applyBorder="1" applyAlignment="1">
      <alignment horizontal="center" vertical="center"/>
    </xf>
    <xf numFmtId="2" fontId="62" fillId="0" borderId="0" xfId="0" applyNumberFormat="1" applyFont="1" applyBorder="1" applyAlignment="1">
      <alignment vertical="center"/>
    </xf>
    <xf numFmtId="0" fontId="0" fillId="0" borderId="18" xfId="0" applyFont="1" applyBorder="1" applyAlignment="1">
      <alignment vertical="center"/>
    </xf>
    <xf numFmtId="0" fontId="0" fillId="0" borderId="0" xfId="0" applyFont="1" applyBorder="1" applyAlignment="1">
      <alignment horizontal="right" vertical="center"/>
    </xf>
    <xf numFmtId="0" fontId="101" fillId="56" borderId="20" xfId="45" applyFont="1" applyFill="1" applyBorder="1" applyAlignment="1" applyProtection="1">
      <alignment horizontal="center" vertical="center" wrapText="1"/>
      <protection locked="0"/>
    </xf>
    <xf numFmtId="0" fontId="115" fillId="28" borderId="10" xfId="0" applyFont="1" applyFill="1" applyBorder="1" applyAlignment="1" applyProtection="1">
      <alignment horizontal="center" vertical="center" wrapText="1"/>
      <protection locked="0"/>
    </xf>
    <xf numFmtId="0" fontId="0" fillId="35" borderId="10" xfId="0" applyFont="1" applyFill="1" applyBorder="1" applyAlignment="1">
      <alignment horizontal="left" vertical="center"/>
    </xf>
    <xf numFmtId="0" fontId="0" fillId="0" borderId="10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0" xfId="0" applyFont="1" applyFill="1" applyBorder="1" applyAlignment="1">
      <alignment horizontal="left" vertical="center"/>
    </xf>
    <xf numFmtId="188" fontId="0" fillId="0" borderId="10" xfId="0" applyNumberFormat="1" applyFont="1" applyFill="1" applyBorder="1" applyAlignment="1">
      <alignment horizontal="right" vertical="center"/>
    </xf>
    <xf numFmtId="4" fontId="0" fillId="0" borderId="10" xfId="0" applyNumberFormat="1" applyFont="1" applyFill="1" applyBorder="1" applyAlignment="1">
      <alignment vertical="center"/>
    </xf>
    <xf numFmtId="3" fontId="0" fillId="0" borderId="10" xfId="0" applyNumberFormat="1" applyFont="1" applyFill="1" applyBorder="1" applyAlignment="1">
      <alignment vertical="center"/>
    </xf>
    <xf numFmtId="10" fontId="0" fillId="0" borderId="10" xfId="0" applyNumberFormat="1" applyFont="1" applyFill="1" applyBorder="1" applyAlignment="1">
      <alignment vertical="center"/>
    </xf>
    <xf numFmtId="0" fontId="0" fillId="0" borderId="18" xfId="0" applyFont="1" applyFill="1" applyBorder="1" applyAlignment="1">
      <alignment vertical="center"/>
    </xf>
    <xf numFmtId="3" fontId="7" fillId="0" borderId="18" xfId="0" applyNumberFormat="1" applyFont="1" applyFill="1" applyBorder="1" applyAlignment="1" applyProtection="1">
      <alignment horizontal="center" vertical="center"/>
      <protection locked="0"/>
    </xf>
    <xf numFmtId="3" fontId="0" fillId="0" borderId="10" xfId="0" applyNumberForma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0" fillId="0" borderId="2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28" xfId="0" applyFont="1" applyBorder="1" applyAlignment="1">
      <alignment vertical="center"/>
    </xf>
    <xf numFmtId="0" fontId="0" fillId="0" borderId="29" xfId="0" applyFont="1" applyBorder="1" applyAlignment="1">
      <alignment vertical="center"/>
    </xf>
    <xf numFmtId="3" fontId="7" fillId="27" borderId="10" xfId="0" applyNumberFormat="1" applyFont="1" applyFill="1" applyBorder="1" applyAlignment="1" applyProtection="1">
      <alignment horizontal="center" vertical="center"/>
      <protection locked="0"/>
    </xf>
    <xf numFmtId="0" fontId="140" fillId="27" borderId="23" xfId="0" applyFont="1" applyFill="1" applyBorder="1" applyAlignment="1" applyProtection="1">
      <alignment horizontal="center" vertical="center"/>
      <protection locked="0"/>
    </xf>
    <xf numFmtId="0" fontId="14" fillId="27" borderId="82" xfId="0" applyFont="1" applyFill="1" applyBorder="1" applyAlignment="1" applyProtection="1">
      <alignment horizontal="left" vertical="center"/>
      <protection locked="0"/>
    </xf>
    <xf numFmtId="0" fontId="140" fillId="27" borderId="13" xfId="0" applyFont="1" applyFill="1" applyBorder="1" applyAlignment="1" applyProtection="1">
      <alignment horizontal="center" vertical="center"/>
      <protection locked="0"/>
    </xf>
    <xf numFmtId="0" fontId="19" fillId="0" borderId="56" xfId="0" applyFont="1" applyBorder="1" applyAlignment="1" applyProtection="1">
      <alignment horizontal="center" vertical="center"/>
      <protection locked="0"/>
    </xf>
    <xf numFmtId="0" fontId="31" fillId="0" borderId="56" xfId="0" applyFont="1" applyBorder="1" applyAlignment="1" applyProtection="1">
      <alignment horizontal="center" vertical="center"/>
      <protection locked="0"/>
    </xf>
    <xf numFmtId="0" fontId="31" fillId="0" borderId="56" xfId="0" applyFont="1" applyBorder="1" applyAlignment="1" applyProtection="1">
      <alignment horizontal="center" vertical="center" wrapText="1"/>
      <protection locked="0"/>
    </xf>
    <xf numFmtId="0" fontId="7" fillId="0" borderId="56" xfId="0" applyFont="1" applyBorder="1" applyAlignment="1" applyProtection="1">
      <alignment horizontal="center" vertical="center"/>
      <protection locked="0"/>
    </xf>
    <xf numFmtId="0" fontId="26" fillId="0" borderId="84" xfId="0" applyFont="1" applyBorder="1" applyAlignment="1" applyProtection="1">
      <alignment horizontal="center" vertical="center"/>
      <protection locked="0"/>
    </xf>
    <xf numFmtId="0" fontId="7" fillId="0" borderId="50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3" fontId="7" fillId="0" borderId="54" xfId="0" applyNumberFormat="1" applyFont="1" applyFill="1" applyBorder="1" applyAlignment="1" applyProtection="1">
      <alignment horizontal="center" vertical="center"/>
      <protection locked="0"/>
    </xf>
    <xf numFmtId="3" fontId="7" fillId="0" borderId="31" xfId="0" applyNumberFormat="1" applyFont="1" applyFill="1" applyBorder="1" applyAlignment="1" applyProtection="1">
      <alignment vertical="center"/>
      <protection locked="0"/>
    </xf>
    <xf numFmtId="3" fontId="7" fillId="0" borderId="63" xfId="0" applyNumberFormat="1" applyFont="1" applyFill="1" applyBorder="1" applyAlignment="1" applyProtection="1">
      <alignment horizontal="center" vertical="center"/>
      <protection locked="0"/>
    </xf>
    <xf numFmtId="0" fontId="0" fillId="35" borderId="14" xfId="0" applyFont="1" applyFill="1" applyBorder="1" applyAlignment="1">
      <alignment horizontal="left" vertical="center"/>
    </xf>
    <xf numFmtId="4" fontId="101" fillId="60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61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62" borderId="10" xfId="45" applyNumberFormat="1" applyFont="1" applyFill="1" applyBorder="1" applyAlignment="1" applyProtection="1">
      <alignment horizontal="center" vertical="center" wrapText="1"/>
      <protection locked="0"/>
    </xf>
    <xf numFmtId="4" fontId="101" fillId="63" borderId="10" xfId="45" applyNumberFormat="1" applyFont="1" applyFill="1" applyBorder="1" applyAlignment="1" applyProtection="1">
      <alignment horizontal="center" vertical="center" wrapText="1"/>
      <protection locked="0"/>
    </xf>
    <xf numFmtId="10" fontId="101" fillId="0" borderId="10" xfId="45" applyNumberFormat="1" applyFont="1" applyFill="1" applyBorder="1" applyAlignment="1" applyProtection="1">
      <alignment horizontal="center" vertical="center" wrapText="1"/>
      <protection locked="0"/>
    </xf>
    <xf numFmtId="190" fontId="141" fillId="64" borderId="10" xfId="45" applyNumberFormat="1" applyFont="1" applyFill="1" applyBorder="1" applyAlignment="1" applyProtection="1">
      <alignment horizontal="center" vertical="center" wrapText="1"/>
      <protection locked="0"/>
    </xf>
    <xf numFmtId="3" fontId="0" fillId="65" borderId="10" xfId="0" applyNumberFormat="1" applyFont="1" applyFill="1" applyBorder="1" applyAlignment="1">
      <alignment vertical="center"/>
    </xf>
    <xf numFmtId="187" fontId="101" fillId="64" borderId="10" xfId="45" applyNumberFormat="1" applyFont="1" applyFill="1" applyBorder="1" applyAlignment="1" applyProtection="1">
      <alignment horizontal="center" vertical="center" wrapText="1"/>
      <protection locked="0"/>
    </xf>
    <xf numFmtId="187" fontId="101" fillId="66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65" borderId="0" xfId="0" applyFont="1" applyFill="1" applyAlignment="1">
      <alignment vertical="center"/>
    </xf>
    <xf numFmtId="187" fontId="101" fillId="67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3" fontId="0" fillId="0" borderId="14" xfId="0" applyNumberFormat="1" applyBorder="1" applyAlignment="1">
      <alignment horizontal="center" vertical="center"/>
    </xf>
    <xf numFmtId="3" fontId="0" fillId="0" borderId="10" xfId="0" applyNumberFormat="1" applyFill="1" applyBorder="1" applyAlignment="1">
      <alignment horizontal="center" vertical="center"/>
    </xf>
    <xf numFmtId="3" fontId="0" fillId="0" borderId="14" xfId="0" applyNumberFormat="1" applyFill="1" applyBorder="1" applyAlignment="1">
      <alignment horizontal="center" vertical="center"/>
    </xf>
    <xf numFmtId="0" fontId="57" fillId="35" borderId="25" xfId="0" applyFont="1" applyFill="1" applyBorder="1" applyAlignment="1">
      <alignment horizontal="center" vertical="center"/>
    </xf>
    <xf numFmtId="0" fontId="31" fillId="35" borderId="19" xfId="0" applyFont="1" applyFill="1" applyBorder="1" applyAlignment="1">
      <alignment horizontal="center" vertical="center"/>
    </xf>
    <xf numFmtId="0" fontId="11" fillId="0" borderId="70" xfId="0" applyFont="1" applyBorder="1" applyAlignment="1">
      <alignment vertical="center"/>
    </xf>
    <xf numFmtId="0" fontId="0" fillId="0" borderId="67" xfId="0" applyFill="1" applyBorder="1"/>
    <xf numFmtId="0" fontId="62" fillId="0" borderId="18" xfId="0" applyFont="1" applyBorder="1" applyAlignment="1">
      <alignment vertical="center"/>
    </xf>
    <xf numFmtId="0" fontId="62" fillId="0" borderId="69" xfId="0" applyFont="1" applyBorder="1" applyAlignment="1">
      <alignment vertical="center"/>
    </xf>
    <xf numFmtId="0" fontId="62" fillId="0" borderId="54" xfId="0" applyFont="1" applyBorder="1" applyAlignment="1">
      <alignment vertical="center"/>
    </xf>
    <xf numFmtId="0" fontId="0" fillId="0" borderId="23" xfId="0" applyFill="1" applyBorder="1" applyProtection="1"/>
    <xf numFmtId="0" fontId="0" fillId="0" borderId="21" xfId="0" applyFill="1" applyBorder="1" applyProtection="1"/>
    <xf numFmtId="3" fontId="129" fillId="68" borderId="15" xfId="0" applyNumberFormat="1" applyFont="1" applyFill="1" applyBorder="1" applyAlignment="1" applyProtection="1">
      <alignment vertical="center"/>
    </xf>
    <xf numFmtId="3" fontId="129" fillId="68" borderId="14" xfId="0" applyNumberFormat="1" applyFont="1" applyFill="1" applyBorder="1" applyAlignment="1" applyProtection="1">
      <alignment vertical="center"/>
    </xf>
    <xf numFmtId="3" fontId="129" fillId="0" borderId="10" xfId="0" applyNumberFormat="1" applyFont="1" applyBorder="1" applyAlignment="1">
      <alignment vertical="center"/>
    </xf>
    <xf numFmtId="190" fontId="101" fillId="60" borderId="10" xfId="45" applyNumberFormat="1" applyFont="1" applyFill="1" applyBorder="1" applyAlignment="1" applyProtection="1">
      <alignment horizontal="center" vertical="center" wrapText="1"/>
      <protection locked="0"/>
    </xf>
    <xf numFmtId="191" fontId="101" fillId="60" borderId="10" xfId="45" applyNumberFormat="1" applyFont="1" applyFill="1" applyBorder="1" applyAlignment="1" applyProtection="1">
      <alignment horizontal="center" vertical="center" wrapText="1"/>
      <protection locked="0"/>
    </xf>
    <xf numFmtId="190" fontId="101" fillId="61" borderId="10" xfId="45" applyNumberFormat="1" applyFont="1" applyFill="1" applyBorder="1" applyAlignment="1" applyProtection="1">
      <alignment horizontal="center" vertical="center" wrapText="1"/>
      <protection locked="0"/>
    </xf>
    <xf numFmtId="3" fontId="101" fillId="61" borderId="10" xfId="45" applyNumberFormat="1" applyFont="1" applyFill="1" applyBorder="1" applyAlignment="1" applyProtection="1">
      <alignment horizontal="center" vertical="center" wrapText="1"/>
      <protection locked="0"/>
    </xf>
    <xf numFmtId="190" fontId="101" fillId="63" borderId="21" xfId="45" applyNumberFormat="1" applyFont="1" applyFill="1" applyBorder="1" applyAlignment="1" applyProtection="1">
      <alignment horizontal="center" vertical="center" wrapText="1"/>
      <protection locked="0"/>
    </xf>
    <xf numFmtId="191" fontId="101" fillId="63" borderId="21" xfId="45" applyNumberFormat="1" applyFont="1" applyFill="1" applyBorder="1" applyAlignment="1" applyProtection="1">
      <alignment horizontal="center" vertical="center" wrapText="1"/>
      <protection locked="0"/>
    </xf>
    <xf numFmtId="190" fontId="101" fillId="62" borderId="10" xfId="45" applyNumberFormat="1" applyFont="1" applyFill="1" applyBorder="1" applyAlignment="1" applyProtection="1">
      <alignment horizontal="center" vertical="center" wrapText="1"/>
      <protection locked="0"/>
    </xf>
    <xf numFmtId="3" fontId="101" fillId="62" borderId="10" xfId="45" applyNumberFormat="1" applyFont="1" applyFill="1" applyBorder="1" applyAlignment="1" applyProtection="1">
      <alignment horizontal="center" vertical="center" wrapText="1"/>
      <protection locked="0"/>
    </xf>
    <xf numFmtId="190" fontId="101" fillId="59" borderId="10" xfId="45" applyNumberFormat="1" applyFont="1" applyFill="1" applyBorder="1" applyAlignment="1" applyProtection="1">
      <alignment horizontal="center" vertical="center" wrapText="1"/>
      <protection locked="0"/>
    </xf>
    <xf numFmtId="3" fontId="101" fillId="59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10" xfId="0" applyFont="1" applyBorder="1" applyAlignment="1">
      <alignment horizontal="center" vertical="center"/>
    </xf>
    <xf numFmtId="178" fontId="0" fillId="0" borderId="1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3" fontId="0" fillId="0" borderId="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1" fillId="0" borderId="10" xfId="0" applyFont="1" applyBorder="1" applyAlignment="1" applyProtection="1">
      <alignment horizontal="center"/>
    </xf>
    <xf numFmtId="0" fontId="0" fillId="0" borderId="10" xfId="0" applyFont="1" applyBorder="1" applyAlignment="1" applyProtection="1">
      <alignment horizontal="center"/>
    </xf>
    <xf numFmtId="0" fontId="0" fillId="0" borderId="10" xfId="0" applyFont="1" applyBorder="1" applyProtection="1"/>
    <xf numFmtId="0" fontId="0" fillId="0" borderId="0" xfId="0" applyFont="1" applyFill="1" applyBorder="1" applyProtection="1"/>
    <xf numFmtId="2" fontId="0" fillId="0" borderId="0" xfId="0" applyNumberFormat="1" applyFont="1" applyProtection="1"/>
    <xf numFmtId="4" fontId="0" fillId="0" borderId="0" xfId="0" applyNumberFormat="1" applyFont="1" applyProtection="1"/>
    <xf numFmtId="168" fontId="0" fillId="45" borderId="0" xfId="0" applyNumberFormat="1" applyFont="1" applyFill="1" applyBorder="1" applyAlignment="1" applyProtection="1">
      <alignment vertical="center"/>
    </xf>
    <xf numFmtId="0" fontId="142" fillId="0" borderId="0" xfId="0" applyFont="1" applyAlignment="1" applyProtection="1">
      <alignment vertical="center"/>
    </xf>
    <xf numFmtId="0" fontId="143" fillId="0" borderId="0" xfId="0" applyFont="1" applyAlignment="1">
      <alignment vertical="center"/>
    </xf>
    <xf numFmtId="0" fontId="122" fillId="0" borderId="0" xfId="0" applyFont="1" applyAlignment="1">
      <alignment vertical="center"/>
    </xf>
    <xf numFmtId="0" fontId="129" fillId="0" borderId="0" xfId="0" quotePrefix="1" applyFont="1" applyBorder="1" applyAlignment="1" applyProtection="1">
      <alignment vertical="center"/>
    </xf>
    <xf numFmtId="0" fontId="143" fillId="0" borderId="0" xfId="0" quotePrefix="1" applyFont="1" applyBorder="1" applyAlignment="1" applyProtection="1">
      <alignment vertical="center"/>
    </xf>
    <xf numFmtId="2" fontId="11" fillId="0" borderId="0" xfId="0" applyNumberFormat="1" applyFont="1" applyAlignment="1">
      <alignment vertical="center"/>
    </xf>
    <xf numFmtId="0" fontId="144" fillId="0" borderId="0" xfId="0" applyFont="1"/>
    <xf numFmtId="0" fontId="25" fillId="48" borderId="10" xfId="0" applyFont="1" applyFill="1" applyBorder="1" applyAlignment="1">
      <alignment horizontal="center" vertical="center"/>
    </xf>
    <xf numFmtId="0" fontId="11" fillId="48" borderId="10" xfId="0" applyFont="1" applyFill="1" applyBorder="1" applyAlignment="1">
      <alignment horizontal="center" vertical="center" wrapText="1"/>
    </xf>
    <xf numFmtId="165" fontId="11" fillId="0" borderId="10" xfId="0" applyNumberFormat="1" applyFont="1" applyBorder="1" applyAlignment="1">
      <alignment vertical="center"/>
    </xf>
    <xf numFmtId="190" fontId="11" fillId="0" borderId="0" xfId="0" applyNumberFormat="1" applyFont="1" applyAlignment="1">
      <alignment horizontal="left" vertical="center"/>
    </xf>
    <xf numFmtId="2" fontId="11" fillId="0" borderId="0" xfId="0" applyNumberFormat="1" applyFont="1" applyAlignment="1">
      <alignment horizontal="left" vertical="center"/>
    </xf>
    <xf numFmtId="175" fontId="145" fillId="0" borderId="27" xfId="0" applyNumberFormat="1" applyFont="1" applyBorder="1" applyAlignment="1" applyProtection="1">
      <alignment horizontal="right" vertical="center"/>
    </xf>
    <xf numFmtId="10" fontId="145" fillId="0" borderId="28" xfId="41" applyNumberFormat="1" applyFont="1" applyBorder="1" applyAlignment="1">
      <alignment vertical="center"/>
    </xf>
    <xf numFmtId="3" fontId="146" fillId="41" borderId="10" xfId="0" applyNumberFormat="1" applyFont="1" applyFill="1" applyBorder="1" applyAlignment="1">
      <alignment vertical="center"/>
    </xf>
    <xf numFmtId="3" fontId="146" fillId="0" borderId="10" xfId="0" applyNumberFormat="1" applyFont="1" applyBorder="1" applyAlignment="1">
      <alignment vertical="center"/>
    </xf>
    <xf numFmtId="180" fontId="0" fillId="0" borderId="0" xfId="0" applyNumberFormat="1" applyFont="1" applyFill="1" applyBorder="1" applyProtection="1"/>
    <xf numFmtId="192" fontId="11" fillId="0" borderId="18" xfId="0" applyNumberFormat="1" applyFont="1" applyFill="1" applyBorder="1" applyAlignment="1" applyProtection="1">
      <alignment horizontal="right"/>
    </xf>
    <xf numFmtId="0" fontId="0" fillId="0" borderId="15" xfId="0" applyFont="1" applyFill="1" applyBorder="1" applyAlignment="1" applyProtection="1">
      <alignment horizontal="left"/>
      <protection locked="0"/>
    </xf>
    <xf numFmtId="0" fontId="0" fillId="38" borderId="15" xfId="0" applyFill="1" applyBorder="1" applyAlignment="1" applyProtection="1">
      <protection locked="0"/>
    </xf>
    <xf numFmtId="0" fontId="147" fillId="0" borderId="15" xfId="0" applyFont="1" applyBorder="1" applyAlignment="1">
      <alignment vertical="center"/>
    </xf>
    <xf numFmtId="2" fontId="11" fillId="54" borderId="15" xfId="0" applyNumberFormat="1" applyFont="1" applyFill="1" applyBorder="1" applyProtection="1"/>
    <xf numFmtId="164" fontId="11" fillId="54" borderId="15" xfId="28" applyFont="1" applyFill="1" applyBorder="1" applyProtection="1"/>
    <xf numFmtId="0" fontId="0" fillId="69" borderId="10" xfId="0" applyFont="1" applyFill="1" applyBorder="1" applyAlignment="1">
      <alignment horizontal="center" vertical="center"/>
    </xf>
    <xf numFmtId="0" fontId="0" fillId="69" borderId="10" xfId="0" applyFill="1" applyBorder="1" applyAlignment="1">
      <alignment horizontal="center" vertical="center"/>
    </xf>
    <xf numFmtId="0" fontId="0" fillId="69" borderId="10" xfId="0" applyFont="1" applyFill="1" applyBorder="1" applyAlignment="1">
      <alignment horizontal="left" vertical="center"/>
    </xf>
    <xf numFmtId="0" fontId="0" fillId="69" borderId="10" xfId="0" applyFont="1" applyFill="1" applyBorder="1" applyAlignment="1">
      <alignment vertical="center"/>
    </xf>
    <xf numFmtId="3" fontId="0" fillId="69" borderId="10" xfId="0" applyNumberFormat="1" applyFont="1" applyFill="1" applyBorder="1" applyAlignment="1">
      <alignment vertical="center"/>
    </xf>
    <xf numFmtId="0" fontId="0" fillId="0" borderId="10" xfId="0" applyBorder="1" applyProtection="1"/>
    <xf numFmtId="2" fontId="0" fillId="0" borderId="10" xfId="0" applyNumberFormat="1" applyBorder="1" applyProtection="1"/>
    <xf numFmtId="0" fontId="0" fillId="0" borderId="65" xfId="0" applyFont="1" applyFill="1" applyBorder="1" applyProtection="1"/>
    <xf numFmtId="2" fontId="0" fillId="0" borderId="56" xfId="0" applyNumberFormat="1" applyFont="1" applyFill="1" applyBorder="1" applyProtection="1"/>
    <xf numFmtId="0" fontId="0" fillId="55" borderId="0" xfId="0" applyFill="1"/>
    <xf numFmtId="3" fontId="148" fillId="0" borderId="13" xfId="0" applyNumberFormat="1" applyFont="1" applyBorder="1" applyAlignment="1">
      <alignment horizontal="center" vertical="center"/>
    </xf>
    <xf numFmtId="3" fontId="148" fillId="0" borderId="0" xfId="0" applyNumberFormat="1" applyFont="1" applyAlignment="1">
      <alignment horizontal="center" vertical="center"/>
    </xf>
    <xf numFmtId="0" fontId="11" fillId="0" borderId="13" xfId="0" applyFont="1" applyBorder="1" applyAlignment="1">
      <alignment horizontal="right" vertical="center"/>
    </xf>
    <xf numFmtId="0" fontId="11" fillId="0" borderId="13" xfId="0" applyFont="1" applyBorder="1" applyAlignment="1">
      <alignment vertical="center"/>
    </xf>
    <xf numFmtId="0" fontId="11" fillId="0" borderId="13" xfId="0" applyFont="1" applyBorder="1" applyAlignment="1">
      <alignment horizontal="lef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Protection="1"/>
    <xf numFmtId="0" fontId="0" fillId="41" borderId="0" xfId="0" applyFont="1" applyFill="1" applyProtection="1"/>
    <xf numFmtId="0" fontId="11" fillId="0" borderId="0" xfId="0" applyFont="1" applyBorder="1" applyAlignment="1" applyProtection="1">
      <protection locked="0"/>
    </xf>
    <xf numFmtId="165" fontId="62" fillId="0" borderId="21" xfId="0" applyNumberFormat="1" applyFont="1" applyFill="1" applyBorder="1" applyProtection="1"/>
    <xf numFmtId="0" fontId="0" fillId="0" borderId="15" xfId="0" applyFont="1" applyBorder="1" applyAlignment="1" applyProtection="1">
      <alignment horizontal="left"/>
      <protection locked="0"/>
    </xf>
    <xf numFmtId="0" fontId="0" fillId="38" borderId="0" xfId="0" applyFill="1" applyProtection="1"/>
    <xf numFmtId="2" fontId="24" fillId="38" borderId="0" xfId="0" applyNumberFormat="1" applyFont="1" applyFill="1" applyAlignment="1" applyProtection="1">
      <alignment horizontal="right" vertical="center"/>
    </xf>
    <xf numFmtId="2" fontId="0" fillId="38" borderId="0" xfId="0" applyNumberFormat="1" applyFill="1" applyAlignment="1" applyProtection="1">
      <alignment horizontal="center"/>
    </xf>
    <xf numFmtId="2" fontId="0" fillId="38" borderId="0" xfId="0" applyNumberFormat="1" applyFill="1" applyProtection="1"/>
    <xf numFmtId="0" fontId="0" fillId="38" borderId="0" xfId="0" applyFont="1" applyFill="1" applyProtection="1"/>
    <xf numFmtId="3" fontId="155" fillId="38" borderId="0" xfId="0" applyNumberFormat="1" applyFont="1" applyFill="1" applyAlignment="1" applyProtection="1">
      <alignment horizontal="center" vertical="center"/>
    </xf>
    <xf numFmtId="3" fontId="155" fillId="0" borderId="0" xfId="0" applyNumberFormat="1" applyFont="1" applyBorder="1" applyAlignment="1" applyProtection="1">
      <alignment horizontal="center" vertical="center"/>
    </xf>
    <xf numFmtId="3" fontId="155" fillId="0" borderId="0" xfId="0" applyNumberFormat="1" applyFont="1" applyAlignment="1" applyProtection="1">
      <alignment horizontal="center" vertical="center"/>
    </xf>
    <xf numFmtId="165" fontId="102" fillId="25" borderId="10" xfId="45" applyNumberFormat="1" applyFont="1" applyFill="1" applyBorder="1" applyAlignment="1">
      <alignment horizontal="right" vertical="center" wrapText="1"/>
    </xf>
    <xf numFmtId="165" fontId="102" fillId="0" borderId="10" xfId="45" applyNumberFormat="1" applyFont="1" applyFill="1" applyBorder="1" applyAlignment="1">
      <alignment horizontal="right" vertical="center" wrapText="1"/>
    </xf>
    <xf numFmtId="165" fontId="106" fillId="25" borderId="10" xfId="45" applyNumberFormat="1" applyFont="1" applyFill="1" applyBorder="1" applyAlignment="1">
      <alignment horizontal="right" vertical="center" wrapText="1"/>
    </xf>
    <xf numFmtId="1" fontId="104" fillId="25" borderId="74" xfId="45" applyNumberFormat="1" applyFont="1" applyFill="1" applyBorder="1" applyAlignment="1">
      <alignment horizontal="center" vertical="center"/>
    </xf>
    <xf numFmtId="0" fontId="156" fillId="0" borderId="0" xfId="45" applyFont="1" applyAlignment="1">
      <alignment horizontal="left"/>
    </xf>
    <xf numFmtId="0" fontId="102" fillId="25" borderId="10" xfId="45" applyNumberFormat="1" applyFont="1" applyFill="1" applyBorder="1" applyAlignment="1">
      <alignment horizontal="center" vertical="center" wrapText="1"/>
    </xf>
    <xf numFmtId="178" fontId="100" fillId="0" borderId="10" xfId="0" applyNumberFormat="1" applyFont="1" applyBorder="1" applyAlignment="1">
      <alignment horizontal="center" vertical="center" wrapText="1"/>
    </xf>
    <xf numFmtId="1" fontId="104" fillId="0" borderId="74" xfId="45" applyNumberFormat="1" applyFont="1" applyFill="1" applyBorder="1" applyAlignment="1">
      <alignment horizontal="center" vertical="center"/>
    </xf>
    <xf numFmtId="0" fontId="156" fillId="0" borderId="0" xfId="45" applyFont="1" applyAlignment="1" applyProtection="1">
      <alignment horizontal="left"/>
    </xf>
    <xf numFmtId="0" fontId="156" fillId="0" borderId="0" xfId="45" applyFont="1" applyAlignment="1" applyProtection="1">
      <alignment horizontal="right"/>
    </xf>
    <xf numFmtId="0" fontId="122" fillId="0" borderId="0" xfId="0" applyFont="1" applyFill="1" applyBorder="1" applyAlignment="1" applyProtection="1">
      <alignment vertical="center"/>
    </xf>
    <xf numFmtId="4" fontId="100" fillId="0" borderId="18" xfId="0" applyNumberFormat="1" applyFont="1" applyBorder="1" applyAlignment="1">
      <alignment horizontal="right" vertical="center" wrapText="1"/>
    </xf>
    <xf numFmtId="4" fontId="100" fillId="0" borderId="10" xfId="0" applyNumberFormat="1" applyFont="1" applyBorder="1" applyAlignment="1">
      <alignment horizontal="right" vertical="center" wrapText="1"/>
    </xf>
    <xf numFmtId="0" fontId="157" fillId="39" borderId="10" xfId="45" applyNumberFormat="1" applyFont="1" applyFill="1" applyBorder="1" applyAlignment="1">
      <alignment horizontal="left" vertical="center" wrapText="1"/>
    </xf>
    <xf numFmtId="3" fontId="100" fillId="39" borderId="20" xfId="46" applyNumberFormat="1" applyFont="1" applyFill="1" applyBorder="1" applyAlignment="1" applyProtection="1">
      <alignment horizontal="center" vertical="center" wrapText="1"/>
      <protection locked="0"/>
    </xf>
    <xf numFmtId="0" fontId="100" fillId="39" borderId="10" xfId="45" applyFont="1" applyFill="1" applyBorder="1" applyAlignment="1">
      <alignment vertical="center" wrapText="1"/>
    </xf>
    <xf numFmtId="0" fontId="100" fillId="39" borderId="10" xfId="45" applyFont="1" applyFill="1" applyBorder="1" applyAlignment="1">
      <alignment horizontal="right" vertical="center" wrapText="1"/>
    </xf>
    <xf numFmtId="4" fontId="100" fillId="39" borderId="10" xfId="45" applyNumberFormat="1" applyFont="1" applyFill="1" applyBorder="1" applyAlignment="1">
      <alignment vertical="center" wrapText="1"/>
    </xf>
    <xf numFmtId="4" fontId="158" fillId="39" borderId="10" xfId="45" applyNumberFormat="1" applyFont="1" applyFill="1" applyBorder="1" applyAlignment="1">
      <alignment vertical="center" wrapText="1"/>
    </xf>
    <xf numFmtId="0" fontId="159" fillId="25" borderId="10" xfId="45" applyNumberFormat="1" applyFont="1" applyFill="1" applyBorder="1" applyAlignment="1">
      <alignment horizontal="left" vertical="center" wrapText="1"/>
    </xf>
    <xf numFmtId="3" fontId="100" fillId="28" borderId="20" xfId="46" applyNumberFormat="1" applyFont="1" applyFill="1" applyBorder="1" applyAlignment="1" applyProtection="1">
      <alignment horizontal="center" vertical="center" wrapText="1"/>
      <protection locked="0"/>
    </xf>
    <xf numFmtId="4" fontId="100" fillId="0" borderId="20" xfId="46" applyNumberFormat="1" applyFont="1" applyBorder="1" applyAlignment="1">
      <alignment horizontal="center" vertical="center" wrapText="1"/>
    </xf>
    <xf numFmtId="4" fontId="100" fillId="0" borderId="10" xfId="46" applyNumberFormat="1" applyFont="1" applyBorder="1" applyAlignment="1">
      <alignment vertical="center" wrapText="1"/>
    </xf>
    <xf numFmtId="9" fontId="100" fillId="0" borderId="10" xfId="88" applyFont="1" applyBorder="1" applyAlignment="1">
      <alignment horizontal="center" vertical="center" wrapText="1"/>
    </xf>
    <xf numFmtId="4" fontId="100" fillId="0" borderId="10" xfId="46" applyNumberFormat="1" applyFont="1" applyBorder="1" applyAlignment="1">
      <alignment horizontal="right" vertical="center" wrapText="1"/>
    </xf>
    <xf numFmtId="4" fontId="100" fillId="0" borderId="18" xfId="46" applyNumberFormat="1" applyFont="1" applyBorder="1" applyAlignment="1">
      <alignment vertical="center" wrapText="1"/>
    </xf>
    <xf numFmtId="0" fontId="100" fillId="0" borderId="10" xfId="46" applyNumberFormat="1" applyFont="1" applyBorder="1" applyAlignment="1">
      <alignment horizontal="center" vertical="center" wrapText="1"/>
    </xf>
    <xf numFmtId="0" fontId="160" fillId="39" borderId="10" xfId="45" applyNumberFormat="1" applyFont="1" applyFill="1" applyBorder="1" applyAlignment="1">
      <alignment horizontal="left" vertical="center" wrapText="1"/>
    </xf>
    <xf numFmtId="168" fontId="100" fillId="28" borderId="20" xfId="46" applyNumberFormat="1" applyFont="1" applyFill="1" applyBorder="1" applyAlignment="1" applyProtection="1">
      <alignment horizontal="center" vertical="center" wrapText="1"/>
      <protection locked="0"/>
    </xf>
    <xf numFmtId="0" fontId="101" fillId="0" borderId="10" xfId="46" applyFont="1" applyBorder="1" applyAlignment="1">
      <alignment horizontal="center" vertical="center" wrapText="1"/>
    </xf>
    <xf numFmtId="165" fontId="106" fillId="0" borderId="10" xfId="45" applyNumberFormat="1" applyFont="1" applyFill="1" applyBorder="1" applyAlignment="1">
      <alignment horizontal="right" vertical="center" wrapText="1"/>
    </xf>
    <xf numFmtId="0" fontId="131" fillId="40" borderId="10" xfId="45" applyNumberFormat="1" applyFont="1" applyFill="1" applyBorder="1" applyAlignment="1">
      <alignment horizontal="left" vertical="center" wrapText="1"/>
    </xf>
    <xf numFmtId="3" fontId="100" fillId="40" borderId="20" xfId="46" applyNumberFormat="1" applyFont="1" applyFill="1" applyBorder="1" applyAlignment="1" applyProtection="1">
      <alignment horizontal="center" vertical="center" wrapText="1"/>
      <protection locked="0"/>
    </xf>
    <xf numFmtId="0" fontId="100" fillId="40" borderId="10" xfId="45" applyFont="1" applyFill="1" applyBorder="1" applyAlignment="1">
      <alignment vertical="center" wrapText="1"/>
    </xf>
    <xf numFmtId="0" fontId="100" fillId="40" borderId="10" xfId="45" applyFont="1" applyFill="1" applyBorder="1" applyAlignment="1">
      <alignment horizontal="right" vertical="center" wrapText="1"/>
    </xf>
    <xf numFmtId="4" fontId="100" fillId="40" borderId="10" xfId="45" applyNumberFormat="1" applyFont="1" applyFill="1" applyBorder="1" applyAlignment="1">
      <alignment vertical="center" wrapText="1"/>
    </xf>
    <xf numFmtId="0" fontId="159" fillId="0" borderId="10" xfId="45" applyNumberFormat="1" applyFont="1" applyFill="1" applyBorder="1" applyAlignment="1">
      <alignment horizontal="left" vertical="center" wrapText="1"/>
    </xf>
    <xf numFmtId="0" fontId="102" fillId="0" borderId="10" xfId="45" applyNumberFormat="1" applyFont="1" applyFill="1" applyBorder="1" applyAlignment="1">
      <alignment horizontal="center" vertical="center" wrapText="1"/>
    </xf>
    <xf numFmtId="0" fontId="102" fillId="25" borderId="18" xfId="45" applyNumberFormat="1" applyFont="1" applyFill="1" applyBorder="1" applyAlignment="1">
      <alignment horizontal="center" vertical="center" wrapText="1"/>
    </xf>
    <xf numFmtId="165" fontId="106" fillId="0" borderId="10" xfId="45" applyNumberFormat="1" applyFont="1" applyFill="1" applyBorder="1" applyAlignment="1" applyProtection="1">
      <alignment horizontal="right" vertical="center" wrapText="1"/>
    </xf>
    <xf numFmtId="4" fontId="161" fillId="40" borderId="10" xfId="45" applyNumberFormat="1" applyFont="1" applyFill="1" applyBorder="1" applyAlignment="1">
      <alignment vertical="center" wrapText="1"/>
    </xf>
    <xf numFmtId="0" fontId="100" fillId="0" borderId="10" xfId="46" applyFont="1" applyFill="1" applyBorder="1" applyAlignment="1">
      <alignment horizontal="center" vertical="center" wrapText="1"/>
    </xf>
    <xf numFmtId="0" fontId="129" fillId="0" borderId="76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79" xfId="0" applyBorder="1" applyAlignment="1">
      <alignment vertical="center"/>
    </xf>
    <xf numFmtId="0" fontId="0" fillId="70" borderId="43" xfId="0" applyFill="1" applyBorder="1" applyAlignment="1">
      <alignment vertical="center"/>
    </xf>
    <xf numFmtId="0" fontId="0" fillId="71" borderId="10" xfId="0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70" borderId="10" xfId="0" applyFill="1" applyBorder="1" applyAlignment="1">
      <alignment vertical="center"/>
    </xf>
    <xf numFmtId="0" fontId="0" fillId="71" borderId="45" xfId="0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38" borderId="0" xfId="0" applyFill="1" applyBorder="1" applyAlignment="1">
      <alignment horizontal="center" vertical="center"/>
    </xf>
    <xf numFmtId="0" fontId="0" fillId="0" borderId="45" xfId="0" applyBorder="1" applyAlignment="1">
      <alignment vertical="center"/>
    </xf>
    <xf numFmtId="165" fontId="0" fillId="0" borderId="10" xfId="0" applyNumberFormat="1" applyBorder="1" applyAlignment="1">
      <alignment vertical="center"/>
    </xf>
    <xf numFmtId="165" fontId="0" fillId="38" borderId="10" xfId="0" applyNumberFormat="1" applyFill="1" applyBorder="1" applyAlignment="1">
      <alignment horizontal="center" vertical="center"/>
    </xf>
    <xf numFmtId="165" fontId="0" fillId="0" borderId="45" xfId="0" applyNumberFormat="1" applyBorder="1" applyAlignment="1">
      <alignment vertical="center"/>
    </xf>
    <xf numFmtId="0" fontId="0" fillId="0" borderId="50" xfId="0" applyBorder="1" applyAlignment="1">
      <alignment vertical="center"/>
    </xf>
    <xf numFmtId="165" fontId="0" fillId="0" borderId="31" xfId="0" applyNumberFormat="1" applyBorder="1" applyAlignment="1">
      <alignment vertical="center"/>
    </xf>
    <xf numFmtId="165" fontId="0" fillId="38" borderId="31" xfId="0" applyNumberFormat="1" applyFill="1" applyBorder="1" applyAlignment="1">
      <alignment horizontal="center" vertical="center"/>
    </xf>
    <xf numFmtId="165" fontId="0" fillId="0" borderId="63" xfId="0" applyNumberFormat="1" applyBorder="1" applyAlignment="1">
      <alignment vertical="center"/>
    </xf>
    <xf numFmtId="0" fontId="0" fillId="55" borderId="0" xfId="0" applyFill="1" applyAlignment="1">
      <alignment vertical="center"/>
    </xf>
    <xf numFmtId="0" fontId="11" fillId="70" borderId="0" xfId="0" applyFont="1" applyFill="1" applyAlignment="1">
      <alignment horizontal="center" vertical="center" wrapText="1"/>
    </xf>
    <xf numFmtId="1" fontId="0" fillId="0" borderId="0" xfId="0" applyNumberFormat="1" applyAlignment="1">
      <alignment vertical="center"/>
    </xf>
    <xf numFmtId="0" fontId="129" fillId="0" borderId="0" xfId="0" applyFont="1" applyAlignment="1">
      <alignment vertical="center"/>
    </xf>
    <xf numFmtId="1" fontId="0" fillId="0" borderId="27" xfId="0" applyNumberFormat="1" applyBorder="1" applyAlignment="1">
      <alignment vertical="center"/>
    </xf>
    <xf numFmtId="1" fontId="0" fillId="0" borderId="0" xfId="0" applyNumberFormat="1" applyBorder="1" applyAlignment="1">
      <alignment vertical="center"/>
    </xf>
    <xf numFmtId="3" fontId="0" fillId="0" borderId="0" xfId="0" applyNumberFormat="1" applyBorder="1" applyAlignment="1">
      <alignment vertical="center"/>
    </xf>
    <xf numFmtId="0" fontId="129" fillId="0" borderId="0" xfId="0" applyFont="1" applyBorder="1" applyAlignment="1">
      <alignment vertical="center"/>
    </xf>
    <xf numFmtId="165" fontId="0" fillId="0" borderId="0" xfId="0" applyNumberForma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" fontId="0" fillId="0" borderId="13" xfId="0" applyNumberFormat="1" applyBorder="1" applyAlignment="1">
      <alignment vertical="center"/>
    </xf>
    <xf numFmtId="0" fontId="0" fillId="0" borderId="23" xfId="0" applyBorder="1" applyAlignment="1">
      <alignment vertical="center" wrapText="1"/>
    </xf>
    <xf numFmtId="0" fontId="11" fillId="70" borderId="23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1" xfId="0" applyBorder="1" applyAlignment="1">
      <alignment vertical="center" wrapText="1"/>
    </xf>
    <xf numFmtId="0" fontId="118" fillId="41" borderId="0" xfId="0" applyFont="1" applyFill="1" applyAlignment="1">
      <alignment horizontal="center" vertical="center"/>
    </xf>
    <xf numFmtId="178" fontId="107" fillId="0" borderId="13" xfId="0" applyNumberFormat="1" applyFont="1" applyBorder="1" applyAlignment="1">
      <alignment vertical="center"/>
    </xf>
    <xf numFmtId="178" fontId="101" fillId="0" borderId="20" xfId="0" applyNumberFormat="1" applyFont="1" applyBorder="1" applyAlignment="1">
      <alignment horizontal="center" vertical="center" wrapText="1"/>
    </xf>
    <xf numFmtId="178" fontId="100" fillId="35" borderId="10" xfId="45" applyNumberFormat="1" applyFont="1" applyFill="1" applyBorder="1" applyAlignment="1">
      <alignment horizontal="left"/>
    </xf>
    <xf numFmtId="178" fontId="101" fillId="37" borderId="10" xfId="45" applyNumberFormat="1" applyFont="1" applyFill="1" applyBorder="1" applyAlignment="1">
      <alignment horizontal="center" vertical="center" wrapText="1"/>
    </xf>
    <xf numFmtId="178" fontId="100" fillId="35" borderId="10" xfId="45" applyNumberFormat="1" applyFont="1" applyFill="1" applyBorder="1" applyAlignment="1">
      <alignment horizontal="center" vertical="center" wrapText="1"/>
    </xf>
    <xf numFmtId="178" fontId="100" fillId="38" borderId="10" xfId="45" applyNumberFormat="1" applyFont="1" applyFill="1" applyBorder="1" applyAlignment="1">
      <alignment horizontal="center" vertical="center" wrapText="1"/>
    </xf>
    <xf numFmtId="178" fontId="100" fillId="40" borderId="10" xfId="45" applyNumberFormat="1" applyFont="1" applyFill="1" applyBorder="1" applyAlignment="1">
      <alignment horizontal="center" vertical="center" wrapText="1"/>
    </xf>
    <xf numFmtId="178" fontId="100" fillId="0" borderId="0" xfId="45" applyNumberFormat="1" applyFont="1" applyAlignment="1">
      <alignment horizontal="center"/>
    </xf>
    <xf numFmtId="178" fontId="100" fillId="0" borderId="0" xfId="45" applyNumberFormat="1" applyFont="1" applyAlignment="1">
      <alignment horizontal="left"/>
    </xf>
    <xf numFmtId="4" fontId="101" fillId="37" borderId="10" xfId="45" applyNumberFormat="1" applyFont="1" applyFill="1" applyBorder="1" applyAlignment="1">
      <alignment horizontal="right" vertical="center" wrapText="1"/>
    </xf>
    <xf numFmtId="4" fontId="101" fillId="37" borderId="10" xfId="45" applyNumberFormat="1" applyFont="1" applyFill="1" applyBorder="1" applyAlignment="1">
      <alignment vertical="center" wrapText="1"/>
    </xf>
    <xf numFmtId="0" fontId="101" fillId="37" borderId="10" xfId="45" applyFont="1" applyFill="1" applyBorder="1" applyAlignment="1">
      <alignment vertical="center" wrapText="1"/>
    </xf>
    <xf numFmtId="4" fontId="101" fillId="38" borderId="10" xfId="45" applyNumberFormat="1" applyFont="1" applyFill="1" applyBorder="1" applyAlignment="1">
      <alignment vertical="center" wrapText="1"/>
    </xf>
    <xf numFmtId="0" fontId="101" fillId="38" borderId="10" xfId="45" applyFont="1" applyFill="1" applyBorder="1" applyAlignment="1">
      <alignment vertical="center" wrapText="1"/>
    </xf>
    <xf numFmtId="4" fontId="102" fillId="37" borderId="10" xfId="45" applyNumberFormat="1" applyFont="1" applyFill="1" applyBorder="1" applyAlignment="1">
      <alignment vertical="center" wrapText="1"/>
    </xf>
    <xf numFmtId="4" fontId="100" fillId="35" borderId="10" xfId="45" applyNumberFormat="1" applyFont="1" applyFill="1" applyBorder="1" applyAlignment="1">
      <alignment horizontal="right"/>
    </xf>
    <xf numFmtId="4" fontId="100" fillId="36" borderId="10" xfId="45" applyNumberFormat="1" applyFont="1" applyFill="1" applyBorder="1" applyAlignment="1">
      <alignment horizontal="right" vertical="center" wrapText="1"/>
    </xf>
    <xf numFmtId="0" fontId="100" fillId="36" borderId="10" xfId="45" applyFont="1" applyFill="1" applyBorder="1" applyAlignment="1">
      <alignment horizontal="right" vertical="center" wrapText="1"/>
    </xf>
    <xf numFmtId="4" fontId="100" fillId="52" borderId="10" xfId="45" applyNumberFormat="1" applyFont="1" applyFill="1" applyBorder="1" applyAlignment="1">
      <alignment horizontal="right" vertical="center" wrapText="1"/>
    </xf>
    <xf numFmtId="0" fontId="100" fillId="52" borderId="10" xfId="45" applyFont="1" applyFill="1" applyBorder="1" applyAlignment="1">
      <alignment horizontal="right" vertical="center" wrapText="1"/>
    </xf>
    <xf numFmtId="4" fontId="100" fillId="35" borderId="10" xfId="45" applyNumberFormat="1" applyFont="1" applyFill="1" applyBorder="1" applyAlignment="1">
      <alignment horizontal="right" vertical="center" wrapText="1"/>
    </xf>
    <xf numFmtId="0" fontId="100" fillId="35" borderId="10" xfId="45" applyFont="1" applyFill="1" applyBorder="1" applyAlignment="1">
      <alignment horizontal="right" vertical="center" wrapText="1"/>
    </xf>
    <xf numFmtId="4" fontId="100" fillId="38" borderId="10" xfId="45" applyNumberFormat="1" applyFont="1" applyFill="1" applyBorder="1" applyAlignment="1">
      <alignment horizontal="right" vertical="center" wrapText="1"/>
    </xf>
    <xf numFmtId="0" fontId="100" fillId="38" borderId="10" xfId="45" applyFont="1" applyFill="1" applyBorder="1" applyAlignment="1">
      <alignment horizontal="right" vertical="center" wrapText="1"/>
    </xf>
    <xf numFmtId="4" fontId="100" fillId="39" borderId="10" xfId="45" applyNumberFormat="1" applyFont="1" applyFill="1" applyBorder="1" applyAlignment="1">
      <alignment horizontal="right" vertical="center" wrapText="1"/>
    </xf>
    <xf numFmtId="4" fontId="0" fillId="0" borderId="18" xfId="0" applyNumberFormat="1" applyBorder="1" applyAlignment="1">
      <alignment horizontal="right" vertical="center"/>
    </xf>
    <xf numFmtId="4" fontId="0" fillId="0" borderId="10" xfId="0" applyNumberFormat="1" applyBorder="1" applyAlignment="1">
      <alignment horizontal="right" vertical="center"/>
    </xf>
    <xf numFmtId="0" fontId="100" fillId="38" borderId="0" xfId="0" applyFont="1" applyFill="1" applyBorder="1" applyAlignment="1">
      <alignment vertical="center"/>
    </xf>
    <xf numFmtId="0" fontId="0" fillId="72" borderId="52" xfId="0" applyFill="1" applyBorder="1" applyAlignment="1">
      <alignment vertical="center"/>
    </xf>
    <xf numFmtId="0" fontId="0" fillId="72" borderId="52" xfId="0" applyFill="1" applyBorder="1" applyAlignment="1">
      <alignment horizontal="left" vertical="center"/>
    </xf>
    <xf numFmtId="0" fontId="0" fillId="72" borderId="52" xfId="0" applyFill="1" applyBorder="1" applyAlignment="1">
      <alignment horizontal="center" vertical="center"/>
    </xf>
    <xf numFmtId="0" fontId="0" fillId="72" borderId="53" xfId="0" applyFill="1" applyBorder="1" applyAlignment="1">
      <alignment vertical="center"/>
    </xf>
    <xf numFmtId="0" fontId="0" fillId="72" borderId="23" xfId="0" applyFill="1" applyBorder="1" applyAlignment="1">
      <alignment vertical="center"/>
    </xf>
    <xf numFmtId="0" fontId="0" fillId="72" borderId="23" xfId="0" applyFill="1" applyBorder="1" applyAlignment="1">
      <alignment horizontal="left" vertical="center"/>
    </xf>
    <xf numFmtId="0" fontId="0" fillId="72" borderId="23" xfId="0" applyFill="1" applyBorder="1" applyAlignment="1">
      <alignment horizontal="center" vertical="center"/>
    </xf>
    <xf numFmtId="0" fontId="0" fillId="72" borderId="47" xfId="0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11" fillId="35" borderId="31" xfId="0" applyFont="1" applyFill="1" applyBorder="1" applyAlignment="1">
      <alignment horizontal="center" vertical="center"/>
    </xf>
    <xf numFmtId="0" fontId="162" fillId="0" borderId="0" xfId="0" applyFont="1" applyFill="1" applyAlignment="1">
      <alignment horizontal="center" vertical="center"/>
    </xf>
    <xf numFmtId="0" fontId="0" fillId="0" borderId="23" xfId="0" applyFill="1" applyBorder="1" applyAlignment="1">
      <alignment vertical="center"/>
    </xf>
    <xf numFmtId="0" fontId="0" fillId="0" borderId="19" xfId="0" applyFill="1" applyBorder="1" applyAlignment="1">
      <alignment vertical="center"/>
    </xf>
    <xf numFmtId="0" fontId="0" fillId="0" borderId="52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0" fontId="0" fillId="0" borderId="67" xfId="0" applyFill="1" applyBorder="1" applyAlignment="1">
      <alignment vertical="center"/>
    </xf>
    <xf numFmtId="0" fontId="57" fillId="0" borderId="25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left" vertical="center"/>
    </xf>
    <xf numFmtId="0" fontId="0" fillId="0" borderId="23" xfId="0" applyFill="1" applyBorder="1"/>
    <xf numFmtId="0" fontId="0" fillId="0" borderId="18" xfId="0" applyFill="1" applyBorder="1"/>
    <xf numFmtId="1" fontId="0" fillId="0" borderId="18" xfId="0" applyNumberFormat="1" applyFill="1" applyBorder="1" applyAlignment="1">
      <alignment horizontal="left" vertical="center"/>
    </xf>
    <xf numFmtId="1" fontId="0" fillId="0" borderId="18" xfId="0" applyNumberFormat="1" applyFill="1" applyBorder="1" applyAlignment="1">
      <alignment vertical="center"/>
    </xf>
    <xf numFmtId="0" fontId="0" fillId="0" borderId="18" xfId="0" applyFill="1" applyBorder="1" applyAlignment="1">
      <alignment vertical="center"/>
    </xf>
    <xf numFmtId="0" fontId="0" fillId="0" borderId="47" xfId="0" applyFill="1" applyBorder="1" applyAlignment="1">
      <alignment vertical="center"/>
    </xf>
    <xf numFmtId="0" fontId="0" fillId="0" borderId="10" xfId="0" applyBorder="1" applyAlignment="1" applyProtection="1">
      <alignment horizontal="center"/>
      <protection locked="0"/>
    </xf>
    <xf numFmtId="0" fontId="0" fillId="34" borderId="10" xfId="0" applyFill="1" applyBorder="1" applyProtection="1">
      <protection locked="0"/>
    </xf>
    <xf numFmtId="0" fontId="0" fillId="0" borderId="12" xfId="0" applyFill="1" applyBorder="1" applyAlignment="1">
      <alignment vertical="center"/>
    </xf>
    <xf numFmtId="0" fontId="0" fillId="0" borderId="41" xfId="0" applyFill="1" applyBorder="1" applyAlignment="1">
      <alignment vertical="center"/>
    </xf>
    <xf numFmtId="0" fontId="0" fillId="0" borderId="21" xfId="0" applyFill="1" applyBorder="1" applyAlignment="1">
      <alignment vertical="center"/>
    </xf>
    <xf numFmtId="0" fontId="0" fillId="0" borderId="69" xfId="0" applyFill="1" applyBorder="1" applyAlignment="1">
      <alignment vertic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7" fillId="0" borderId="14" xfId="0" applyFont="1" applyFill="1" applyBorder="1" applyAlignment="1">
      <alignment horizontal="center" vertical="center"/>
    </xf>
    <xf numFmtId="2" fontId="164" fillId="48" borderId="14" xfId="0" applyNumberFormat="1" applyFont="1" applyFill="1" applyBorder="1" applyAlignment="1">
      <alignment vertical="center"/>
    </xf>
    <xf numFmtId="2" fontId="127" fillId="0" borderId="14" xfId="0" applyNumberFormat="1" applyFont="1" applyFill="1" applyBorder="1" applyAlignment="1">
      <alignment vertical="center"/>
    </xf>
    <xf numFmtId="2" fontId="127" fillId="38" borderId="14" xfId="0" applyNumberFormat="1" applyFont="1" applyFill="1" applyBorder="1" applyAlignment="1">
      <alignment vertical="center"/>
    </xf>
    <xf numFmtId="0" fontId="127" fillId="0" borderId="10" xfId="0" applyFont="1" applyFill="1" applyBorder="1" applyAlignment="1">
      <alignment horizontal="center" vertical="center"/>
    </xf>
    <xf numFmtId="2" fontId="164" fillId="48" borderId="10" xfId="0" applyNumberFormat="1" applyFont="1" applyFill="1" applyBorder="1" applyAlignment="1">
      <alignment vertical="center"/>
    </xf>
    <xf numFmtId="2" fontId="127" fillId="0" borderId="10" xfId="0" applyNumberFormat="1" applyFont="1" applyFill="1" applyBorder="1" applyAlignment="1">
      <alignment vertical="center"/>
    </xf>
    <xf numFmtId="0" fontId="127" fillId="38" borderId="10" xfId="0" applyFont="1" applyFill="1" applyBorder="1" applyAlignment="1">
      <alignment vertical="center"/>
    </xf>
    <xf numFmtId="2" fontId="127" fillId="38" borderId="10" xfId="0" applyNumberFormat="1" applyFont="1" applyFill="1" applyBorder="1" applyAlignment="1">
      <alignment vertical="center"/>
    </xf>
    <xf numFmtId="2" fontId="127" fillId="0" borderId="20" xfId="0" applyNumberFormat="1" applyFont="1" applyFill="1" applyBorder="1" applyAlignment="1">
      <alignment vertical="center"/>
    </xf>
    <xf numFmtId="165" fontId="11" fillId="41" borderId="10" xfId="0" applyNumberFormat="1" applyFont="1" applyFill="1" applyBorder="1" applyAlignment="1">
      <alignment vertical="center"/>
    </xf>
    <xf numFmtId="165" fontId="11" fillId="73" borderId="10" xfId="0" applyNumberFormat="1" applyFont="1" applyFill="1" applyBorder="1" applyAlignment="1">
      <alignment vertical="center"/>
    </xf>
    <xf numFmtId="4" fontId="11" fillId="0" borderId="10" xfId="0" applyNumberFormat="1" applyFont="1" applyBorder="1" applyAlignment="1">
      <alignment vertical="center"/>
    </xf>
    <xf numFmtId="4" fontId="0" fillId="0" borderId="0" xfId="0" applyNumberFormat="1" applyAlignment="1">
      <alignment vertical="center"/>
    </xf>
    <xf numFmtId="4" fontId="11" fillId="0" borderId="10" xfId="0" applyNumberFormat="1" applyFont="1" applyFill="1" applyBorder="1" applyAlignment="1">
      <alignment vertical="center"/>
    </xf>
    <xf numFmtId="4" fontId="11" fillId="41" borderId="10" xfId="0" applyNumberFormat="1" applyFont="1" applyFill="1" applyBorder="1" applyAlignment="1">
      <alignment vertical="center"/>
    </xf>
    <xf numFmtId="4" fontId="11" fillId="73" borderId="10" xfId="0" applyNumberFormat="1" applyFont="1" applyFill="1" applyBorder="1" applyAlignment="1">
      <alignment vertical="center"/>
    </xf>
    <xf numFmtId="0" fontId="10" fillId="0" borderId="10" xfId="0" applyFont="1" applyBorder="1" applyAlignment="1">
      <alignment vertical="center" wrapText="1"/>
    </xf>
    <xf numFmtId="0" fontId="0" fillId="0" borderId="10" xfId="0" applyBorder="1" applyAlignment="1" applyProtection="1">
      <alignment horizontal="center"/>
      <protection locked="0"/>
    </xf>
    <xf numFmtId="0" fontId="165" fillId="0" borderId="0" xfId="0" applyFont="1" applyAlignment="1">
      <alignment vertical="center"/>
    </xf>
    <xf numFmtId="0" fontId="0" fillId="0" borderId="10" xfId="0" applyBorder="1" applyAlignment="1" applyProtection="1">
      <alignment horizontal="right" vertical="center"/>
      <protection locked="0"/>
    </xf>
    <xf numFmtId="0" fontId="2" fillId="0" borderId="10" xfId="0" applyFont="1" applyBorder="1" applyAlignment="1" applyProtection="1">
      <alignment horizontal="right" vertical="center"/>
      <protection locked="0"/>
    </xf>
    <xf numFmtId="0" fontId="26" fillId="0" borderId="10" xfId="0" applyFont="1" applyBorder="1" applyAlignment="1" applyProtection="1">
      <alignment horizontal="center" vertical="center"/>
      <protection locked="0"/>
    </xf>
    <xf numFmtId="3" fontId="100" fillId="71" borderId="20" xfId="46" applyNumberFormat="1" applyFont="1" applyFill="1" applyBorder="1" applyAlignment="1" applyProtection="1">
      <alignment horizontal="center" vertical="center" wrapText="1"/>
      <protection locked="0"/>
    </xf>
    <xf numFmtId="0" fontId="104" fillId="39" borderId="10" xfId="45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11" fillId="0" borderId="0" xfId="0" applyFont="1" applyFill="1" applyAlignment="1" applyProtection="1">
      <alignment vertical="center"/>
      <protection locked="0"/>
    </xf>
    <xf numFmtId="0" fontId="9" fillId="0" borderId="10" xfId="0" applyFont="1" applyBorder="1" applyAlignment="1" applyProtection="1">
      <alignment vertical="center" wrapText="1"/>
      <protection locked="0"/>
    </xf>
    <xf numFmtId="0" fontId="39" fillId="0" borderId="10" xfId="0" applyFont="1" applyBorder="1" applyAlignment="1" applyProtection="1">
      <alignment vertical="center"/>
      <protection locked="0"/>
    </xf>
    <xf numFmtId="0" fontId="0" fillId="74" borderId="0" xfId="0" applyFill="1" applyAlignment="1">
      <alignment vertical="center"/>
    </xf>
    <xf numFmtId="0" fontId="0" fillId="71" borderId="0" xfId="0" applyFill="1" applyAlignment="1">
      <alignment horizontal="center" vertical="center"/>
    </xf>
    <xf numFmtId="0" fontId="11" fillId="74" borderId="0" xfId="0" applyFont="1" applyFill="1" applyAlignment="1">
      <alignment vertical="center"/>
    </xf>
    <xf numFmtId="0" fontId="11" fillId="71" borderId="0" xfId="0" applyFont="1" applyFill="1" applyAlignment="1">
      <alignment vertical="center"/>
    </xf>
    <xf numFmtId="0" fontId="11" fillId="54" borderId="0" xfId="0" applyFont="1" applyFill="1" applyAlignment="1">
      <alignment vertical="center"/>
    </xf>
    <xf numFmtId="0" fontId="0" fillId="54" borderId="0" xfId="0" applyFill="1" applyAlignment="1">
      <alignment vertical="center"/>
    </xf>
    <xf numFmtId="3" fontId="100" fillId="28" borderId="20" xfId="0" applyNumberFormat="1" applyFont="1" applyFill="1" applyBorder="1" applyAlignment="1" applyProtection="1">
      <alignment horizontal="center" vertical="center" wrapText="1"/>
      <protection locked="0" hidden="1"/>
    </xf>
    <xf numFmtId="178" fontId="100" fillId="0" borderId="10" xfId="0" applyNumberFormat="1" applyFont="1" applyBorder="1" applyAlignment="1" applyProtection="1">
      <alignment horizontal="center" vertical="center" wrapText="1"/>
      <protection hidden="1"/>
    </xf>
    <xf numFmtId="4" fontId="100" fillId="0" borderId="10" xfId="0" applyNumberFormat="1" applyFont="1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/>
      <protection locked="0"/>
    </xf>
    <xf numFmtId="0" fontId="0" fillId="75" borderId="10" xfId="0" applyFont="1" applyFill="1" applyBorder="1" applyProtection="1">
      <protection locked="0"/>
    </xf>
    <xf numFmtId="10" fontId="2" fillId="0" borderId="38" xfId="0" applyNumberFormat="1" applyFont="1" applyBorder="1" applyAlignment="1" applyProtection="1">
      <alignment horizontal="center" vertical="center"/>
    </xf>
    <xf numFmtId="0" fontId="129" fillId="0" borderId="53" xfId="0" applyFont="1" applyBorder="1" applyAlignment="1" applyProtection="1">
      <alignment vertical="center"/>
    </xf>
    <xf numFmtId="0" fontId="0" fillId="76" borderId="39" xfId="0" applyFont="1" applyFill="1" applyBorder="1" applyAlignment="1" applyProtection="1">
      <alignment horizontal="center" vertical="center"/>
    </xf>
    <xf numFmtId="0" fontId="11" fillId="76" borderId="39" xfId="0" applyFont="1" applyFill="1" applyBorder="1" applyAlignment="1" applyProtection="1">
      <alignment vertical="center"/>
    </xf>
    <xf numFmtId="9" fontId="61" fillId="76" borderId="39" xfId="0" applyNumberFormat="1" applyFont="1" applyFill="1" applyBorder="1" applyAlignment="1" applyProtection="1">
      <alignment horizontal="center"/>
    </xf>
    <xf numFmtId="164" fontId="11" fillId="76" borderId="39" xfId="0" applyNumberFormat="1" applyFont="1" applyFill="1" applyBorder="1" applyAlignment="1" applyProtection="1">
      <alignment vertical="center"/>
    </xf>
    <xf numFmtId="164" fontId="47" fillId="0" borderId="35" xfId="0" applyNumberFormat="1" applyFont="1" applyFill="1" applyBorder="1" applyAlignment="1" applyProtection="1">
      <alignment vertical="center"/>
    </xf>
    <xf numFmtId="2" fontId="11" fillId="77" borderId="15" xfId="0" applyNumberFormat="1" applyFont="1" applyFill="1" applyBorder="1" applyProtection="1"/>
    <xf numFmtId="192" fontId="11" fillId="77" borderId="18" xfId="0" applyNumberFormat="1" applyFont="1" applyFill="1" applyBorder="1" applyAlignment="1" applyProtection="1">
      <alignment horizontal="right"/>
    </xf>
    <xf numFmtId="0" fontId="62" fillId="0" borderId="0" xfId="0" applyFont="1" applyAlignment="1">
      <alignment vertical="center"/>
    </xf>
    <xf numFmtId="0" fontId="167" fillId="0" borderId="0" xfId="0" applyFont="1" applyAlignment="1" applyProtection="1">
      <alignment vertical="center"/>
      <protection locked="0"/>
    </xf>
    <xf numFmtId="0" fontId="62" fillId="0" borderId="0" xfId="0" applyFont="1" applyFill="1" applyBorder="1" applyAlignment="1">
      <alignment vertical="center"/>
    </xf>
    <xf numFmtId="0" fontId="167" fillId="0" borderId="0" xfId="0" applyFont="1" applyFill="1" applyBorder="1" applyAlignment="1" applyProtection="1">
      <alignment vertical="center"/>
      <protection locked="0"/>
    </xf>
    <xf numFmtId="0" fontId="65" fillId="0" borderId="0" xfId="0" applyFont="1" applyFill="1" applyBorder="1" applyAlignment="1" applyProtection="1">
      <alignment vertical="center"/>
      <protection locked="0"/>
    </xf>
    <xf numFmtId="0" fontId="65" fillId="0" borderId="0" xfId="0" applyFont="1" applyFill="1" applyBorder="1" applyAlignment="1" applyProtection="1">
      <alignment vertical="center" wrapText="1"/>
      <protection locked="0"/>
    </xf>
    <xf numFmtId="0" fontId="57" fillId="0" borderId="0" xfId="0" applyFont="1" applyFill="1" applyBorder="1" applyAlignment="1" applyProtection="1">
      <alignment vertical="center" wrapText="1"/>
      <protection locked="0"/>
    </xf>
    <xf numFmtId="0" fontId="168" fillId="0" borderId="0" xfId="0" applyFont="1" applyFill="1" applyBorder="1" applyAlignment="1" applyProtection="1">
      <alignment vertical="center" wrapText="1"/>
      <protection locked="0"/>
    </xf>
    <xf numFmtId="0" fontId="168" fillId="0" borderId="0" xfId="0" applyFont="1" applyFill="1" applyBorder="1" applyAlignment="1" applyProtection="1">
      <alignment vertical="center"/>
      <protection locked="0"/>
    </xf>
    <xf numFmtId="0" fontId="169" fillId="0" borderId="0" xfId="0" applyFont="1" applyFill="1" applyBorder="1" applyAlignment="1" applyProtection="1">
      <alignment vertical="center"/>
      <protection locked="0"/>
    </xf>
    <xf numFmtId="0" fontId="65" fillId="0" borderId="0" xfId="0" applyFont="1" applyFill="1" applyBorder="1" applyAlignment="1">
      <alignment horizontal="left"/>
    </xf>
    <xf numFmtId="0" fontId="62" fillId="0" borderId="0" xfId="0" applyFont="1" applyFill="1" applyBorder="1"/>
    <xf numFmtId="0" fontId="11" fillId="0" borderId="0" xfId="0" applyFont="1" applyFill="1" applyBorder="1" applyAlignment="1">
      <alignment vertical="center" wrapText="1"/>
    </xf>
    <xf numFmtId="0" fontId="167" fillId="0" borderId="0" xfId="0" applyFont="1" applyFill="1" applyBorder="1" applyAlignment="1">
      <alignment vertical="center"/>
    </xf>
    <xf numFmtId="1" fontId="0" fillId="0" borderId="0" xfId="0" applyNumberFormat="1" applyFill="1" applyBorder="1" applyAlignment="1">
      <alignment vertical="center"/>
    </xf>
    <xf numFmtId="0" fontId="62" fillId="0" borderId="0" xfId="0" applyFont="1" applyFill="1" applyBorder="1" applyAlignment="1">
      <alignment vertical="center" wrapText="1"/>
    </xf>
    <xf numFmtId="0" fontId="65" fillId="0" borderId="0" xfId="0" applyFont="1" applyFill="1" applyBorder="1" applyAlignment="1">
      <alignment vertical="center"/>
    </xf>
    <xf numFmtId="178" fontId="65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/>
    </xf>
    <xf numFmtId="0" fontId="126" fillId="0" borderId="0" xfId="0" applyFont="1" applyFill="1" applyBorder="1" applyAlignment="1">
      <alignment vertical="top" wrapText="1"/>
    </xf>
    <xf numFmtId="0" fontId="126" fillId="0" borderId="0" xfId="0" applyFont="1" applyFill="1" applyBorder="1" applyAlignment="1">
      <alignment vertical="center" wrapText="1"/>
    </xf>
    <xf numFmtId="0" fontId="122" fillId="0" borderId="0" xfId="0" applyFont="1" applyFill="1" applyBorder="1" applyAlignment="1">
      <alignment vertical="center"/>
    </xf>
    <xf numFmtId="3" fontId="65" fillId="0" borderId="0" xfId="0" applyNumberFormat="1" applyFont="1" applyFill="1" applyBorder="1" applyAlignment="1">
      <alignment vertical="center"/>
    </xf>
    <xf numFmtId="0" fontId="169" fillId="0" borderId="0" xfId="0" applyFont="1" applyFill="1" applyBorder="1" applyAlignment="1">
      <alignment vertical="center"/>
    </xf>
    <xf numFmtId="0" fontId="11" fillId="0" borderId="0" xfId="0" applyFont="1" applyFill="1" applyBorder="1"/>
    <xf numFmtId="0" fontId="170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163" fillId="0" borderId="0" xfId="0" applyFont="1" applyFill="1" applyBorder="1" applyAlignment="1">
      <alignment textRotation="90" wrapText="1"/>
    </xf>
    <xf numFmtId="0" fontId="26" fillId="0" borderId="0" xfId="0" applyFont="1" applyFill="1" applyBorder="1" applyAlignment="1"/>
    <xf numFmtId="3" fontId="26" fillId="0" borderId="0" xfId="0" applyNumberFormat="1" applyFont="1" applyFill="1" applyBorder="1" applyAlignment="1"/>
    <xf numFmtId="0" fontId="11" fillId="0" borderId="0" xfId="0" applyFont="1" applyFill="1" applyBorder="1" applyAlignment="1"/>
    <xf numFmtId="0" fontId="25" fillId="0" borderId="0" xfId="0" applyFont="1" applyFill="1" applyBorder="1" applyAlignment="1">
      <alignment wrapText="1"/>
    </xf>
    <xf numFmtId="0" fontId="63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11" fillId="0" borderId="0" xfId="0" applyFont="1" applyFill="1" applyBorder="1" applyAlignment="1">
      <alignment horizontal="right"/>
    </xf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wrapText="1"/>
    </xf>
    <xf numFmtId="0" fontId="31" fillId="0" borderId="0" xfId="0" applyFont="1" applyFill="1" applyBorder="1"/>
    <xf numFmtId="0" fontId="31" fillId="0" borderId="0" xfId="0" applyFont="1" applyFill="1" applyBorder="1" applyAlignment="1"/>
    <xf numFmtId="0" fontId="123" fillId="0" borderId="0" xfId="0" applyFont="1" applyFill="1" applyBorder="1"/>
    <xf numFmtId="0" fontId="25" fillId="0" borderId="0" xfId="0" applyFont="1" applyFill="1" applyBorder="1"/>
    <xf numFmtId="0" fontId="171" fillId="0" borderId="0" xfId="0" applyFont="1" applyFill="1" applyBorder="1" applyAlignment="1"/>
    <xf numFmtId="0" fontId="134" fillId="0" borderId="0" xfId="0" applyFont="1" applyFill="1" applyBorder="1" applyAlignment="1"/>
    <xf numFmtId="0" fontId="0" fillId="0" borderId="0" xfId="0" applyFont="1" applyFill="1" applyBorder="1"/>
    <xf numFmtId="0" fontId="115" fillId="35" borderId="81" xfId="0" applyFont="1" applyFill="1" applyBorder="1" applyAlignment="1">
      <alignment vertical="center"/>
    </xf>
    <xf numFmtId="0" fontId="115" fillId="35" borderId="12" xfId="0" applyFont="1" applyFill="1" applyBorder="1" applyAlignment="1">
      <alignment vertical="center"/>
    </xf>
    <xf numFmtId="0" fontId="115" fillId="35" borderId="57" xfId="0" applyFont="1" applyFill="1" applyBorder="1" applyAlignment="1" applyProtection="1">
      <alignment vertical="center" wrapText="1"/>
      <protection locked="0"/>
    </xf>
    <xf numFmtId="0" fontId="115" fillId="35" borderId="28" xfId="0" applyFont="1" applyFill="1" applyBorder="1" applyAlignment="1">
      <alignment vertical="center"/>
    </xf>
    <xf numFmtId="0" fontId="115" fillId="35" borderId="0" xfId="0" applyFont="1" applyFill="1" applyBorder="1" applyAlignment="1">
      <alignment vertical="center"/>
    </xf>
    <xf numFmtId="0" fontId="115" fillId="35" borderId="44" xfId="0" applyFont="1" applyFill="1" applyBorder="1" applyAlignment="1" applyProtection="1">
      <alignment vertical="center" wrapText="1"/>
      <protection locked="0"/>
    </xf>
    <xf numFmtId="0" fontId="115" fillId="35" borderId="62" xfId="0" applyFont="1" applyFill="1" applyBorder="1" applyAlignment="1">
      <alignment vertical="center"/>
    </xf>
    <xf numFmtId="0" fontId="115" fillId="35" borderId="22" xfId="0" applyFont="1" applyFill="1" applyBorder="1" applyAlignment="1">
      <alignment vertical="center"/>
    </xf>
    <xf numFmtId="0" fontId="115" fillId="35" borderId="87" xfId="0" applyFont="1" applyFill="1" applyBorder="1" applyAlignment="1">
      <alignment vertical="top"/>
    </xf>
    <xf numFmtId="3" fontId="0" fillId="35" borderId="79" xfId="0" applyNumberFormat="1" applyFill="1" applyBorder="1" applyAlignment="1" applyProtection="1">
      <alignment vertical="center"/>
      <protection locked="0"/>
    </xf>
    <xf numFmtId="3" fontId="0" fillId="35" borderId="17" xfId="0" applyNumberFormat="1" applyFill="1" applyBorder="1" applyAlignment="1" applyProtection="1">
      <alignment vertical="center"/>
      <protection locked="0"/>
    </xf>
    <xf numFmtId="0" fontId="0" fillId="35" borderId="17" xfId="0" applyFill="1" applyBorder="1" applyAlignment="1" applyProtection="1">
      <alignment vertical="center"/>
      <protection locked="0"/>
    </xf>
    <xf numFmtId="0" fontId="62" fillId="35" borderId="17" xfId="0" applyFont="1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65" xfId="0" applyFill="1" applyBorder="1" applyAlignment="1">
      <alignment vertical="center"/>
    </xf>
    <xf numFmtId="0" fontId="27" fillId="35" borderId="17" xfId="0" applyFont="1" applyFill="1" applyBorder="1" applyAlignment="1" applyProtection="1">
      <alignment horizontal="center" vertical="center"/>
      <protection locked="0"/>
    </xf>
    <xf numFmtId="0" fontId="7" fillId="35" borderId="17" xfId="0" applyFont="1" applyFill="1" applyBorder="1" applyAlignment="1" applyProtection="1">
      <alignment horizontal="left" vertical="center"/>
      <protection locked="0"/>
    </xf>
    <xf numFmtId="0" fontId="27" fillId="35" borderId="17" xfId="0" applyFont="1" applyFill="1" applyBorder="1" applyAlignment="1" applyProtection="1">
      <alignment horizontal="left" vertical="center"/>
      <protection locked="0"/>
    </xf>
    <xf numFmtId="0" fontId="174" fillId="35" borderId="76" xfId="0" applyFont="1" applyFill="1" applyBorder="1" applyAlignment="1" applyProtection="1">
      <alignment horizontal="left" vertical="center"/>
      <protection locked="0"/>
    </xf>
    <xf numFmtId="0" fontId="0" fillId="78" borderId="40" xfId="0" applyFill="1" applyBorder="1" applyAlignment="1">
      <alignment vertical="center"/>
    </xf>
    <xf numFmtId="0" fontId="0" fillId="78" borderId="11" xfId="0" applyFill="1" applyBorder="1" applyAlignment="1">
      <alignment vertical="center"/>
    </xf>
    <xf numFmtId="0" fontId="0" fillId="78" borderId="58" xfId="0" applyFill="1" applyBorder="1" applyAlignment="1">
      <alignment vertical="center"/>
    </xf>
    <xf numFmtId="0" fontId="0" fillId="35" borderId="41" xfId="0" applyFill="1" applyBorder="1" applyAlignment="1">
      <alignment vertical="center"/>
    </xf>
    <xf numFmtId="0" fontId="0" fillId="35" borderId="12" xfId="0" applyFill="1" applyBorder="1" applyAlignment="1">
      <alignment vertical="center"/>
    </xf>
    <xf numFmtId="0" fontId="0" fillId="35" borderId="57" xfId="0" applyFill="1" applyBorder="1" applyAlignment="1">
      <alignment vertical="center"/>
    </xf>
    <xf numFmtId="0" fontId="175" fillId="41" borderId="0" xfId="0" applyFont="1" applyFill="1" applyBorder="1" applyAlignment="1" applyProtection="1">
      <alignment vertical="center"/>
      <protection locked="0"/>
    </xf>
    <xf numFmtId="0" fontId="175" fillId="41" borderId="0" xfId="0" applyFont="1" applyFill="1" applyBorder="1" applyAlignment="1">
      <alignment vertical="center"/>
    </xf>
    <xf numFmtId="0" fontId="167" fillId="41" borderId="0" xfId="0" applyFont="1" applyFill="1" applyBorder="1" applyAlignment="1" applyProtection="1">
      <alignment vertical="center"/>
      <protection locked="0"/>
    </xf>
    <xf numFmtId="0" fontId="176" fillId="0" borderId="0" xfId="0" applyFont="1" applyFill="1" applyBorder="1" applyAlignment="1" applyProtection="1">
      <alignment vertical="center" wrapText="1"/>
      <protection locked="0"/>
    </xf>
    <xf numFmtId="0" fontId="176" fillId="0" borderId="0" xfId="0" applyFont="1" applyFill="1" applyBorder="1" applyAlignment="1">
      <alignment vertical="center" wrapText="1"/>
    </xf>
    <xf numFmtId="0" fontId="176" fillId="0" borderId="0" xfId="0" applyFont="1" applyFill="1" applyBorder="1" applyAlignment="1" applyProtection="1">
      <alignment horizontal="right" vertical="center" wrapText="1"/>
      <protection locked="0"/>
    </xf>
    <xf numFmtId="0" fontId="122" fillId="0" borderId="0" xfId="0" applyFont="1" applyFill="1" applyBorder="1" applyAlignment="1" applyProtection="1">
      <alignment vertical="center"/>
      <protection locked="0"/>
    </xf>
    <xf numFmtId="0" fontId="167" fillId="0" borderId="0" xfId="0" applyNumberFormat="1" applyFont="1" applyFill="1" applyBorder="1" applyAlignment="1" applyProtection="1">
      <alignment vertical="center"/>
      <protection locked="0"/>
    </xf>
    <xf numFmtId="0" fontId="27" fillId="0" borderId="0" xfId="0" applyFont="1" applyFill="1" applyBorder="1" applyAlignment="1" applyProtection="1">
      <alignment vertical="top" wrapText="1"/>
      <protection locked="0"/>
    </xf>
    <xf numFmtId="0" fontId="177" fillId="0" borderId="0" xfId="0" applyFont="1" applyFill="1" applyBorder="1" applyAlignment="1">
      <alignment vertical="top"/>
    </xf>
    <xf numFmtId="0" fontId="115" fillId="35" borderId="32" xfId="0" applyFont="1" applyFill="1" applyBorder="1" applyAlignment="1" applyProtection="1">
      <alignment horizontal="center" vertical="center" wrapText="1"/>
      <protection locked="0"/>
    </xf>
    <xf numFmtId="0" fontId="115" fillId="35" borderId="0" xfId="0" applyFont="1" applyFill="1" applyBorder="1" applyAlignment="1" applyProtection="1">
      <alignment vertical="center"/>
      <protection locked="0"/>
    </xf>
    <xf numFmtId="0" fontId="115" fillId="35" borderId="0" xfId="0" applyFont="1" applyFill="1" applyBorder="1" applyAlignment="1" applyProtection="1">
      <alignment vertical="center" wrapText="1"/>
      <protection locked="0"/>
    </xf>
    <xf numFmtId="0" fontId="115" fillId="35" borderId="44" xfId="0" applyFont="1" applyFill="1" applyBorder="1" applyAlignment="1" applyProtection="1">
      <alignment horizontal="center" vertical="center" wrapText="1"/>
      <protection locked="0"/>
    </xf>
    <xf numFmtId="4" fontId="7" fillId="0" borderId="0" xfId="0" applyNumberFormat="1" applyFont="1" applyFill="1" applyBorder="1" applyAlignment="1" applyProtection="1">
      <alignment horizontal="right" vertical="center"/>
      <protection locked="0"/>
    </xf>
    <xf numFmtId="3" fontId="7" fillId="0" borderId="0" xfId="0" applyNumberFormat="1" applyFont="1" applyFill="1" applyBorder="1" applyAlignment="1" applyProtection="1">
      <alignment horizontal="right" vertical="center"/>
      <protection locked="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horizontal="left" vertical="center"/>
      <protection locked="0"/>
    </xf>
    <xf numFmtId="0" fontId="178" fillId="0" borderId="0" xfId="0" applyFont="1" applyFill="1" applyAlignment="1" applyProtection="1">
      <alignment horizontal="center" vertical="center"/>
      <protection locked="0"/>
    </xf>
    <xf numFmtId="4" fontId="27" fillId="0" borderId="0" xfId="0" applyNumberFormat="1" applyFont="1" applyFill="1" applyBorder="1" applyAlignment="1" applyProtection="1">
      <alignment horizontal="right" vertical="center"/>
      <protection locked="0"/>
    </xf>
    <xf numFmtId="3" fontId="27" fillId="0" borderId="0" xfId="0" applyNumberFormat="1" applyFont="1" applyFill="1" applyBorder="1" applyAlignment="1" applyProtection="1">
      <alignment horizontal="right" vertical="center"/>
      <protection locked="0"/>
    </xf>
    <xf numFmtId="0" fontId="27" fillId="0" borderId="0" xfId="0" applyFont="1" applyFill="1" applyBorder="1" applyAlignment="1" applyProtection="1">
      <alignment vertical="center" wrapText="1"/>
      <protection locked="0"/>
    </xf>
    <xf numFmtId="0" fontId="17" fillId="0" borderId="0" xfId="0" applyFont="1" applyFill="1" applyBorder="1" applyAlignment="1">
      <alignment vertical="center"/>
    </xf>
    <xf numFmtId="0" fontId="17" fillId="0" borderId="0" xfId="0" applyFont="1" applyFill="1" applyBorder="1" applyAlignment="1" applyProtection="1">
      <alignment vertical="center"/>
      <protection locked="0"/>
    </xf>
    <xf numFmtId="0" fontId="179" fillId="0" borderId="0" xfId="0" applyFont="1" applyFill="1" applyBorder="1" applyAlignment="1" applyProtection="1">
      <alignment horizontal="center" vertical="center" wrapText="1"/>
      <protection locked="0"/>
    </xf>
    <xf numFmtId="0" fontId="179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vertical="center"/>
      <protection locked="0"/>
    </xf>
    <xf numFmtId="0" fontId="178" fillId="0" borderId="0" xfId="0" applyFont="1" applyFill="1" applyAlignment="1" applyProtection="1">
      <alignment vertical="center"/>
      <protection locked="0"/>
    </xf>
    <xf numFmtId="0" fontId="15" fillId="0" borderId="0" xfId="0" applyFont="1" applyFill="1" applyBorder="1" applyAlignment="1" applyProtection="1">
      <alignment vertical="center"/>
      <protection locked="0"/>
    </xf>
    <xf numFmtId="3" fontId="27" fillId="35" borderId="41" xfId="0" applyNumberFormat="1" applyFont="1" applyFill="1" applyBorder="1" applyAlignment="1" applyProtection="1">
      <alignment horizontal="center" vertical="center"/>
      <protection locked="0"/>
    </xf>
    <xf numFmtId="3" fontId="27" fillId="35" borderId="12" xfId="0" applyNumberFormat="1" applyFont="1" applyFill="1" applyBorder="1" applyAlignment="1" applyProtection="1">
      <alignment horizontal="center" vertical="center"/>
      <protection locked="0"/>
    </xf>
    <xf numFmtId="0" fontId="27" fillId="35" borderId="12" xfId="0" applyFont="1" applyFill="1" applyBorder="1" applyAlignment="1" applyProtection="1">
      <alignment horizontal="center" vertical="center"/>
      <protection locked="0"/>
    </xf>
    <xf numFmtId="0" fontId="17" fillId="35" borderId="12" xfId="0" applyFont="1" applyFill="1" applyBorder="1" applyAlignment="1">
      <alignment vertical="center"/>
    </xf>
    <xf numFmtId="0" fontId="62" fillId="35" borderId="12" xfId="0" applyFont="1" applyFill="1" applyBorder="1" applyAlignment="1">
      <alignment vertical="center"/>
    </xf>
    <xf numFmtId="0" fontId="7" fillId="35" borderId="12" xfId="0" applyFont="1" applyFill="1" applyBorder="1" applyAlignment="1" applyProtection="1">
      <alignment horizontal="left" vertical="center"/>
      <protection locked="0"/>
    </xf>
    <xf numFmtId="0" fontId="27" fillId="35" borderId="12" xfId="0" applyFont="1" applyFill="1" applyBorder="1" applyAlignment="1" applyProtection="1">
      <alignment horizontal="left" vertical="center"/>
      <protection locked="0"/>
    </xf>
    <xf numFmtId="0" fontId="15" fillId="35" borderId="57" xfId="0" applyFont="1" applyFill="1" applyBorder="1" applyAlignment="1" applyProtection="1">
      <protection locked="0"/>
    </xf>
    <xf numFmtId="0" fontId="17" fillId="35" borderId="0" xfId="0" applyFont="1" applyFill="1" applyBorder="1" applyAlignment="1">
      <alignment vertical="center"/>
    </xf>
    <xf numFmtId="0" fontId="62" fillId="35" borderId="0" xfId="0" applyFont="1" applyFill="1" applyBorder="1" applyAlignment="1">
      <alignment vertical="center"/>
    </xf>
    <xf numFmtId="0" fontId="27" fillId="35" borderId="0" xfId="0" applyFont="1" applyFill="1" applyBorder="1" applyAlignment="1" applyProtection="1">
      <alignment horizontal="center" vertical="center"/>
      <protection locked="0"/>
    </xf>
    <xf numFmtId="0" fontId="7" fillId="35" borderId="0" xfId="0" applyFont="1" applyFill="1" applyBorder="1" applyAlignment="1" applyProtection="1">
      <alignment horizontal="left" vertical="center"/>
      <protection locked="0"/>
    </xf>
    <xf numFmtId="0" fontId="27" fillId="35" borderId="0" xfId="0" applyFont="1" applyFill="1" applyBorder="1" applyAlignment="1" applyProtection="1">
      <alignment horizontal="left" vertical="center"/>
      <protection locked="0"/>
    </xf>
    <xf numFmtId="0" fontId="15" fillId="35" borderId="44" xfId="0" applyFont="1" applyFill="1" applyBorder="1" applyAlignment="1" applyProtection="1">
      <protection locked="0"/>
    </xf>
    <xf numFmtId="3" fontId="27" fillId="35" borderId="79" xfId="0" applyNumberFormat="1" applyFont="1" applyFill="1" applyBorder="1" applyAlignment="1" applyProtection="1">
      <alignment horizontal="center" vertical="center"/>
      <protection locked="0"/>
    </xf>
    <xf numFmtId="3" fontId="27" fillId="35" borderId="17" xfId="0" applyNumberFormat="1" applyFont="1" applyFill="1" applyBorder="1" applyAlignment="1" applyProtection="1">
      <alignment horizontal="center" vertical="center"/>
      <protection locked="0"/>
    </xf>
    <xf numFmtId="0" fontId="17" fillId="35" borderId="17" xfId="0" applyFont="1" applyFill="1" applyBorder="1" applyAlignment="1">
      <alignment vertical="center"/>
    </xf>
    <xf numFmtId="0" fontId="174" fillId="35" borderId="76" xfId="0" applyFont="1" applyFill="1" applyBorder="1" applyAlignment="1" applyProtection="1">
      <alignment horizontal="left"/>
      <protection locked="0"/>
    </xf>
    <xf numFmtId="3" fontId="27" fillId="78" borderId="41" xfId="0" applyNumberFormat="1" applyFont="1" applyFill="1" applyBorder="1" applyAlignment="1" applyProtection="1">
      <alignment horizontal="center" vertical="center"/>
      <protection locked="0"/>
    </xf>
    <xf numFmtId="3" fontId="27" fillId="78" borderId="12" xfId="0" applyNumberFormat="1" applyFont="1" applyFill="1" applyBorder="1" applyAlignment="1" applyProtection="1">
      <alignment horizontal="center" vertical="center"/>
      <protection locked="0"/>
    </xf>
    <xf numFmtId="0" fontId="27" fillId="78" borderId="12" xfId="0" applyFont="1" applyFill="1" applyBorder="1" applyAlignment="1" applyProtection="1">
      <alignment horizontal="center" vertical="center"/>
      <protection locked="0"/>
    </xf>
    <xf numFmtId="0" fontId="17" fillId="78" borderId="12" xfId="0" applyFont="1" applyFill="1" applyBorder="1" applyAlignment="1">
      <alignment vertical="center"/>
    </xf>
    <xf numFmtId="0" fontId="62" fillId="78" borderId="12" xfId="0" applyFont="1" applyFill="1" applyBorder="1" applyAlignment="1">
      <alignment vertical="center"/>
    </xf>
    <xf numFmtId="0" fontId="7" fillId="78" borderId="12" xfId="0" applyFont="1" applyFill="1" applyBorder="1" applyAlignment="1" applyProtection="1">
      <alignment horizontal="left" vertical="center"/>
      <protection locked="0"/>
    </xf>
    <xf numFmtId="0" fontId="27" fillId="78" borderId="12" xfId="0" applyFont="1" applyFill="1" applyBorder="1" applyAlignment="1" applyProtection="1">
      <alignment horizontal="left" vertical="center"/>
      <protection locked="0"/>
    </xf>
    <xf numFmtId="0" fontId="27" fillId="78" borderId="57" xfId="0" applyFont="1" applyFill="1" applyBorder="1" applyAlignment="1" applyProtection="1">
      <alignment horizontal="left" vertical="center"/>
      <protection locked="0"/>
    </xf>
    <xf numFmtId="3" fontId="27" fillId="35" borderId="41" xfId="0" applyNumberFormat="1" applyFont="1" applyFill="1" applyBorder="1" applyAlignment="1" applyProtection="1">
      <alignment horizontal="center" vertical="top"/>
      <protection locked="0"/>
    </xf>
    <xf numFmtId="3" fontId="177" fillId="35" borderId="12" xfId="0" applyNumberFormat="1" applyFont="1" applyFill="1" applyBorder="1" applyAlignment="1" applyProtection="1">
      <alignment horizontal="center" vertical="top"/>
      <protection locked="0"/>
    </xf>
    <xf numFmtId="0" fontId="177" fillId="35" borderId="12" xfId="0" applyFont="1" applyFill="1" applyBorder="1" applyAlignment="1" applyProtection="1">
      <alignment horizontal="center" vertical="top"/>
      <protection locked="0"/>
    </xf>
    <xf numFmtId="0" fontId="177" fillId="35" borderId="12" xfId="0" applyFont="1" applyFill="1" applyBorder="1" applyAlignment="1" applyProtection="1">
      <alignment horizontal="left" vertical="top"/>
      <protection locked="0"/>
    </xf>
    <xf numFmtId="0" fontId="17" fillId="35" borderId="12" xfId="0" applyFont="1" applyFill="1" applyBorder="1" applyAlignment="1">
      <alignment vertical="top"/>
    </xf>
    <xf numFmtId="0" fontId="177" fillId="35" borderId="12" xfId="0" applyFont="1" applyFill="1" applyBorder="1" applyAlignment="1">
      <alignment vertical="top"/>
    </xf>
    <xf numFmtId="0" fontId="177" fillId="35" borderId="57" xfId="0" applyFont="1" applyFill="1" applyBorder="1" applyAlignment="1">
      <alignment vertical="top"/>
    </xf>
    <xf numFmtId="0" fontId="17" fillId="35" borderId="32" xfId="0" applyFont="1" applyFill="1" applyBorder="1" applyAlignment="1">
      <alignment vertical="center"/>
    </xf>
    <xf numFmtId="0" fontId="27" fillId="35" borderId="44" xfId="0" applyFont="1" applyFill="1" applyBorder="1" applyAlignment="1" applyProtection="1">
      <alignment horizontal="left" vertical="center"/>
      <protection locked="0"/>
    </xf>
    <xf numFmtId="0" fontId="179" fillId="35" borderId="0" xfId="0" applyFont="1" applyFill="1" applyBorder="1" applyAlignment="1" applyProtection="1">
      <alignment horizontal="center" vertical="center"/>
      <protection locked="0"/>
    </xf>
    <xf numFmtId="0" fontId="179" fillId="35" borderId="0" xfId="0" applyFont="1" applyFill="1" applyBorder="1" applyAlignment="1" applyProtection="1">
      <alignment horizontal="center" vertical="center" wrapText="1"/>
      <protection locked="0"/>
    </xf>
    <xf numFmtId="0" fontId="62" fillId="35" borderId="89" xfId="0" applyFont="1" applyFill="1" applyBorder="1" applyAlignment="1">
      <alignment vertical="center"/>
    </xf>
    <xf numFmtId="0" fontId="62" fillId="35" borderId="90" xfId="0" applyFont="1" applyFill="1" applyBorder="1" applyAlignment="1">
      <alignment vertical="center"/>
    </xf>
    <xf numFmtId="0" fontId="25" fillId="35" borderId="90" xfId="0" applyFont="1" applyFill="1" applyBorder="1" applyAlignment="1" applyProtection="1">
      <alignment vertical="top" wrapText="1"/>
      <protection locked="0"/>
    </xf>
    <xf numFmtId="0" fontId="9" fillId="35" borderId="90" xfId="0" applyFont="1" applyFill="1" applyBorder="1" applyAlignment="1" applyProtection="1">
      <alignment horizontal="center" vertical="center"/>
      <protection locked="0"/>
    </xf>
    <xf numFmtId="0" fontId="0" fillId="35" borderId="90" xfId="0" applyFill="1" applyBorder="1" applyAlignment="1" applyProtection="1">
      <alignment vertical="center"/>
      <protection locked="0"/>
    </xf>
    <xf numFmtId="0" fontId="62" fillId="35" borderId="91" xfId="0" applyFont="1" applyFill="1" applyBorder="1" applyAlignment="1">
      <alignment vertical="center"/>
    </xf>
    <xf numFmtId="0" fontId="15" fillId="35" borderId="0" xfId="0" applyFont="1" applyFill="1" applyBorder="1" applyAlignment="1" applyProtection="1">
      <alignment vertical="center"/>
      <protection locked="0"/>
    </xf>
    <xf numFmtId="0" fontId="62" fillId="35" borderId="92" xfId="0" applyFont="1" applyFill="1" applyBorder="1" applyAlignment="1">
      <alignment vertical="center"/>
    </xf>
    <xf numFmtId="0" fontId="25" fillId="35" borderId="29" xfId="0" applyFont="1" applyFill="1" applyBorder="1" applyAlignment="1" applyProtection="1">
      <alignment vertical="top" wrapText="1"/>
      <protection locked="0"/>
    </xf>
    <xf numFmtId="0" fontId="9" fillId="35" borderId="13" xfId="0" applyFont="1" applyFill="1" applyBorder="1" applyAlignment="1" applyProtection="1">
      <alignment horizontal="center" vertical="center"/>
      <protection locked="0"/>
    </xf>
    <xf numFmtId="0" fontId="0" fillId="35" borderId="13" xfId="0" applyFill="1" applyBorder="1" applyAlignment="1" applyProtection="1">
      <alignment vertical="center"/>
      <protection locked="0"/>
    </xf>
    <xf numFmtId="0" fontId="62" fillId="35" borderId="13" xfId="0" applyFont="1" applyFill="1" applyBorder="1" applyAlignment="1">
      <alignment vertical="center"/>
    </xf>
    <xf numFmtId="0" fontId="62" fillId="35" borderId="93" xfId="0" applyFont="1" applyFill="1" applyBorder="1" applyAlignment="1">
      <alignment vertical="center"/>
    </xf>
    <xf numFmtId="0" fontId="25" fillId="35" borderId="13" xfId="0" applyFont="1" applyFill="1" applyBorder="1" applyAlignment="1" applyProtection="1">
      <alignment vertical="top" wrapText="1"/>
      <protection locked="0"/>
    </xf>
    <xf numFmtId="0" fontId="62" fillId="35" borderId="34" xfId="0" applyFont="1" applyFill="1" applyBorder="1" applyAlignment="1">
      <alignment vertical="center"/>
    </xf>
    <xf numFmtId="0" fontId="62" fillId="35" borderId="94" xfId="0" applyFont="1" applyFill="1" applyBorder="1" applyAlignment="1">
      <alignment vertical="center"/>
    </xf>
    <xf numFmtId="0" fontId="25" fillId="35" borderId="0" xfId="0" applyFont="1" applyFill="1" applyBorder="1" applyAlignment="1" applyProtection="1">
      <alignment vertical="top" wrapText="1"/>
      <protection locked="0"/>
    </xf>
    <xf numFmtId="0" fontId="9" fillId="35" borderId="0" xfId="0" applyFont="1" applyFill="1" applyBorder="1" applyAlignment="1" applyProtection="1">
      <alignment horizontal="center" vertical="center"/>
      <protection locked="0"/>
    </xf>
    <xf numFmtId="0" fontId="0" fillId="35" borderId="0" xfId="0" applyFill="1" applyBorder="1" applyAlignment="1" applyProtection="1">
      <alignment vertical="center"/>
      <protection locked="0"/>
    </xf>
    <xf numFmtId="0" fontId="25" fillId="35" borderId="28" xfId="0" applyFont="1" applyFill="1" applyBorder="1" applyAlignment="1" applyProtection="1">
      <alignment vertical="top" wrapText="1"/>
      <protection locked="0"/>
    </xf>
    <xf numFmtId="0" fontId="62" fillId="35" borderId="95" xfId="0" applyFont="1" applyFill="1" applyBorder="1" applyAlignment="1">
      <alignment vertical="center"/>
    </xf>
    <xf numFmtId="0" fontId="62" fillId="35" borderId="27" xfId="0" applyFont="1" applyFill="1" applyBorder="1" applyAlignment="1">
      <alignment vertical="center"/>
    </xf>
    <xf numFmtId="0" fontId="4" fillId="35" borderId="32" xfId="0" applyFont="1" applyFill="1" applyBorder="1" applyAlignment="1">
      <alignment vertical="center"/>
    </xf>
    <xf numFmtId="0" fontId="4" fillId="35" borderId="0" xfId="0" applyFont="1" applyFill="1" applyBorder="1" applyAlignment="1">
      <alignment vertical="center"/>
    </xf>
    <xf numFmtId="0" fontId="27" fillId="35" borderId="44" xfId="0" applyFont="1" applyFill="1" applyBorder="1" applyAlignment="1" applyProtection="1">
      <alignment vertical="center"/>
      <protection locked="0"/>
    </xf>
    <xf numFmtId="0" fontId="14" fillId="35" borderId="44" xfId="0" applyFont="1" applyFill="1" applyBorder="1" applyAlignment="1" applyProtection="1">
      <protection locked="0"/>
    </xf>
    <xf numFmtId="3" fontId="167" fillId="0" borderId="0" xfId="0" applyNumberFormat="1" applyFont="1" applyFill="1" applyAlignment="1" applyProtection="1">
      <alignment horizontal="center" vertical="center"/>
      <protection locked="0"/>
    </xf>
    <xf numFmtId="0" fontId="0" fillId="35" borderId="32" xfId="0" applyFill="1" applyBorder="1" applyAlignment="1" applyProtection="1">
      <alignment vertical="center"/>
      <protection locked="0"/>
    </xf>
    <xf numFmtId="0" fontId="0" fillId="35" borderId="44" xfId="0" applyFill="1" applyBorder="1" applyAlignment="1" applyProtection="1">
      <alignment horizontal="left" vertical="center"/>
      <protection locked="0"/>
    </xf>
    <xf numFmtId="0" fontId="25" fillId="35" borderId="62" xfId="0" applyFont="1" applyFill="1" applyBorder="1" applyAlignment="1" applyProtection="1">
      <alignment vertical="top" wrapText="1"/>
      <protection locked="0"/>
    </xf>
    <xf numFmtId="0" fontId="9" fillId="35" borderId="22" xfId="0" applyFont="1" applyFill="1" applyBorder="1" applyAlignment="1" applyProtection="1">
      <alignment horizontal="center" vertical="center"/>
      <protection locked="0"/>
    </xf>
    <xf numFmtId="0" fontId="0" fillId="35" borderId="22" xfId="0" applyFill="1" applyBorder="1" applyAlignment="1" applyProtection="1">
      <alignment vertical="center"/>
      <protection locked="0"/>
    </xf>
    <xf numFmtId="0" fontId="62" fillId="35" borderId="22" xfId="0" applyFont="1" applyFill="1" applyBorder="1" applyAlignment="1">
      <alignment vertical="center"/>
    </xf>
    <xf numFmtId="0" fontId="62" fillId="35" borderId="96" xfId="0" applyFont="1" applyFill="1" applyBorder="1" applyAlignment="1">
      <alignment vertical="center"/>
    </xf>
    <xf numFmtId="0" fontId="25" fillId="35" borderId="22" xfId="0" applyFont="1" applyFill="1" applyBorder="1" applyAlignment="1" applyProtection="1">
      <alignment vertical="top" wrapText="1"/>
      <protection locked="0"/>
    </xf>
    <xf numFmtId="0" fontId="62" fillId="35" borderId="61" xfId="0" applyFont="1" applyFill="1" applyBorder="1" applyAlignment="1">
      <alignment vertical="center"/>
    </xf>
    <xf numFmtId="0" fontId="62" fillId="35" borderId="97" xfId="0" applyFont="1" applyFill="1" applyBorder="1" applyAlignment="1">
      <alignment vertical="center"/>
    </xf>
    <xf numFmtId="0" fontId="62" fillId="35" borderId="98" xfId="0" applyFont="1" applyFill="1" applyBorder="1" applyAlignment="1">
      <alignment vertical="center"/>
    </xf>
    <xf numFmtId="2" fontId="7" fillId="35" borderId="98" xfId="0" applyNumberFormat="1" applyFont="1" applyFill="1" applyBorder="1" applyAlignment="1" applyProtection="1">
      <alignment horizontal="righ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62" fillId="35" borderId="99" xfId="0" applyFont="1" applyFill="1" applyBorder="1" applyAlignment="1">
      <alignment vertical="center"/>
    </xf>
    <xf numFmtId="0" fontId="26" fillId="35" borderId="32" xfId="0" applyFont="1" applyFill="1" applyBorder="1" applyAlignment="1" applyProtection="1">
      <alignment vertical="top" wrapText="1"/>
      <protection locked="0"/>
    </xf>
    <xf numFmtId="0" fontId="26" fillId="35" borderId="0" xfId="0" applyFont="1" applyFill="1" applyBorder="1" applyAlignment="1" applyProtection="1">
      <alignment vertical="top" wrapText="1"/>
      <protection locked="0"/>
    </xf>
    <xf numFmtId="3" fontId="27" fillId="35" borderId="32" xfId="0" applyNumberFormat="1" applyFont="1" applyFill="1" applyBorder="1" applyAlignment="1" applyProtection="1">
      <alignment horizontal="center" vertical="center"/>
      <protection locked="0"/>
    </xf>
    <xf numFmtId="3" fontId="27" fillId="35" borderId="0" xfId="0" applyNumberFormat="1" applyFont="1" applyFill="1" applyBorder="1" applyAlignment="1" applyProtection="1">
      <alignment horizontal="center" vertical="center"/>
      <protection locked="0"/>
    </xf>
    <xf numFmtId="0" fontId="115" fillId="35" borderId="0" xfId="0" applyFont="1" applyFill="1" applyBorder="1" applyAlignment="1"/>
    <xf numFmtId="0" fontId="17" fillId="35" borderId="89" xfId="0" applyFont="1" applyFill="1" applyBorder="1" applyAlignment="1">
      <alignment vertical="center"/>
    </xf>
    <xf numFmtId="0" fontId="17" fillId="35" borderId="90" xfId="0" applyFont="1" applyFill="1" applyBorder="1" applyAlignment="1">
      <alignment vertical="center"/>
    </xf>
    <xf numFmtId="0" fontId="27" fillId="35" borderId="90" xfId="0" applyFont="1" applyFill="1" applyBorder="1" applyAlignment="1" applyProtection="1">
      <alignment horizontal="center" vertical="center"/>
      <protection locked="0"/>
    </xf>
    <xf numFmtId="0" fontId="7" fillId="35" borderId="90" xfId="0" applyFont="1" applyFill="1" applyBorder="1" applyAlignment="1" applyProtection="1">
      <alignment horizontal="left" vertical="center"/>
      <protection locked="0"/>
    </xf>
    <xf numFmtId="0" fontId="27" fillId="35" borderId="90" xfId="0" applyFont="1" applyFill="1" applyBorder="1" applyAlignment="1" applyProtection="1">
      <alignment horizontal="left" vertical="center"/>
      <protection locked="0"/>
    </xf>
    <xf numFmtId="0" fontId="0" fillId="35" borderId="89" xfId="0" applyFill="1" applyBorder="1" applyAlignment="1" applyProtection="1">
      <alignment vertical="center"/>
      <protection locked="0"/>
    </xf>
    <xf numFmtId="0" fontId="17" fillId="35" borderId="92" xfId="0" applyFont="1" applyFill="1" applyBorder="1" applyAlignment="1">
      <alignment vertical="center"/>
    </xf>
    <xf numFmtId="0" fontId="179" fillId="35" borderId="29" xfId="0" applyFont="1" applyFill="1" applyBorder="1" applyAlignment="1" applyProtection="1">
      <alignment horizontal="center" vertical="center"/>
      <protection locked="0"/>
    </xf>
    <xf numFmtId="0" fontId="179" fillId="35" borderId="13" xfId="0" applyFont="1" applyFill="1" applyBorder="1" applyAlignment="1" applyProtection="1">
      <alignment horizontal="center" vertical="center" wrapText="1"/>
      <protection locked="0"/>
    </xf>
    <xf numFmtId="0" fontId="9" fillId="35" borderId="29" xfId="0" applyFont="1" applyFill="1" applyBorder="1" applyAlignment="1" applyProtection="1">
      <alignment horizontal="center" vertical="center"/>
      <protection locked="0"/>
    </xf>
    <xf numFmtId="0" fontId="62" fillId="35" borderId="15" xfId="0" applyFont="1" applyFill="1" applyBorder="1" applyAlignment="1">
      <alignment vertical="center"/>
    </xf>
    <xf numFmtId="0" fontId="15" fillId="35" borderId="28" xfId="0" applyFont="1" applyFill="1" applyBorder="1" applyAlignment="1" applyProtection="1">
      <alignment vertical="center"/>
      <protection locked="0"/>
    </xf>
    <xf numFmtId="0" fontId="9" fillId="35" borderId="28" xfId="0" applyFont="1" applyFill="1" applyBorder="1" applyAlignment="1" applyProtection="1">
      <alignment horizontal="center" vertical="center"/>
      <protection locked="0"/>
    </xf>
    <xf numFmtId="0" fontId="25" fillId="35" borderId="100" xfId="0" applyFont="1" applyFill="1" applyBorder="1" applyAlignment="1" applyProtection="1">
      <alignment vertical="top" wrapText="1"/>
      <protection locked="0"/>
    </xf>
    <xf numFmtId="0" fontId="9" fillId="35" borderId="98" xfId="0" applyFont="1" applyFill="1" applyBorder="1" applyAlignment="1" applyProtection="1">
      <alignment horizontal="center" vertical="center"/>
      <protection locked="0"/>
    </xf>
    <xf numFmtId="0" fontId="62" fillId="35" borderId="101" xfId="0" applyFont="1" applyFill="1" applyBorder="1" applyAlignment="1">
      <alignment vertical="center"/>
    </xf>
    <xf numFmtId="0" fontId="17" fillId="35" borderId="28" xfId="0" applyFont="1" applyFill="1" applyBorder="1" applyAlignment="1">
      <alignment vertical="center"/>
    </xf>
    <xf numFmtId="0" fontId="27" fillId="35" borderId="28" xfId="0" applyFont="1" applyFill="1" applyBorder="1" applyAlignment="1" applyProtection="1">
      <alignment horizontal="center" vertical="center"/>
      <protection locked="0"/>
    </xf>
    <xf numFmtId="0" fontId="4" fillId="35" borderId="92" xfId="0" applyFont="1" applyFill="1" applyBorder="1" applyAlignment="1">
      <alignment vertical="center"/>
    </xf>
    <xf numFmtId="0" fontId="179" fillId="35" borderId="102" xfId="0" applyFont="1" applyFill="1" applyBorder="1" applyAlignment="1" applyProtection="1">
      <alignment horizontal="center" vertical="center"/>
      <protection locked="0"/>
    </xf>
    <xf numFmtId="0" fontId="179" fillId="35" borderId="90" xfId="0" applyFont="1" applyFill="1" applyBorder="1" applyAlignment="1" applyProtection="1">
      <alignment horizontal="center" vertical="center" wrapText="1"/>
      <protection locked="0"/>
    </xf>
    <xf numFmtId="0" fontId="62" fillId="35" borderId="103" xfId="0" applyFont="1" applyFill="1" applyBorder="1" applyAlignment="1">
      <alignment vertical="center"/>
    </xf>
    <xf numFmtId="0" fontId="9" fillId="35" borderId="62" xfId="0" applyFont="1" applyFill="1" applyBorder="1" applyAlignment="1" applyProtection="1">
      <alignment horizontal="center" vertical="center"/>
      <protection locked="0"/>
    </xf>
    <xf numFmtId="0" fontId="0" fillId="35" borderId="92" xfId="0" applyFill="1" applyBorder="1" applyAlignment="1">
      <alignment vertical="center"/>
    </xf>
    <xf numFmtId="0" fontId="0" fillId="35" borderId="97" xfId="0" applyFill="1" applyBorder="1" applyAlignment="1" applyProtection="1">
      <alignment vertical="center"/>
      <protection locked="0"/>
    </xf>
    <xf numFmtId="0" fontId="0" fillId="35" borderId="97" xfId="0" applyFill="1" applyBorder="1" applyAlignment="1">
      <alignment vertical="center"/>
    </xf>
    <xf numFmtId="0" fontId="0" fillId="35" borderId="98" xfId="0" applyFill="1" applyBorder="1" applyAlignment="1">
      <alignment vertical="center"/>
    </xf>
    <xf numFmtId="0" fontId="25" fillId="35" borderId="98" xfId="0" applyFont="1" applyFill="1" applyBorder="1" applyAlignment="1" applyProtection="1">
      <alignment vertical="top" wrapText="1"/>
      <protection locked="0"/>
    </xf>
    <xf numFmtId="3" fontId="167" fillId="0" borderId="0" xfId="0" applyNumberFormat="1" applyFont="1" applyFill="1" applyAlignment="1" applyProtection="1">
      <alignment horizontal="left" vertical="center"/>
      <protection locked="0"/>
    </xf>
    <xf numFmtId="0" fontId="39" fillId="35" borderId="0" xfId="0" applyFont="1" applyFill="1" applyBorder="1" applyAlignment="1"/>
    <xf numFmtId="0" fontId="167" fillId="0" borderId="0" xfId="0" applyFont="1" applyFill="1" applyAlignment="1" applyProtection="1">
      <alignment horizontal="left" vertical="center"/>
      <protection locked="0"/>
    </xf>
    <xf numFmtId="3" fontId="0" fillId="35" borderId="32" xfId="0" applyNumberFormat="1" applyFill="1" applyBorder="1" applyAlignment="1" applyProtection="1">
      <alignment horizontal="center" vertical="center"/>
      <protection locked="0"/>
    </xf>
    <xf numFmtId="0" fontId="27" fillId="35" borderId="0" xfId="0" applyFont="1" applyFill="1" applyBorder="1" applyAlignment="1" applyProtection="1">
      <alignment vertical="center"/>
      <protection locked="0"/>
    </xf>
    <xf numFmtId="0" fontId="17" fillId="0" borderId="0" xfId="0" applyFont="1" applyBorder="1" applyAlignment="1" applyProtection="1">
      <alignment vertical="center"/>
      <protection locked="0"/>
    </xf>
    <xf numFmtId="0" fontId="178" fillId="0" borderId="0" xfId="0" applyFont="1" applyFill="1" applyAlignment="1" applyProtection="1">
      <alignment horizontal="left" vertical="center"/>
      <protection locked="0"/>
    </xf>
    <xf numFmtId="0" fontId="15" fillId="35" borderId="0" xfId="0" applyFont="1" applyFill="1" applyBorder="1" applyAlignment="1" applyProtection="1">
      <alignment vertical="center" wrapText="1"/>
      <protection locked="0"/>
    </xf>
    <xf numFmtId="0" fontId="51" fillId="0" borderId="0" xfId="0" applyFont="1" applyFill="1" applyBorder="1" applyAlignment="1" applyProtection="1">
      <protection locked="0"/>
    </xf>
    <xf numFmtId="0" fontId="177" fillId="0" borderId="0" xfId="0" applyFont="1" applyBorder="1" applyAlignment="1" applyProtection="1">
      <alignment vertical="center"/>
      <protection locked="0"/>
    </xf>
    <xf numFmtId="0" fontId="167" fillId="0" borderId="0" xfId="0" applyFont="1" applyFill="1" applyAlignment="1" applyProtection="1">
      <alignment horizontal="center" vertical="center"/>
      <protection locked="0"/>
    </xf>
    <xf numFmtId="0" fontId="62" fillId="0" borderId="0" xfId="0" applyFont="1" applyBorder="1" applyAlignment="1">
      <alignment vertical="center"/>
    </xf>
    <xf numFmtId="0" fontId="177" fillId="78" borderId="40" xfId="0" applyFont="1" applyFill="1" applyBorder="1" applyAlignment="1" applyProtection="1">
      <alignment vertical="center"/>
      <protection locked="0"/>
    </xf>
    <xf numFmtId="0" fontId="177" fillId="78" borderId="11" xfId="0" applyFont="1" applyFill="1" applyBorder="1" applyAlignment="1" applyProtection="1">
      <alignment vertical="center"/>
      <protection locked="0"/>
    </xf>
    <xf numFmtId="0" fontId="15" fillId="78" borderId="11" xfId="0" applyFont="1" applyFill="1" applyBorder="1" applyAlignment="1" applyProtection="1">
      <alignment vertical="center" wrapText="1"/>
      <protection locked="0"/>
    </xf>
    <xf numFmtId="0" fontId="0" fillId="78" borderId="58" xfId="0" applyFill="1" applyBorder="1" applyAlignment="1" applyProtection="1">
      <alignment vertical="center"/>
      <protection locked="0"/>
    </xf>
    <xf numFmtId="0" fontId="167" fillId="0" borderId="0" xfId="0" applyFont="1" applyAlignment="1" applyProtection="1">
      <alignment horizontal="center" vertical="center"/>
      <protection locked="0"/>
    </xf>
    <xf numFmtId="4" fontId="0" fillId="35" borderId="0" xfId="0" applyNumberFormat="1" applyFill="1" applyAlignment="1" applyProtection="1">
      <alignment horizontal="center" vertical="center"/>
      <protection locked="0"/>
    </xf>
    <xf numFmtId="0" fontId="0" fillId="35" borderId="0" xfId="0" applyFill="1" applyAlignment="1" applyProtection="1">
      <alignment horizontal="right" vertical="center"/>
      <protection locked="0"/>
    </xf>
    <xf numFmtId="0" fontId="0" fillId="35" borderId="0" xfId="0" applyFill="1" applyAlignment="1" applyProtection="1">
      <alignment vertical="center"/>
      <protection locked="0"/>
    </xf>
    <xf numFmtId="0" fontId="62" fillId="35" borderId="0" xfId="0" applyFont="1" applyFill="1" applyAlignment="1">
      <alignment vertical="center"/>
    </xf>
    <xf numFmtId="0" fontId="0" fillId="35" borderId="0" xfId="0" applyFill="1" applyAlignment="1">
      <alignment vertical="center"/>
    </xf>
    <xf numFmtId="0" fontId="0" fillId="35" borderId="0" xfId="0" applyFill="1" applyAlignment="1" applyProtection="1">
      <alignment horizontal="center"/>
      <protection locked="0"/>
    </xf>
    <xf numFmtId="0" fontId="181" fillId="35" borderId="21" xfId="0" applyFont="1" applyFill="1" applyBorder="1" applyAlignment="1" applyProtection="1">
      <alignment horizontal="left" vertical="center"/>
      <protection locked="0"/>
    </xf>
    <xf numFmtId="0" fontId="181" fillId="35" borderId="23" xfId="0" applyFont="1" applyFill="1" applyBorder="1" applyAlignment="1" applyProtection="1">
      <alignment horizontal="left" vertical="center"/>
      <protection locked="0"/>
    </xf>
    <xf numFmtId="0" fontId="181" fillId="35" borderId="18" xfId="0" applyFont="1" applyFill="1" applyBorder="1" applyAlignment="1" applyProtection="1">
      <alignment horizontal="left" vertical="center"/>
      <protection locked="0"/>
    </xf>
    <xf numFmtId="0" fontId="98" fillId="35" borderId="0" xfId="0" applyFont="1" applyFill="1" applyAlignment="1" applyProtection="1">
      <alignment horizontal="left" vertical="center"/>
      <protection locked="0"/>
    </xf>
    <xf numFmtId="0" fontId="98" fillId="35" borderId="0" xfId="0" applyFont="1" applyFill="1" applyAlignment="1" applyProtection="1">
      <alignment vertical="center"/>
      <protection locked="0"/>
    </xf>
    <xf numFmtId="0" fontId="183" fillId="0" borderId="0" xfId="0" applyFont="1" applyFill="1" applyBorder="1" applyAlignment="1" applyProtection="1">
      <alignment horizontal="left" vertical="center"/>
      <protection locked="0"/>
    </xf>
    <xf numFmtId="0" fontId="184" fillId="35" borderId="0" xfId="0" applyFont="1" applyFill="1" applyAlignment="1" applyProtection="1">
      <alignment horizontal="right" vertical="center"/>
      <protection locked="0"/>
    </xf>
    <xf numFmtId="0" fontId="169" fillId="35" borderId="0" xfId="0" applyFont="1" applyFill="1" applyAlignment="1" applyProtection="1">
      <alignment vertical="center"/>
      <protection locked="0"/>
    </xf>
    <xf numFmtId="0" fontId="167" fillId="38" borderId="0" xfId="0" applyFont="1" applyFill="1" applyAlignment="1" applyProtection="1">
      <alignment vertical="center"/>
      <protection locked="0"/>
    </xf>
    <xf numFmtId="0" fontId="148" fillId="35" borderId="0" xfId="0" applyFont="1" applyFill="1" applyBorder="1" applyAlignment="1" applyProtection="1">
      <alignment vertical="top"/>
      <protection locked="0"/>
    </xf>
    <xf numFmtId="0" fontId="185" fillId="0" borderId="0" xfId="0" applyFont="1" applyFill="1" applyBorder="1" applyAlignment="1">
      <alignment horizontal="center" vertical="center"/>
    </xf>
    <xf numFmtId="0" fontId="3" fillId="26" borderId="57" xfId="0" applyFont="1" applyFill="1" applyBorder="1" applyAlignment="1" applyProtection="1">
      <alignment vertical="center"/>
      <protection locked="0"/>
    </xf>
    <xf numFmtId="0" fontId="3" fillId="26" borderId="12" xfId="0" applyFont="1" applyFill="1" applyBorder="1" applyAlignment="1" applyProtection="1">
      <alignment vertical="center"/>
      <protection locked="0"/>
    </xf>
    <xf numFmtId="0" fontId="0" fillId="0" borderId="43" xfId="0" applyFont="1" applyFill="1" applyBorder="1" applyAlignment="1" applyProtection="1">
      <alignment horizontal="left" vertical="center"/>
      <protection locked="0"/>
    </xf>
    <xf numFmtId="0" fontId="0" fillId="0" borderId="43" xfId="0" applyFill="1" applyBorder="1" applyAlignment="1" applyProtection="1">
      <alignment horizontal="left" vertical="center"/>
      <protection locked="0"/>
    </xf>
    <xf numFmtId="0" fontId="0" fillId="0" borderId="50" xfId="0" applyFill="1" applyBorder="1" applyAlignment="1" applyProtection="1">
      <alignment vertical="center"/>
      <protection locked="0"/>
    </xf>
    <xf numFmtId="0" fontId="45" fillId="0" borderId="10" xfId="0" applyFont="1" applyFill="1" applyBorder="1" applyAlignment="1" applyProtection="1">
      <alignment horizontal="center" vertical="center"/>
      <protection locked="0"/>
    </xf>
    <xf numFmtId="0" fontId="11" fillId="0" borderId="10" xfId="0" applyFont="1" applyFill="1" applyBorder="1" applyAlignment="1" applyProtection="1">
      <alignment horizontal="center" vertical="center"/>
      <protection locked="0"/>
    </xf>
    <xf numFmtId="0" fontId="167" fillId="35" borderId="0" xfId="0" applyFont="1" applyFill="1" applyAlignment="1" applyProtection="1">
      <alignment horizontal="center" vertical="center"/>
      <protection locked="0"/>
    </xf>
    <xf numFmtId="0" fontId="122" fillId="35" borderId="0" xfId="0" applyFont="1" applyFill="1" applyBorder="1" applyAlignment="1" applyProtection="1">
      <alignment vertical="center" wrapText="1"/>
      <protection locked="0"/>
    </xf>
    <xf numFmtId="0" fontId="122" fillId="35" borderId="0" xfId="0" applyFont="1" applyFill="1" applyBorder="1" applyAlignment="1">
      <alignment horizontal="center" vertical="center" wrapText="1"/>
    </xf>
    <xf numFmtId="0" fontId="122" fillId="35" borderId="0" xfId="0" applyFont="1" applyFill="1" applyBorder="1" applyAlignment="1" applyProtection="1">
      <alignment horizontal="center" vertical="center" wrapText="1"/>
      <protection locked="0"/>
    </xf>
    <xf numFmtId="0" fontId="186" fillId="0" borderId="0" xfId="0" applyFont="1" applyFill="1" applyBorder="1" applyAlignment="1" applyProtection="1">
      <alignment vertical="center"/>
      <protection locked="0"/>
    </xf>
    <xf numFmtId="0" fontId="187" fillId="0" borderId="0" xfId="0" applyFont="1" applyFill="1" applyBorder="1" applyAlignment="1" applyProtection="1">
      <alignment horizontal="center" vertical="center"/>
      <protection locked="0"/>
    </xf>
    <xf numFmtId="3" fontId="183" fillId="0" borderId="0" xfId="0" applyNumberFormat="1" applyFont="1" applyFill="1" applyBorder="1" applyAlignment="1" applyProtection="1">
      <alignment horizontal="center" vertical="center"/>
      <protection locked="0"/>
    </xf>
    <xf numFmtId="178" fontId="183" fillId="0" borderId="0" xfId="0" applyNumberFormat="1" applyFont="1" applyFill="1" applyBorder="1" applyAlignment="1" applyProtection="1">
      <alignment horizontal="center" vertical="center"/>
      <protection locked="0"/>
    </xf>
    <xf numFmtId="49" fontId="62" fillId="0" borderId="0" xfId="0" applyNumberFormat="1" applyFont="1" applyAlignment="1">
      <alignment vertical="center"/>
    </xf>
    <xf numFmtId="2" fontId="0" fillId="0" borderId="29" xfId="0" applyNumberFormat="1" applyBorder="1" applyProtection="1">
      <protection locked="0"/>
    </xf>
    <xf numFmtId="165" fontId="0" fillId="28" borderId="29" xfId="0" applyNumberFormat="1" applyFill="1" applyBorder="1" applyProtection="1">
      <protection locked="0"/>
    </xf>
    <xf numFmtId="184" fontId="0" fillId="28" borderId="28" xfId="0" applyNumberFormat="1" applyFont="1" applyFill="1" applyBorder="1" applyProtection="1"/>
    <xf numFmtId="2" fontId="0" fillId="0" borderId="29" xfId="0" applyNumberFormat="1" applyBorder="1" applyProtection="1"/>
    <xf numFmtId="4" fontId="11" fillId="0" borderId="0" xfId="0" applyNumberFormat="1" applyFont="1" applyAlignment="1" applyProtection="1">
      <alignment horizontal="center"/>
    </xf>
    <xf numFmtId="2" fontId="0" fillId="0" borderId="0" xfId="0" applyNumberFormat="1" applyFont="1" applyFill="1" applyBorder="1" applyProtection="1"/>
    <xf numFmtId="184" fontId="11" fillId="41" borderId="0" xfId="0" applyNumberFormat="1" applyFont="1" applyFill="1" applyBorder="1" applyProtection="1"/>
    <xf numFmtId="180" fontId="11" fillId="41" borderId="0" xfId="0" applyNumberFormat="1" applyFont="1" applyFill="1" applyBorder="1" applyProtection="1"/>
    <xf numFmtId="2" fontId="0" fillId="0" borderId="0" xfId="0" applyNumberFormat="1" applyFill="1" applyProtection="1"/>
    <xf numFmtId="0" fontId="188" fillId="0" borderId="23" xfId="0" applyFont="1" applyFill="1" applyBorder="1" applyAlignment="1" applyProtection="1">
      <alignment horizontal="left"/>
    </xf>
    <xf numFmtId="0" fontId="11" fillId="38" borderId="0" xfId="0" applyFont="1" applyFill="1" applyBorder="1" applyAlignment="1" applyProtection="1">
      <alignment vertical="center"/>
      <protection locked="0"/>
    </xf>
    <xf numFmtId="0" fontId="11" fillId="38" borderId="0" xfId="0" applyNumberFormat="1" applyFont="1" applyFill="1" applyBorder="1" applyAlignment="1" applyProtection="1">
      <alignment horizontal="left" vertical="center"/>
      <protection locked="0"/>
    </xf>
    <xf numFmtId="0" fontId="0" fillId="38" borderId="0" xfId="0" applyFont="1" applyFill="1" applyBorder="1" applyAlignment="1" applyProtection="1">
      <alignment vertical="center"/>
      <protection locked="0"/>
    </xf>
    <xf numFmtId="0" fontId="11" fillId="38" borderId="0" xfId="0" applyNumberFormat="1" applyFont="1" applyFill="1" applyBorder="1" applyAlignment="1" applyProtection="1">
      <alignment horizontal="center" vertical="center"/>
      <protection locked="0"/>
    </xf>
    <xf numFmtId="0" fontId="11" fillId="38" borderId="0" xfId="0" applyNumberFormat="1" applyFont="1" applyFill="1" applyBorder="1" applyAlignment="1" applyProtection="1">
      <alignment vertical="center"/>
      <protection locked="0"/>
    </xf>
    <xf numFmtId="0" fontId="11" fillId="38" borderId="0" xfId="0" applyFont="1" applyFill="1" applyBorder="1" applyAlignment="1" applyProtection="1">
      <alignment horizontal="center" vertical="center"/>
      <protection locked="0"/>
    </xf>
    <xf numFmtId="0" fontId="11" fillId="38" borderId="0" xfId="0" applyFont="1" applyFill="1" applyBorder="1" applyAlignment="1" applyProtection="1">
      <alignment horizontal="right" vertical="center"/>
      <protection locked="0"/>
    </xf>
    <xf numFmtId="0" fontId="0" fillId="38" borderId="0" xfId="0" applyNumberFormat="1" applyFont="1" applyFill="1" applyBorder="1" applyAlignment="1" applyProtection="1">
      <alignment horizontal="center" vertical="center"/>
      <protection locked="0"/>
    </xf>
    <xf numFmtId="0" fontId="0" fillId="38" borderId="0" xfId="0" applyNumberFormat="1" applyFont="1" applyFill="1" applyBorder="1" applyAlignment="1" applyProtection="1">
      <alignment vertical="center"/>
      <protection locked="0"/>
    </xf>
    <xf numFmtId="0" fontId="0" fillId="38" borderId="0" xfId="0" applyFont="1" applyFill="1" applyAlignment="1" applyProtection="1">
      <alignment vertical="center"/>
      <protection locked="0"/>
    </xf>
    <xf numFmtId="0" fontId="0" fillId="38" borderId="0" xfId="0" applyFont="1" applyFill="1" applyAlignment="1">
      <alignment vertical="center"/>
    </xf>
    <xf numFmtId="0" fontId="11" fillId="38" borderId="0" xfId="0" applyFont="1" applyFill="1" applyAlignment="1">
      <alignment vertical="center"/>
    </xf>
    <xf numFmtId="0" fontId="189" fillId="0" borderId="10" xfId="0" applyFont="1" applyBorder="1" applyAlignment="1" applyProtection="1">
      <alignment horizontal="center" vertical="center"/>
    </xf>
    <xf numFmtId="0" fontId="11" fillId="0" borderId="10" xfId="0" applyFont="1" applyBorder="1" applyAlignment="1" applyProtection="1">
      <alignment horizontal="center" vertical="center"/>
    </xf>
    <xf numFmtId="0" fontId="11" fillId="0" borderId="10" xfId="0" applyFont="1" applyBorder="1" applyProtection="1"/>
    <xf numFmtId="2" fontId="189" fillId="0" borderId="0" xfId="0" applyNumberFormat="1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left" vertical="center"/>
    </xf>
    <xf numFmtId="9" fontId="0" fillId="0" borderId="0" xfId="0" applyNumberFormat="1" applyFont="1" applyBorder="1" applyAlignment="1" applyProtection="1">
      <alignment horizontal="left"/>
    </xf>
    <xf numFmtId="9" fontId="11" fillId="0" borderId="0" xfId="0" applyNumberFormat="1" applyFont="1" applyBorder="1" applyAlignment="1" applyProtection="1">
      <alignment horizontal="left"/>
    </xf>
    <xf numFmtId="49" fontId="0" fillId="74" borderId="0" xfId="48" applyNumberFormat="1" applyFont="1" applyFill="1" applyBorder="1" applyAlignment="1" applyProtection="1">
      <alignment horizontal="left" vertical="center"/>
      <protection locked="0"/>
    </xf>
    <xf numFmtId="49" fontId="2" fillId="74" borderId="0" xfId="48" applyNumberFormat="1" applyFill="1" applyBorder="1" applyAlignment="1" applyProtection="1">
      <alignment horizontal="left" vertical="center"/>
      <protection locked="0"/>
    </xf>
    <xf numFmtId="0" fontId="0" fillId="74" borderId="0" xfId="48" applyFont="1" applyFill="1" applyAlignment="1" applyProtection="1">
      <alignment vertical="center"/>
      <protection locked="0"/>
    </xf>
    <xf numFmtId="0" fontId="0" fillId="74" borderId="0" xfId="0" applyFont="1" applyFill="1" applyAlignment="1" applyProtection="1">
      <alignment vertical="center"/>
      <protection locked="0"/>
    </xf>
    <xf numFmtId="0" fontId="0" fillId="54" borderId="10" xfId="0" applyFont="1" applyFill="1" applyBorder="1" applyAlignment="1" applyProtection="1">
      <alignment vertical="center" wrapText="1"/>
      <protection locked="0"/>
    </xf>
    <xf numFmtId="1" fontId="0" fillId="0" borderId="15" xfId="0" applyNumberFormat="1" applyFill="1" applyBorder="1" applyAlignment="1" applyProtection="1">
      <alignment vertical="center"/>
    </xf>
    <xf numFmtId="2" fontId="0" fillId="0" borderId="15" xfId="0" applyNumberFormat="1" applyBorder="1" applyAlignment="1" applyProtection="1">
      <alignment vertical="center"/>
      <protection locked="0"/>
    </xf>
    <xf numFmtId="2" fontId="0" fillId="0" borderId="15" xfId="0" applyNumberFormat="1" applyBorder="1" applyAlignment="1" applyProtection="1">
      <alignment vertical="center"/>
    </xf>
    <xf numFmtId="164" fontId="2" fillId="28" borderId="15" xfId="28" applyFont="1" applyFill="1" applyBorder="1" applyAlignment="1" applyProtection="1">
      <alignment vertical="center"/>
    </xf>
    <xf numFmtId="164" fontId="0" fillId="0" borderId="15" xfId="28" applyFont="1" applyBorder="1" applyAlignment="1" applyProtection="1">
      <alignment vertical="center"/>
    </xf>
    <xf numFmtId="165" fontId="0" fillId="0" borderId="0" xfId="0" applyNumberFormat="1" applyAlignment="1" applyProtection="1">
      <alignment horizontal="right" vertical="center"/>
    </xf>
    <xf numFmtId="4" fontId="0" fillId="0" borderId="0" xfId="0" applyNumberFormat="1" applyFont="1" applyAlignment="1" applyProtection="1">
      <alignment vertical="center"/>
    </xf>
    <xf numFmtId="2" fontId="11" fillId="79" borderId="40" xfId="0" applyNumberFormat="1" applyFont="1" applyFill="1" applyBorder="1" applyProtection="1"/>
    <xf numFmtId="2" fontId="11" fillId="79" borderId="15" xfId="0" applyNumberFormat="1" applyFont="1" applyFill="1" applyBorder="1" applyProtection="1"/>
    <xf numFmtId="164" fontId="11" fillId="79" borderId="15" xfId="28" applyFont="1" applyFill="1" applyBorder="1" applyAlignment="1" applyProtection="1">
      <alignment horizontal="right" vertical="center"/>
    </xf>
    <xf numFmtId="0" fontId="11" fillId="80" borderId="10" xfId="0" applyFont="1" applyFill="1" applyBorder="1" applyAlignment="1">
      <alignment vertical="center" wrapText="1"/>
    </xf>
    <xf numFmtId="0" fontId="11" fillId="51" borderId="10" xfId="0" applyFont="1" applyFill="1" applyBorder="1" applyAlignment="1">
      <alignment vertical="center" wrapText="1"/>
    </xf>
    <xf numFmtId="0" fontId="11" fillId="41" borderId="10" xfId="0" applyFont="1" applyFill="1" applyBorder="1" applyAlignment="1">
      <alignment vertical="center" wrapText="1"/>
    </xf>
    <xf numFmtId="0" fontId="11" fillId="71" borderId="10" xfId="0" applyFont="1" applyFill="1" applyBorder="1" applyAlignment="1">
      <alignment vertical="center" wrapText="1"/>
    </xf>
    <xf numFmtId="0" fontId="11" fillId="36" borderId="10" xfId="0" applyFont="1" applyFill="1" applyBorder="1" applyAlignment="1">
      <alignment vertical="center" wrapText="1"/>
    </xf>
    <xf numFmtId="0" fontId="11" fillId="54" borderId="10" xfId="0" applyFont="1" applyFill="1" applyBorder="1" applyAlignment="1">
      <alignment vertical="center" wrapText="1"/>
    </xf>
    <xf numFmtId="0" fontId="11" fillId="52" borderId="10" xfId="0" applyFont="1" applyFill="1" applyBorder="1" applyAlignment="1">
      <alignment vertical="center" wrapText="1"/>
    </xf>
    <xf numFmtId="0" fontId="0" fillId="80" borderId="10" xfId="0" applyFont="1" applyFill="1" applyBorder="1" applyAlignment="1">
      <alignment vertical="center"/>
    </xf>
    <xf numFmtId="0" fontId="0" fillId="51" borderId="10" xfId="0" applyFont="1" applyFill="1" applyBorder="1" applyAlignment="1">
      <alignment vertical="center"/>
    </xf>
    <xf numFmtId="0" fontId="0" fillId="41" borderId="10" xfId="0" applyFont="1" applyFill="1" applyBorder="1" applyAlignment="1">
      <alignment vertical="center"/>
    </xf>
    <xf numFmtId="0" fontId="0" fillId="71" borderId="10" xfId="0" applyFont="1" applyFill="1" applyBorder="1" applyAlignment="1">
      <alignment vertical="center"/>
    </xf>
    <xf numFmtId="0" fontId="0" fillId="36" borderId="10" xfId="0" applyFont="1" applyFill="1" applyBorder="1" applyAlignment="1">
      <alignment vertical="center"/>
    </xf>
    <xf numFmtId="0" fontId="0" fillId="54" borderId="10" xfId="0" applyFont="1" applyFill="1" applyBorder="1" applyAlignment="1">
      <alignment vertical="center"/>
    </xf>
    <xf numFmtId="0" fontId="0" fillId="52" borderId="10" xfId="0" applyFont="1" applyFill="1" applyBorder="1" applyAlignment="1">
      <alignment vertical="center"/>
    </xf>
    <xf numFmtId="0" fontId="0" fillId="0" borderId="27" xfId="0" applyFont="1" applyBorder="1" applyAlignment="1">
      <alignment vertical="center"/>
    </xf>
    <xf numFmtId="0" fontId="0" fillId="0" borderId="34" xfId="0" applyFont="1" applyBorder="1" applyAlignment="1">
      <alignment vertical="center"/>
    </xf>
    <xf numFmtId="0" fontId="0" fillId="0" borderId="13" xfId="0" applyFont="1" applyBorder="1" applyAlignment="1">
      <alignment vertical="center"/>
    </xf>
    <xf numFmtId="0" fontId="0" fillId="80" borderId="0" xfId="0" applyFont="1" applyFill="1" applyAlignment="1">
      <alignment vertical="center"/>
    </xf>
    <xf numFmtId="0" fontId="0" fillId="51" borderId="0" xfId="0" applyFont="1" applyFill="1" applyAlignment="1">
      <alignment vertical="center"/>
    </xf>
    <xf numFmtId="0" fontId="0" fillId="71" borderId="0" xfId="0" applyFont="1" applyFill="1" applyAlignment="1">
      <alignment vertical="center"/>
    </xf>
    <xf numFmtId="0" fontId="0" fillId="36" borderId="0" xfId="0" applyFont="1" applyFill="1" applyAlignment="1">
      <alignment vertical="center"/>
    </xf>
    <xf numFmtId="0" fontId="0" fillId="54" borderId="0" xfId="0" applyFont="1" applyFill="1" applyAlignment="1">
      <alignment vertical="center"/>
    </xf>
    <xf numFmtId="0" fontId="0" fillId="52" borderId="0" xfId="0" applyFont="1" applyFill="1" applyAlignment="1">
      <alignment vertical="center"/>
    </xf>
    <xf numFmtId="0" fontId="0" fillId="0" borderId="0" xfId="0" applyFont="1" applyAlignment="1">
      <alignment horizontal="right" vertical="center"/>
    </xf>
    <xf numFmtId="0" fontId="11" fillId="80" borderId="0" xfId="0" applyFont="1" applyFill="1" applyAlignment="1">
      <alignment vertical="center"/>
    </xf>
    <xf numFmtId="0" fontId="0" fillId="80" borderId="0" xfId="0" applyFont="1" applyFill="1" applyAlignment="1" applyProtection="1">
      <alignment vertical="center"/>
      <protection locked="0"/>
    </xf>
    <xf numFmtId="0" fontId="11" fillId="51" borderId="0" xfId="0" applyFont="1" applyFill="1" applyAlignment="1">
      <alignment vertical="center"/>
    </xf>
    <xf numFmtId="0" fontId="0" fillId="51" borderId="0" xfId="0" applyFont="1" applyFill="1" applyAlignment="1" applyProtection="1">
      <alignment vertical="center"/>
      <protection locked="0"/>
    </xf>
    <xf numFmtId="0" fontId="11" fillId="41" borderId="0" xfId="0" applyFont="1" applyFill="1" applyAlignment="1">
      <alignment vertical="center"/>
    </xf>
    <xf numFmtId="0" fontId="0" fillId="71" borderId="0" xfId="0" applyFont="1" applyFill="1" applyAlignment="1" applyProtection="1">
      <alignment vertical="center"/>
      <protection locked="0"/>
    </xf>
    <xf numFmtId="0" fontId="11" fillId="36" borderId="0" xfId="0" applyFont="1" applyFill="1" applyAlignment="1">
      <alignment vertical="center"/>
    </xf>
    <xf numFmtId="0" fontId="0" fillId="54" borderId="0" xfId="0" applyFont="1" applyFill="1" applyAlignment="1" applyProtection="1">
      <alignment vertical="center"/>
      <protection locked="0"/>
    </xf>
    <xf numFmtId="0" fontId="11" fillId="52" borderId="0" xfId="0" applyFont="1" applyFill="1" applyAlignment="1">
      <alignment vertical="center"/>
    </xf>
    <xf numFmtId="0" fontId="0" fillId="52" borderId="0" xfId="0" applyFont="1" applyFill="1" applyAlignment="1" applyProtection="1">
      <alignment vertical="center"/>
      <protection locked="0"/>
    </xf>
    <xf numFmtId="0" fontId="9" fillId="0" borderId="0" xfId="0" applyFont="1" applyBorder="1" applyAlignment="1">
      <alignment horizontal="right" vertical="center"/>
    </xf>
    <xf numFmtId="0" fontId="2" fillId="0" borderId="0" xfId="0" applyFont="1" applyFill="1" applyBorder="1" applyAlignment="1">
      <alignment horizontal="left" vertical="center"/>
    </xf>
    <xf numFmtId="167" fontId="2" fillId="0" borderId="0" xfId="0" applyNumberFormat="1" applyFont="1" applyFill="1" applyBorder="1" applyAlignment="1">
      <alignment horizontal="left" vertical="center"/>
    </xf>
    <xf numFmtId="0" fontId="129" fillId="38" borderId="0" xfId="0" applyFont="1" applyFill="1" applyAlignment="1" applyProtection="1">
      <alignment vertical="center"/>
      <protection locked="0"/>
    </xf>
    <xf numFmtId="173" fontId="18" fillId="81" borderId="10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Border="1" applyAlignment="1" applyProtection="1">
      <alignment vertical="center"/>
      <protection locked="0"/>
    </xf>
    <xf numFmtId="0" fontId="113" fillId="0" borderId="0" xfId="0" applyFont="1" applyFill="1" applyBorder="1" applyAlignment="1" applyProtection="1">
      <alignment horizontal="left" vertical="center"/>
      <protection locked="0"/>
    </xf>
    <xf numFmtId="0" fontId="190" fillId="0" borderId="18" xfId="0" applyFont="1" applyBorder="1" applyAlignment="1" applyProtection="1">
      <alignment vertical="center"/>
      <protection locked="0"/>
    </xf>
    <xf numFmtId="0" fontId="191" fillId="0" borderId="0" xfId="0" applyFont="1" applyAlignment="1" applyProtection="1">
      <alignment horizontal="center" vertical="center"/>
    </xf>
    <xf numFmtId="0" fontId="192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25" fillId="0" borderId="0" xfId="0" applyFont="1" applyAlignment="1" applyProtection="1">
      <alignment horizontal="left" vertical="center"/>
    </xf>
    <xf numFmtId="3" fontId="25" fillId="0" borderId="0" xfId="0" applyNumberFormat="1" applyFont="1" applyAlignment="1" applyProtection="1">
      <alignment horizontal="center" vertical="center"/>
    </xf>
    <xf numFmtId="3" fontId="62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49" fontId="25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right" vertical="center"/>
    </xf>
    <xf numFmtId="0" fontId="193" fillId="0" borderId="0" xfId="0" applyFont="1" applyAlignment="1" applyProtection="1">
      <alignment horizontal="center" vertical="center"/>
    </xf>
    <xf numFmtId="0" fontId="194" fillId="0" borderId="0" xfId="0" applyFont="1" applyAlignment="1" applyProtection="1">
      <alignment horizontal="center" vertical="top"/>
    </xf>
    <xf numFmtId="0" fontId="25" fillId="0" borderId="0" xfId="0" applyFont="1" applyBorder="1" applyAlignment="1" applyProtection="1">
      <alignment horizontal="center" vertical="center" wrapText="1"/>
    </xf>
    <xf numFmtId="0" fontId="31" fillId="0" borderId="0" xfId="0" applyFont="1" applyFill="1" applyAlignment="1">
      <alignment vertical="top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62" fillId="0" borderId="23" xfId="0" applyFont="1" applyBorder="1" applyAlignment="1">
      <alignment vertical="center"/>
    </xf>
    <xf numFmtId="3" fontId="26" fillId="0" borderId="18" xfId="0" applyNumberFormat="1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 applyProtection="1">
      <alignment vertical="center"/>
      <protection locked="0"/>
    </xf>
    <xf numFmtId="49" fontId="0" fillId="0" borderId="0" xfId="0" applyNumberFormat="1" applyAlignment="1">
      <alignment horizontal="center"/>
    </xf>
    <xf numFmtId="49" fontId="145" fillId="0" borderId="0" xfId="0" applyNumberFormat="1" applyFont="1" applyFill="1"/>
    <xf numFmtId="49" fontId="0" fillId="0" borderId="0" xfId="0" quotePrefix="1" applyNumberFormat="1" applyAlignment="1">
      <alignment horizontal="center"/>
    </xf>
    <xf numFmtId="49" fontId="0" fillId="0" borderId="0" xfId="0" applyNumberFormat="1" applyFill="1"/>
    <xf numFmtId="49" fontId="145" fillId="0" borderId="0" xfId="0" applyNumberFormat="1" applyFont="1" applyFill="1" applyAlignment="1">
      <alignment horizontal="left"/>
    </xf>
    <xf numFmtId="49" fontId="0" fillId="0" borderId="0" xfId="0" applyNumberFormat="1" applyFill="1" applyAlignment="1">
      <alignment horizontal="left"/>
    </xf>
    <xf numFmtId="0" fontId="0" fillId="51" borderId="0" xfId="0" applyFont="1" applyFill="1" applyBorder="1" applyAlignment="1">
      <alignment vertical="center"/>
    </xf>
    <xf numFmtId="0" fontId="0" fillId="41" borderId="0" xfId="0" applyFont="1" applyFill="1" applyBorder="1" applyAlignment="1">
      <alignment vertical="center"/>
    </xf>
    <xf numFmtId="0" fontId="0" fillId="71" borderId="0" xfId="0" applyFont="1" applyFill="1" applyBorder="1" applyAlignment="1">
      <alignment vertical="center"/>
    </xf>
    <xf numFmtId="0" fontId="0" fillId="36" borderId="0" xfId="0" applyFont="1" applyFill="1" applyBorder="1" applyAlignment="1">
      <alignment vertical="center"/>
    </xf>
    <xf numFmtId="0" fontId="0" fillId="54" borderId="0" xfId="0" applyFont="1" applyFill="1" applyBorder="1" applyAlignment="1">
      <alignment vertical="center"/>
    </xf>
    <xf numFmtId="0" fontId="0" fillId="52" borderId="0" xfId="0" applyFont="1" applyFill="1" applyBorder="1" applyAlignment="1">
      <alignment vertical="center"/>
    </xf>
    <xf numFmtId="49" fontId="145" fillId="0" borderId="0" xfId="0" applyNumberFormat="1" applyFont="1" applyAlignment="1">
      <alignment vertical="center"/>
    </xf>
    <xf numFmtId="49" fontId="0" fillId="36" borderId="0" xfId="0" applyNumberFormat="1" applyFill="1" applyAlignment="1">
      <alignment vertical="center"/>
    </xf>
    <xf numFmtId="49" fontId="145" fillId="0" borderId="0" xfId="0" applyNumberFormat="1" applyFont="1" applyAlignment="1">
      <alignment horizontal="left" vertical="center"/>
    </xf>
    <xf numFmtId="49" fontId="0" fillId="36" borderId="0" xfId="0" applyNumberFormat="1" applyFill="1" applyAlignment="1">
      <alignment horizontal="left" vertical="center"/>
    </xf>
    <xf numFmtId="49" fontId="0" fillId="36" borderId="0" xfId="0" applyNumberFormat="1" applyFill="1" applyAlignment="1">
      <alignment horizontal="left" vertical="center" wrapText="1"/>
    </xf>
    <xf numFmtId="0" fontId="27" fillId="0" borderId="0" xfId="0" applyFont="1" applyAlignment="1">
      <alignment horizontal="left"/>
    </xf>
    <xf numFmtId="49" fontId="0" fillId="0" borderId="10" xfId="0" applyNumberFormat="1" applyBorder="1" applyAlignment="1">
      <alignment horizontal="right"/>
    </xf>
    <xf numFmtId="0" fontId="0" fillId="0" borderId="10" xfId="0" applyBorder="1"/>
    <xf numFmtId="49" fontId="0" fillId="0" borderId="10" xfId="0" applyNumberFormat="1" applyBorder="1"/>
    <xf numFmtId="0" fontId="27" fillId="0" borderId="10" xfId="0" applyFont="1" applyBorder="1" applyAlignment="1">
      <alignment horizontal="left"/>
    </xf>
    <xf numFmtId="0" fontId="25" fillId="0" borderId="10" xfId="0" applyFont="1" applyBorder="1"/>
    <xf numFmtId="3" fontId="29" fillId="35" borderId="10" xfId="28" applyNumberFormat="1" applyFont="1" applyFill="1" applyBorder="1" applyAlignment="1" applyProtection="1">
      <alignment horizontal="center" vertical="center"/>
      <protection locked="0"/>
    </xf>
    <xf numFmtId="3" fontId="29" fillId="35" borderId="10" xfId="0" applyNumberFormat="1" applyFont="1" applyFill="1" applyBorder="1" applyAlignment="1">
      <alignment horizontal="center" vertical="center"/>
    </xf>
    <xf numFmtId="3" fontId="29" fillId="48" borderId="10" xfId="0" applyNumberFormat="1" applyFont="1" applyFill="1" applyBorder="1" applyAlignment="1">
      <alignment horizontal="center" vertical="center"/>
    </xf>
    <xf numFmtId="3" fontId="29" fillId="48" borderId="10" xfId="28" applyNumberFormat="1" applyFont="1" applyFill="1" applyBorder="1" applyAlignment="1" applyProtection="1">
      <alignment horizontal="center" vertical="center"/>
      <protection locked="0"/>
    </xf>
    <xf numFmtId="168" fontId="198" fillId="54" borderId="10" xfId="0" applyNumberFormat="1" applyFont="1" applyFill="1" applyBorder="1" applyAlignment="1" applyProtection="1">
      <alignment horizontal="center" vertical="center"/>
      <protection locked="0"/>
    </xf>
    <xf numFmtId="178" fontId="198" fillId="0" borderId="10" xfId="0" applyNumberFormat="1" applyFont="1" applyFill="1" applyBorder="1" applyAlignment="1" applyProtection="1">
      <alignment horizontal="center" vertical="center"/>
      <protection locked="0"/>
    </xf>
    <xf numFmtId="165" fontId="106" fillId="25" borderId="10" xfId="45" applyNumberFormat="1" applyFont="1" applyFill="1" applyBorder="1" applyAlignment="1" applyProtection="1">
      <alignment horizontal="right" vertical="center" wrapText="1"/>
      <protection locked="0"/>
    </xf>
    <xf numFmtId="0" fontId="57" fillId="41" borderId="60" xfId="0" applyFont="1" applyFill="1" applyBorder="1" applyAlignment="1" applyProtection="1">
      <alignment horizontal="center" vertical="center"/>
    </xf>
    <xf numFmtId="0" fontId="57" fillId="41" borderId="41" xfId="0" applyFont="1" applyFill="1" applyBorder="1" applyAlignment="1" applyProtection="1">
      <alignment vertical="center"/>
    </xf>
    <xf numFmtId="167" fontId="166" fillId="41" borderId="60" xfId="0" applyNumberFormat="1" applyFont="1" applyFill="1" applyBorder="1" applyAlignment="1" applyProtection="1">
      <alignment horizontal="center" vertical="center"/>
    </xf>
    <xf numFmtId="164" fontId="2" fillId="41" borderId="78" xfId="28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74" fontId="47" fillId="0" borderId="35" xfId="0" applyNumberFormat="1" applyFont="1" applyBorder="1" applyAlignment="1" applyProtection="1">
      <alignment horizontal="center" vertical="center"/>
      <protection locked="0"/>
    </xf>
    <xf numFmtId="0" fontId="0" fillId="0" borderId="40" xfId="0" applyFont="1" applyBorder="1" applyAlignment="1" applyProtection="1">
      <alignment vertical="center"/>
    </xf>
    <xf numFmtId="0" fontId="0" fillId="0" borderId="38" xfId="0" applyFont="1" applyFill="1" applyBorder="1" applyAlignment="1" applyProtection="1">
      <alignment horizontal="center" vertical="center"/>
    </xf>
    <xf numFmtId="0" fontId="4" fillId="0" borderId="36" xfId="0" applyFont="1" applyFill="1" applyBorder="1" applyAlignment="1" applyProtection="1">
      <alignment vertical="center"/>
    </xf>
    <xf numFmtId="0" fontId="4" fillId="0" borderId="38" xfId="0" applyFont="1" applyBorder="1" applyAlignment="1" applyProtection="1">
      <alignment vertical="center"/>
    </xf>
    <xf numFmtId="10" fontId="98" fillId="0" borderId="82" xfId="0" applyNumberFormat="1" applyFont="1" applyFill="1" applyBorder="1" applyAlignment="1" applyProtection="1">
      <alignment horizontal="center" vertical="center"/>
    </xf>
    <xf numFmtId="10" fontId="99" fillId="0" borderId="46" xfId="0" applyNumberFormat="1" applyFont="1" applyBorder="1" applyAlignment="1" applyProtection="1">
      <alignment horizontal="center" vertical="center"/>
    </xf>
    <xf numFmtId="10" fontId="99" fillId="0" borderId="82" xfId="0" applyNumberFormat="1" applyFont="1" applyBorder="1" applyAlignment="1" applyProtection="1">
      <alignment horizontal="center" vertical="center"/>
    </xf>
    <xf numFmtId="10" fontId="2" fillId="0" borderId="52" xfId="0" applyNumberFormat="1" applyFont="1" applyBorder="1" applyAlignment="1" applyProtection="1">
      <alignment horizontal="center" vertical="center"/>
    </xf>
    <xf numFmtId="0" fontId="11" fillId="36" borderId="47" xfId="0" applyFont="1" applyFill="1" applyBorder="1" applyAlignment="1" applyProtection="1">
      <alignment vertical="center"/>
    </xf>
    <xf numFmtId="0" fontId="0" fillId="36" borderId="36" xfId="0" applyFont="1" applyFill="1" applyBorder="1" applyAlignment="1" applyProtection="1">
      <alignment horizontal="center" vertical="center"/>
    </xf>
    <xf numFmtId="164" fontId="129" fillId="36" borderId="36" xfId="28" applyFont="1" applyFill="1" applyBorder="1" applyAlignment="1" applyProtection="1">
      <alignment horizontal="center" vertical="center"/>
    </xf>
    <xf numFmtId="164" fontId="11" fillId="36" borderId="36" xfId="28" applyFont="1" applyFill="1" applyBorder="1" applyAlignment="1" applyProtection="1">
      <alignment horizontal="center" vertical="center"/>
    </xf>
    <xf numFmtId="0" fontId="57" fillId="41" borderId="37" xfId="0" applyFont="1" applyFill="1" applyBorder="1" applyAlignment="1" applyProtection="1">
      <alignment horizontal="center" vertical="center"/>
    </xf>
    <xf numFmtId="0" fontId="8" fillId="41" borderId="37" xfId="0" applyFont="1" applyFill="1" applyBorder="1" applyAlignment="1" applyProtection="1">
      <alignment vertical="center"/>
    </xf>
    <xf numFmtId="3" fontId="48" fillId="41" borderId="37" xfId="0" applyNumberFormat="1" applyFont="1" applyFill="1" applyBorder="1" applyAlignment="1" applyProtection="1">
      <alignment horizontal="center" vertical="center"/>
    </xf>
    <xf numFmtId="164" fontId="139" fillId="41" borderId="37" xfId="28" applyFont="1" applyFill="1" applyBorder="1" applyAlignment="1" applyProtection="1">
      <alignment vertical="center"/>
    </xf>
    <xf numFmtId="164" fontId="11" fillId="0" borderId="39" xfId="28" applyFont="1" applyBorder="1" applyProtection="1"/>
    <xf numFmtId="0" fontId="0" fillId="0" borderId="38" xfId="0" applyFont="1" applyBorder="1" applyAlignment="1" applyProtection="1">
      <alignment vertical="center"/>
    </xf>
    <xf numFmtId="22" fontId="98" fillId="0" borderId="0" xfId="0" applyNumberFormat="1" applyFont="1" applyProtection="1"/>
    <xf numFmtId="0" fontId="0" fillId="0" borderId="12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horizontal="right" vertical="center"/>
      <protection locked="0"/>
    </xf>
    <xf numFmtId="4" fontId="68" fillId="0" borderId="0" xfId="0" applyNumberFormat="1" applyFont="1" applyBorder="1" applyAlignment="1" applyProtection="1">
      <alignment horizontal="center" wrapText="1"/>
      <protection locked="0"/>
    </xf>
    <xf numFmtId="4" fontId="52" fillId="0" borderId="0" xfId="0" applyNumberFormat="1" applyFont="1" applyBorder="1" applyAlignment="1" applyProtection="1">
      <protection locked="0"/>
    </xf>
    <xf numFmtId="164" fontId="2" fillId="0" borderId="36" xfId="28" applyFont="1" applyFill="1" applyBorder="1" applyAlignment="1" applyProtection="1">
      <alignment horizontal="center" vertical="center"/>
    </xf>
    <xf numFmtId="164" fontId="0" fillId="0" borderId="36" xfId="0" applyNumberFormat="1" applyFont="1" applyFill="1" applyBorder="1" applyAlignment="1" applyProtection="1">
      <alignment vertical="center"/>
    </xf>
    <xf numFmtId="0" fontId="199" fillId="0" borderId="15" xfId="0" applyFont="1" applyBorder="1" applyAlignment="1">
      <alignment vertical="center"/>
    </xf>
    <xf numFmtId="195" fontId="200" fillId="0" borderId="0" xfId="0" applyNumberFormat="1" applyFont="1" applyAlignment="1" applyProtection="1">
      <alignment horizontal="center"/>
    </xf>
    <xf numFmtId="193" fontId="195" fillId="0" borderId="0" xfId="0" applyNumberFormat="1" applyFont="1" applyAlignment="1" applyProtection="1">
      <alignment horizontal="right"/>
    </xf>
    <xf numFmtId="194" fontId="195" fillId="0" borderId="0" xfId="0" applyNumberFormat="1" applyFont="1" applyProtection="1"/>
    <xf numFmtId="195" fontId="0" fillId="0" borderId="10" xfId="0" applyNumberFormat="1" applyBorder="1" applyAlignment="1" applyProtection="1">
      <alignment horizontal="center"/>
    </xf>
    <xf numFmtId="193" fontId="201" fillId="0" borderId="10" xfId="0" applyNumberFormat="1" applyFont="1" applyBorder="1" applyAlignment="1" applyProtection="1">
      <alignment horizontal="right"/>
    </xf>
    <xf numFmtId="194" fontId="201" fillId="0" borderId="10" xfId="0" applyNumberFormat="1" applyFont="1" applyBorder="1" applyProtection="1"/>
    <xf numFmtId="2" fontId="202" fillId="41" borderId="15" xfId="0" applyNumberFormat="1" applyFont="1" applyFill="1" applyBorder="1" applyProtection="1"/>
    <xf numFmtId="0" fontId="203" fillId="0" borderId="0" xfId="0" applyFont="1" applyBorder="1" applyAlignment="1" applyProtection="1">
      <protection locked="0"/>
    </xf>
    <xf numFmtId="165" fontId="166" fillId="28" borderId="28" xfId="0" applyNumberFormat="1" applyFont="1" applyFill="1" applyBorder="1" applyProtection="1">
      <protection locked="0"/>
    </xf>
    <xf numFmtId="0" fontId="98" fillId="0" borderId="10" xfId="0" applyFont="1" applyBorder="1" applyAlignment="1">
      <alignment vertical="center" wrapText="1"/>
    </xf>
    <xf numFmtId="0" fontId="98" fillId="25" borderId="15" xfId="0" applyFont="1" applyFill="1" applyBorder="1" applyAlignment="1">
      <alignment vertical="center"/>
    </xf>
    <xf numFmtId="0" fontId="98" fillId="25" borderId="14" xfId="0" applyFont="1" applyFill="1" applyBorder="1" applyAlignment="1">
      <alignment vertical="center"/>
    </xf>
    <xf numFmtId="0" fontId="11" fillId="71" borderId="20" xfId="0" applyFont="1" applyFill="1" applyBorder="1" applyAlignment="1" applyProtection="1">
      <alignment vertical="center"/>
    </xf>
    <xf numFmtId="0" fontId="0" fillId="70" borderId="62" xfId="0" applyFont="1" applyFill="1" applyBorder="1" applyAlignment="1" applyProtection="1">
      <alignment horizontal="left" vertical="center"/>
    </xf>
    <xf numFmtId="0" fontId="11" fillId="71" borderId="15" xfId="0" applyFont="1" applyFill="1" applyBorder="1" applyAlignment="1" applyProtection="1">
      <alignment vertical="center"/>
    </xf>
    <xf numFmtId="0" fontId="0" fillId="70" borderId="28" xfId="0" applyFont="1" applyFill="1" applyBorder="1" applyAlignment="1" applyProtection="1">
      <alignment horizontal="left" vertical="center" wrapText="1"/>
    </xf>
    <xf numFmtId="3" fontId="0" fillId="70" borderId="28" xfId="0" applyNumberFormat="1" applyFont="1" applyFill="1" applyBorder="1" applyAlignment="1" applyProtection="1">
      <alignment horizontal="left" vertical="center"/>
    </xf>
    <xf numFmtId="39" fontId="0" fillId="70" borderId="28" xfId="28" applyNumberFormat="1" applyFont="1" applyFill="1" applyBorder="1" applyAlignment="1" applyProtection="1">
      <alignment horizontal="left" vertical="center"/>
    </xf>
    <xf numFmtId="0" fontId="11" fillId="71" borderId="14" xfId="0" applyFont="1" applyFill="1" applyBorder="1" applyAlignment="1" applyProtection="1">
      <alignment vertical="center"/>
    </xf>
    <xf numFmtId="39" fontId="0" fillId="70" borderId="29" xfId="28" applyNumberFormat="1" applyFont="1" applyFill="1" applyBorder="1" applyAlignment="1" applyProtection="1">
      <alignment horizontal="left" vertical="center"/>
    </xf>
    <xf numFmtId="0" fontId="145" fillId="0" borderId="14" xfId="0" applyFont="1" applyBorder="1" applyAlignment="1">
      <alignment vertical="center"/>
    </xf>
    <xf numFmtId="0" fontId="145" fillId="0" borderId="15" xfId="0" applyFont="1" applyBorder="1" applyAlignment="1">
      <alignment vertical="center"/>
    </xf>
    <xf numFmtId="16" fontId="25" fillId="28" borderId="84" xfId="0" applyNumberFormat="1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/>
      <protection locked="0"/>
    </xf>
    <xf numFmtId="179" fontId="11" fillId="82" borderId="15" xfId="0" applyNumberFormat="1" applyFont="1" applyFill="1" applyBorder="1" applyAlignment="1" applyProtection="1">
      <alignment horizontal="right"/>
    </xf>
    <xf numFmtId="182" fontId="11" fillId="82" borderId="15" xfId="0" applyNumberFormat="1" applyFont="1" applyFill="1" applyBorder="1" applyAlignment="1" applyProtection="1">
      <alignment horizontal="right"/>
    </xf>
    <xf numFmtId="183" fontId="11" fillId="82" borderId="15" xfId="0" applyNumberFormat="1" applyFont="1" applyFill="1" applyBorder="1" applyAlignment="1" applyProtection="1">
      <alignment horizontal="right"/>
    </xf>
    <xf numFmtId="164" fontId="11" fillId="82" borderId="15" xfId="28" applyFont="1" applyFill="1" applyBorder="1" applyAlignment="1" applyProtection="1">
      <alignment horizontal="right"/>
    </xf>
    <xf numFmtId="0" fontId="0" fillId="50" borderId="10" xfId="0" applyFont="1" applyFill="1" applyBorder="1" applyProtection="1">
      <protection locked="0"/>
    </xf>
    <xf numFmtId="0" fontId="0" fillId="38" borderId="10" xfId="0" applyFont="1" applyFill="1" applyBorder="1" applyProtection="1">
      <protection locked="0"/>
    </xf>
    <xf numFmtId="9" fontId="47" fillId="0" borderId="36" xfId="0" applyNumberFormat="1" applyFont="1" applyFill="1" applyBorder="1" applyAlignment="1" applyProtection="1">
      <alignment horizontal="center" vertical="center"/>
    </xf>
    <xf numFmtId="164" fontId="42" fillId="0" borderId="36" xfId="0" applyNumberFormat="1" applyFont="1" applyFill="1" applyBorder="1" applyAlignment="1" applyProtection="1">
      <alignment vertical="center"/>
    </xf>
    <xf numFmtId="0" fontId="199" fillId="0" borderId="47" xfId="0" applyFont="1" applyFill="1" applyBorder="1" applyAlignment="1" applyProtection="1">
      <alignment vertical="center"/>
    </xf>
    <xf numFmtId="164" fontId="0" fillId="71" borderId="38" xfId="0" applyNumberFormat="1" applyFont="1" applyFill="1" applyBorder="1" applyAlignment="1" applyProtection="1">
      <alignment vertical="center"/>
      <protection locked="0"/>
    </xf>
    <xf numFmtId="164" fontId="0" fillId="71" borderId="36" xfId="0" applyNumberFormat="1" applyFont="1" applyFill="1" applyBorder="1" applyAlignment="1" applyProtection="1">
      <alignment vertical="center"/>
      <protection locked="0"/>
    </xf>
    <xf numFmtId="164" fontId="0" fillId="71" borderId="37" xfId="0" applyNumberFormat="1" applyFont="1" applyFill="1" applyBorder="1" applyAlignment="1" applyProtection="1">
      <alignment vertical="center"/>
      <protection locked="0"/>
    </xf>
    <xf numFmtId="164" fontId="2" fillId="0" borderId="36" xfId="0" applyNumberFormat="1" applyFont="1" applyFill="1" applyBorder="1" applyAlignment="1" applyProtection="1">
      <alignment vertical="center"/>
    </xf>
    <xf numFmtId="3" fontId="100" fillId="28" borderId="20" xfId="46" applyNumberFormat="1" applyFont="1" applyFill="1" applyBorder="1" applyAlignment="1" applyProtection="1">
      <alignment horizontal="center" vertical="center" wrapText="1"/>
      <protection locked="0" hidden="1"/>
    </xf>
    <xf numFmtId="0" fontId="0" fillId="70" borderId="15" xfId="0" applyFill="1" applyBorder="1" applyAlignment="1" applyProtection="1">
      <alignment vertical="center"/>
      <protection locked="0"/>
    </xf>
    <xf numFmtId="0" fontId="0" fillId="70" borderId="14" xfId="0" applyFill="1" applyBorder="1" applyAlignment="1" applyProtection="1">
      <alignment vertical="center" wrapText="1"/>
      <protection locked="0"/>
    </xf>
    <xf numFmtId="0" fontId="39" fillId="0" borderId="0" xfId="0" applyFont="1" applyFill="1" applyAlignment="1"/>
    <xf numFmtId="0" fontId="62" fillId="0" borderId="0" xfId="0" applyFont="1" applyFill="1" applyAlignment="1"/>
    <xf numFmtId="4" fontId="104" fillId="70" borderId="10" xfId="45" applyNumberFormat="1" applyFont="1" applyFill="1" applyBorder="1" applyAlignment="1">
      <alignment horizontal="right" vertical="center" wrapText="1"/>
    </xf>
    <xf numFmtId="4" fontId="102" fillId="70" borderId="10" xfId="45" applyNumberFormat="1" applyFont="1" applyFill="1" applyBorder="1" applyAlignment="1" applyProtection="1">
      <alignment horizontal="right" vertical="center" wrapText="1"/>
      <protection hidden="1"/>
    </xf>
    <xf numFmtId="4" fontId="102" fillId="70" borderId="10" xfId="45" applyNumberFormat="1" applyFont="1" applyFill="1" applyBorder="1" applyAlignment="1">
      <alignment horizontal="right" vertical="center" wrapText="1"/>
    </xf>
    <xf numFmtId="4" fontId="101" fillId="70" borderId="10" xfId="45" applyNumberFormat="1" applyFont="1" applyFill="1" applyBorder="1" applyAlignment="1">
      <alignment horizontal="right" vertical="center" wrapText="1"/>
    </xf>
    <xf numFmtId="4" fontId="102" fillId="70" borderId="10" xfId="45" applyNumberFormat="1" applyFont="1" applyFill="1" applyBorder="1" applyAlignment="1" applyProtection="1">
      <alignment horizontal="right" vertical="center" wrapText="1"/>
      <protection locked="0"/>
    </xf>
    <xf numFmtId="164" fontId="11" fillId="37" borderId="15" xfId="28" applyFont="1" applyFill="1" applyBorder="1" applyAlignment="1" applyProtection="1">
      <alignment horizontal="right"/>
    </xf>
    <xf numFmtId="196" fontId="11" fillId="37" borderId="15" xfId="0" applyNumberFormat="1" applyFont="1" applyFill="1" applyBorder="1" applyAlignment="1" applyProtection="1">
      <alignment horizontal="right"/>
    </xf>
    <xf numFmtId="180" fontId="11" fillId="37" borderId="15" xfId="0" applyNumberFormat="1" applyFont="1" applyFill="1" applyBorder="1" applyProtection="1"/>
    <xf numFmtId="2" fontId="202" fillId="37" borderId="15" xfId="0" applyNumberFormat="1" applyFont="1" applyFill="1" applyBorder="1" applyProtection="1"/>
    <xf numFmtId="0" fontId="0" fillId="71" borderId="10" xfId="0" applyFill="1" applyBorder="1" applyProtection="1">
      <protection locked="0"/>
    </xf>
    <xf numFmtId="0" fontId="0" fillId="0" borderId="10" xfId="0" applyBorder="1" applyAlignment="1" applyProtection="1">
      <alignment horizontal="center"/>
    </xf>
    <xf numFmtId="0" fontId="0" fillId="71" borderId="10" xfId="0" applyFill="1" applyBorder="1" applyAlignment="1" applyProtection="1">
      <alignment horizontal="center"/>
      <protection locked="0"/>
    </xf>
    <xf numFmtId="179" fontId="11" fillId="37" borderId="15" xfId="0" applyNumberFormat="1" applyFont="1" applyFill="1" applyBorder="1" applyAlignment="1" applyProtection="1">
      <alignment horizontal="right"/>
    </xf>
    <xf numFmtId="0" fontId="10" fillId="0" borderId="10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10" xfId="0" applyFont="1" applyBorder="1" applyAlignment="1">
      <alignment vertical="center"/>
    </xf>
    <xf numFmtId="0" fontId="101" fillId="0" borderId="10" xfId="0" applyFont="1" applyBorder="1" applyAlignment="1">
      <alignment horizontal="center" vertical="center" wrapText="1"/>
    </xf>
    <xf numFmtId="0" fontId="101" fillId="0" borderId="10" xfId="45" applyFont="1" applyBorder="1" applyAlignment="1">
      <alignment horizontal="center" vertical="center" wrapText="1"/>
    </xf>
    <xf numFmtId="49" fontId="0" fillId="0" borderId="0" xfId="48" applyNumberFormat="1" applyFont="1" applyFill="1" applyBorder="1" applyAlignment="1" applyProtection="1">
      <alignment horizontal="left" vertical="center"/>
      <protection locked="0"/>
    </xf>
    <xf numFmtId="164" fontId="11" fillId="41" borderId="15" xfId="28" applyFont="1" applyFill="1" applyBorder="1" applyAlignment="1" applyProtection="1">
      <alignment horizontal="right"/>
    </xf>
    <xf numFmtId="49" fontId="207" fillId="0" borderId="0" xfId="0" applyNumberFormat="1" applyFont="1" applyFill="1" applyBorder="1" applyAlignment="1">
      <alignment horizontal="center" vertical="center"/>
    </xf>
    <xf numFmtId="0" fontId="156" fillId="0" borderId="0" xfId="45" applyFont="1" applyAlignment="1">
      <alignment horizontal="center"/>
    </xf>
    <xf numFmtId="0" fontId="156" fillId="38" borderId="0" xfId="0" applyFont="1" applyFill="1" applyAlignment="1">
      <alignment horizontal="center" vertical="center"/>
    </xf>
    <xf numFmtId="0" fontId="208" fillId="36" borderId="10" xfId="45" applyNumberFormat="1" applyFont="1" applyFill="1" applyBorder="1" applyAlignment="1">
      <alignment horizontal="left" vertical="center" wrapText="1"/>
    </xf>
    <xf numFmtId="1" fontId="104" fillId="25" borderId="73" xfId="45" applyNumberFormat="1" applyFont="1" applyFill="1" applyBorder="1" applyAlignment="1">
      <alignment horizontal="center" vertical="center"/>
    </xf>
    <xf numFmtId="0" fontId="209" fillId="36" borderId="10" xfId="45" applyFont="1" applyFill="1" applyBorder="1" applyAlignment="1">
      <alignment horizontal="center" vertical="center" wrapText="1"/>
    </xf>
    <xf numFmtId="0" fontId="210" fillId="0" borderId="0" xfId="0" applyFont="1" applyAlignment="1">
      <alignment vertical="center"/>
    </xf>
    <xf numFmtId="0" fontId="210" fillId="0" borderId="0" xfId="0" applyFont="1" applyAlignment="1" applyProtection="1">
      <alignment vertical="center"/>
    </xf>
    <xf numFmtId="0" fontId="210" fillId="0" borderId="0" xfId="0" applyFont="1" applyFill="1" applyBorder="1" applyAlignment="1">
      <alignment vertical="center"/>
    </xf>
    <xf numFmtId="0" fontId="210" fillId="0" borderId="0" xfId="0" applyFont="1" applyAlignment="1">
      <alignment horizontal="center" vertical="center"/>
    </xf>
    <xf numFmtId="0" fontId="210" fillId="0" borderId="0" xfId="0" applyFont="1" applyFill="1" applyAlignment="1">
      <alignment horizontal="center" vertical="center"/>
    </xf>
    <xf numFmtId="0" fontId="210" fillId="0" borderId="0" xfId="0" applyFont="1" applyFill="1" applyAlignment="1">
      <alignment vertical="center"/>
    </xf>
    <xf numFmtId="0" fontId="210" fillId="0" borderId="27" xfId="0" applyFont="1" applyBorder="1" applyAlignment="1">
      <alignment vertical="center"/>
    </xf>
    <xf numFmtId="165" fontId="106" fillId="25" borderId="10" xfId="45" applyNumberFormat="1" applyFont="1" applyFill="1" applyBorder="1" applyAlignment="1" applyProtection="1">
      <alignment horizontal="right" vertical="center" wrapText="1"/>
    </xf>
    <xf numFmtId="0" fontId="159" fillId="44" borderId="10" xfId="45" applyNumberFormat="1" applyFont="1" applyFill="1" applyBorder="1" applyAlignment="1">
      <alignment horizontal="left" vertical="center" wrapText="1"/>
    </xf>
    <xf numFmtId="0" fontId="104" fillId="25" borderId="10" xfId="45" applyNumberFormat="1" applyFont="1" applyFill="1" applyBorder="1" applyAlignment="1">
      <alignment horizontal="center" vertical="top" wrapText="1"/>
    </xf>
    <xf numFmtId="178" fontId="109" fillId="39" borderId="10" xfId="45" applyNumberFormat="1" applyFont="1" applyFill="1" applyBorder="1" applyAlignment="1">
      <alignment horizontal="center" vertical="center" wrapText="1"/>
    </xf>
    <xf numFmtId="0" fontId="159" fillId="50" borderId="10" xfId="45" applyNumberFormat="1" applyFont="1" applyFill="1" applyBorder="1" applyAlignment="1">
      <alignment horizontal="left" vertical="center" wrapText="1"/>
    </xf>
    <xf numFmtId="0" fontId="159" fillId="72" borderId="10" xfId="45" applyNumberFormat="1" applyFont="1" applyFill="1" applyBorder="1" applyAlignment="1">
      <alignment horizontal="left" vertical="center" wrapText="1"/>
    </xf>
    <xf numFmtId="0" fontId="101" fillId="0" borderId="10" xfId="46" applyNumberFormat="1" applyFont="1" applyBorder="1" applyAlignment="1">
      <alignment horizontal="center" vertical="center" wrapText="1"/>
    </xf>
    <xf numFmtId="165" fontId="159" fillId="25" borderId="10" xfId="45" applyNumberFormat="1" applyFont="1" applyFill="1" applyBorder="1" applyAlignment="1">
      <alignment horizontal="center" vertical="center" wrapText="1"/>
    </xf>
    <xf numFmtId="0" fontId="104" fillId="39" borderId="10" xfId="45" applyNumberFormat="1" applyFont="1" applyFill="1" applyBorder="1" applyAlignment="1" applyProtection="1">
      <alignment horizontal="center" vertical="center" wrapText="1"/>
      <protection locked="0" hidden="1"/>
    </xf>
    <xf numFmtId="3" fontId="100" fillId="51" borderId="20" xfId="46" applyNumberFormat="1" applyFont="1" applyFill="1" applyBorder="1" applyAlignment="1" applyProtection="1">
      <alignment horizontal="center" vertical="center" wrapText="1"/>
      <protection locked="0"/>
    </xf>
    <xf numFmtId="0" fontId="109" fillId="39" borderId="10" xfId="45" applyNumberFormat="1" applyFont="1" applyFill="1" applyBorder="1" applyAlignment="1" applyProtection="1">
      <alignment horizontal="center" vertical="center" wrapText="1"/>
      <protection locked="0" hidden="1"/>
    </xf>
    <xf numFmtId="0" fontId="159" fillId="0" borderId="10" xfId="45" applyNumberFormat="1" applyFont="1" applyFill="1" applyBorder="1" applyAlignment="1" applyProtection="1">
      <alignment horizontal="left" vertical="center" wrapText="1"/>
      <protection locked="0"/>
    </xf>
    <xf numFmtId="165" fontId="104" fillId="0" borderId="10" xfId="45" applyNumberFormat="1" applyFont="1" applyFill="1" applyBorder="1" applyAlignment="1" applyProtection="1">
      <alignment horizontal="center" vertical="center" wrapText="1"/>
      <protection locked="0"/>
    </xf>
    <xf numFmtId="0" fontId="102" fillId="0" borderId="10" xfId="45" applyNumberFormat="1" applyFont="1" applyFill="1" applyBorder="1" applyAlignment="1" applyProtection="1">
      <alignment horizontal="center" vertical="center" wrapText="1"/>
      <protection locked="0"/>
    </xf>
    <xf numFmtId="0" fontId="104" fillId="0" borderId="10" xfId="45" applyNumberFormat="1" applyFont="1" applyFill="1" applyBorder="1" applyAlignment="1" applyProtection="1">
      <alignment horizontal="center" vertical="center" wrapText="1"/>
      <protection locked="0"/>
    </xf>
    <xf numFmtId="165" fontId="106" fillId="0" borderId="10" xfId="45" applyNumberFormat="1" applyFont="1" applyFill="1" applyBorder="1" applyAlignment="1" applyProtection="1">
      <alignment horizontal="right" vertical="center" wrapText="1"/>
      <protection locked="0"/>
    </xf>
    <xf numFmtId="4" fontId="102" fillId="70" borderId="10" xfId="45" applyNumberFormat="1" applyFont="1" applyFill="1" applyBorder="1" applyAlignment="1" applyProtection="1">
      <alignment horizontal="right" vertical="center" wrapText="1"/>
    </xf>
    <xf numFmtId="0" fontId="0" fillId="0" borderId="14" xfId="0" applyBorder="1" applyAlignment="1">
      <alignment horizontal="center" vertical="center"/>
    </xf>
    <xf numFmtId="178" fontId="109" fillId="40" borderId="10" xfId="45" applyNumberFormat="1" applyFont="1" applyFill="1" applyBorder="1" applyAlignment="1">
      <alignment horizontal="center" vertical="center" wrapText="1"/>
    </xf>
    <xf numFmtId="0" fontId="159" fillId="83" borderId="10" xfId="45" applyNumberFormat="1" applyFont="1" applyFill="1" applyBorder="1" applyAlignment="1">
      <alignment horizontal="left" vertical="center" wrapText="1"/>
    </xf>
    <xf numFmtId="0" fontId="211" fillId="39" borderId="10" xfId="45" applyNumberFormat="1" applyFon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109" fillId="39" borderId="10" xfId="45" applyNumberFormat="1" applyFont="1" applyFill="1" applyBorder="1" applyAlignment="1">
      <alignment horizontal="center" vertical="center" wrapText="1"/>
    </xf>
    <xf numFmtId="0" fontId="162" fillId="0" borderId="0" xfId="0" applyFont="1" applyAlignment="1">
      <alignment horizontal="center" vertical="center"/>
    </xf>
    <xf numFmtId="178" fontId="212" fillId="36" borderId="10" xfId="45" applyNumberFormat="1" applyFont="1" applyFill="1" applyBorder="1" applyAlignment="1">
      <alignment horizontal="center" vertical="center" wrapText="1"/>
    </xf>
    <xf numFmtId="178" fontId="213" fillId="52" borderId="10" xfId="45" applyNumberFormat="1" applyFont="1" applyFill="1" applyBorder="1" applyAlignment="1">
      <alignment horizontal="center" vertical="center" wrapText="1"/>
    </xf>
    <xf numFmtId="0" fontId="213" fillId="52" borderId="10" xfId="45" applyFont="1" applyFill="1" applyBorder="1" applyAlignment="1">
      <alignment horizontal="center" vertical="center" wrapText="1"/>
    </xf>
    <xf numFmtId="0" fontId="98" fillId="0" borderId="0" xfId="0" applyFont="1" applyFill="1" applyAlignment="1">
      <alignment vertical="center"/>
    </xf>
    <xf numFmtId="0" fontId="98" fillId="0" borderId="0" xfId="0" applyFont="1" applyFill="1" applyBorder="1" applyAlignment="1">
      <alignment horizontal="center" vertical="center" wrapText="1"/>
    </xf>
    <xf numFmtId="0" fontId="98" fillId="0" borderId="0" xfId="0" applyFont="1" applyBorder="1" applyAlignment="1">
      <alignment horizontal="center" vertical="center" wrapText="1"/>
    </xf>
    <xf numFmtId="3" fontId="98" fillId="0" borderId="0" xfId="0" applyNumberFormat="1" applyFont="1" applyFill="1" applyBorder="1" applyAlignment="1">
      <alignment vertical="center"/>
    </xf>
    <xf numFmtId="4" fontId="98" fillId="0" borderId="0" xfId="0" applyNumberFormat="1" applyFont="1" applyFill="1" applyBorder="1" applyAlignment="1" applyProtection="1">
      <alignment vertical="center"/>
      <protection locked="0"/>
    </xf>
    <xf numFmtId="4" fontId="98" fillId="0" borderId="0" xfId="0" applyNumberFormat="1" applyFont="1" applyBorder="1" applyAlignment="1">
      <alignment vertical="center"/>
    </xf>
    <xf numFmtId="3" fontId="98" fillId="0" borderId="0" xfId="0" quotePrefix="1" applyNumberFormat="1" applyFont="1" applyFill="1" applyBorder="1"/>
    <xf numFmtId="3" fontId="98" fillId="0" borderId="0" xfId="0" applyNumberFormat="1" applyFont="1" applyFill="1" applyBorder="1" applyAlignment="1" applyProtection="1">
      <alignment vertical="center"/>
    </xf>
    <xf numFmtId="196" fontId="11" fillId="41" borderId="15" xfId="0" applyNumberFormat="1" applyFont="1" applyFill="1" applyBorder="1" applyAlignment="1" applyProtection="1">
      <alignment horizontal="right"/>
    </xf>
    <xf numFmtId="2" fontId="0" fillId="41" borderId="84" xfId="0" applyNumberFormat="1" applyFill="1" applyBorder="1" applyProtection="1"/>
    <xf numFmtId="2" fontId="0" fillId="41" borderId="45" xfId="0" applyNumberFormat="1" applyFill="1" applyBorder="1" applyProtection="1"/>
    <xf numFmtId="2" fontId="0" fillId="41" borderId="63" xfId="0" applyNumberFormat="1" applyFill="1" applyBorder="1" applyProtection="1"/>
    <xf numFmtId="189" fontId="11" fillId="41" borderId="15" xfId="28" applyNumberFormat="1" applyFont="1" applyFill="1" applyBorder="1" applyAlignment="1" applyProtection="1">
      <alignment horizontal="right"/>
    </xf>
    <xf numFmtId="178" fontId="209" fillId="36" borderId="10" xfId="45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 applyProtection="1">
      <alignment horizontal="left"/>
      <protection locked="0"/>
    </xf>
    <xf numFmtId="49" fontId="0" fillId="0" borderId="0" xfId="0" applyNumberFormat="1" applyAlignment="1">
      <alignment vertical="center"/>
    </xf>
    <xf numFmtId="0" fontId="100" fillId="0" borderId="0" xfId="0" applyFont="1" applyBorder="1" applyAlignment="1" applyProtection="1">
      <alignment wrapText="1"/>
      <protection locked="0"/>
    </xf>
    <xf numFmtId="0" fontId="59" fillId="0" borderId="0" xfId="0" applyFont="1" applyBorder="1" applyAlignment="1" applyProtection="1">
      <alignment wrapText="1"/>
      <protection locked="0"/>
    </xf>
    <xf numFmtId="0" fontId="0" fillId="0" borderId="0" xfId="0" applyFont="1" applyFill="1" applyBorder="1" applyAlignment="1" applyProtection="1">
      <protection locked="0"/>
    </xf>
    <xf numFmtId="0" fontId="11" fillId="0" borderId="0" xfId="0" applyFont="1" applyFill="1" applyBorder="1" applyAlignment="1" applyProtection="1">
      <protection locked="0"/>
    </xf>
    <xf numFmtId="0" fontId="0" fillId="0" borderId="27" xfId="0" applyBorder="1" applyAlignment="1" applyProtection="1">
      <protection locked="0"/>
    </xf>
    <xf numFmtId="0" fontId="0" fillId="0" borderId="27" xfId="0" applyBorder="1" applyProtection="1"/>
    <xf numFmtId="0" fontId="0" fillId="0" borderId="20" xfId="0" applyBorder="1" applyAlignment="1" applyProtection="1">
      <protection locked="0"/>
    </xf>
    <xf numFmtId="0" fontId="11" fillId="49" borderId="15" xfId="0" applyFont="1" applyFill="1" applyBorder="1" applyAlignment="1" applyProtection="1">
      <protection locked="0"/>
    </xf>
    <xf numFmtId="0" fontId="0" fillId="0" borderId="14" xfId="0" applyFill="1" applyBorder="1" applyAlignment="1" applyProtection="1">
      <protection locked="0"/>
    </xf>
    <xf numFmtId="0" fontId="203" fillId="0" borderId="27" xfId="0" applyFont="1" applyBorder="1" applyAlignment="1" applyProtection="1">
      <protection locked="0"/>
    </xf>
    <xf numFmtId="0" fontId="204" fillId="0" borderId="27" xfId="0" applyFont="1" applyBorder="1" applyAlignment="1" applyProtection="1">
      <protection locked="0"/>
    </xf>
    <xf numFmtId="0" fontId="11" fillId="0" borderId="27" xfId="0" applyFont="1" applyBorder="1" applyAlignment="1" applyProtection="1"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0" borderId="22" xfId="0" applyFill="1" applyBorder="1" applyAlignment="1" applyProtection="1">
      <alignment horizontal="left" vertical="center"/>
      <protection locked="0"/>
    </xf>
    <xf numFmtId="0" fontId="0" fillId="0" borderId="23" xfId="0" applyFill="1" applyBorder="1" applyAlignment="1" applyProtection="1">
      <alignment horizontal="left" vertical="center"/>
      <protection locked="0"/>
    </xf>
    <xf numFmtId="0" fontId="100" fillId="0" borderId="20" xfId="0" applyFont="1" applyBorder="1" applyAlignment="1" applyProtection="1">
      <alignment horizontal="left" vertical="center" wrapText="1"/>
      <protection locked="0"/>
    </xf>
    <xf numFmtId="0" fontId="100" fillId="0" borderId="14" xfId="0" applyFont="1" applyBorder="1" applyAlignment="1" applyProtection="1">
      <alignment horizontal="left" vertical="center" wrapText="1"/>
      <protection locked="0"/>
    </xf>
    <xf numFmtId="0" fontId="59" fillId="0" borderId="20" xfId="0" applyFont="1" applyBorder="1" applyAlignment="1" applyProtection="1">
      <alignment horizontal="left" vertical="center" wrapText="1"/>
      <protection locked="0"/>
    </xf>
    <xf numFmtId="0" fontId="59" fillId="0" borderId="15" xfId="0" applyFont="1" applyBorder="1" applyAlignment="1" applyProtection="1">
      <alignment horizontal="left" vertical="center" wrapText="1"/>
      <protection locked="0"/>
    </xf>
    <xf numFmtId="0" fontId="59" fillId="0" borderId="14" xfId="0" applyFont="1" applyBorder="1" applyAlignment="1" applyProtection="1">
      <alignment horizontal="left" vertical="center" wrapText="1"/>
      <protection locked="0"/>
    </xf>
    <xf numFmtId="0" fontId="0" fillId="0" borderId="10" xfId="0" applyFill="1" applyBorder="1" applyAlignment="1" applyProtection="1">
      <alignment horizontal="left" vertical="center"/>
      <protection locked="0"/>
    </xf>
    <xf numFmtId="0" fontId="0" fillId="0" borderId="20" xfId="0" applyFill="1" applyBorder="1" applyAlignment="1" applyProtection="1">
      <alignment horizontal="left" vertical="center"/>
      <protection locked="0"/>
    </xf>
    <xf numFmtId="0" fontId="0" fillId="0" borderId="15" xfId="0" applyFill="1" applyBorder="1" applyAlignment="1" applyProtection="1">
      <alignment horizontal="left" vertical="center"/>
      <protection locked="0"/>
    </xf>
    <xf numFmtId="0" fontId="0" fillId="0" borderId="15" xfId="0" applyFont="1" applyFill="1" applyBorder="1" applyAlignment="1" applyProtection="1">
      <alignment horizontal="left" vertical="center"/>
      <protection locked="0"/>
    </xf>
    <xf numFmtId="0" fontId="0" fillId="0" borderId="14" xfId="0" applyFont="1" applyFill="1" applyBorder="1" applyAlignment="1" applyProtection="1">
      <alignment horizontal="left" vertical="center"/>
      <protection locked="0"/>
    </xf>
    <xf numFmtId="1" fontId="0" fillId="0" borderId="14" xfId="0" applyNumberFormat="1" applyBorder="1" applyAlignment="1" applyProtection="1">
      <alignment horizontal="left" vertical="center"/>
      <protection locked="0"/>
    </xf>
    <xf numFmtId="0" fontId="0" fillId="0" borderId="13" xfId="0" applyFill="1" applyBorder="1" applyAlignment="1" applyProtection="1">
      <alignment horizontal="left" vertical="center"/>
      <protection locked="0"/>
    </xf>
    <xf numFmtId="0" fontId="0" fillId="0" borderId="20" xfId="0" applyBorder="1" applyAlignment="1" applyProtection="1">
      <alignment horizontal="left" vertical="center"/>
      <protection locked="0"/>
    </xf>
    <xf numFmtId="0" fontId="0" fillId="0" borderId="15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24" borderId="23" xfId="0" applyFill="1" applyBorder="1" applyAlignment="1" applyProtection="1">
      <alignment horizontal="left" vertical="center"/>
      <protection locked="0"/>
    </xf>
    <xf numFmtId="0" fontId="11" fillId="0" borderId="20" xfId="0" applyFont="1" applyBorder="1" applyAlignment="1" applyProtection="1">
      <alignment horizontal="center" vertical="center" wrapText="1"/>
      <protection locked="0"/>
    </xf>
    <xf numFmtId="0" fontId="100" fillId="0" borderId="0" xfId="0" applyFont="1" applyFill="1" applyAlignment="1" applyProtection="1">
      <alignment horizontal="center" vertical="center"/>
      <protection locked="0"/>
    </xf>
    <xf numFmtId="49" fontId="100" fillId="0" borderId="0" xfId="0" applyNumberFormat="1" applyFont="1" applyFill="1" applyBorder="1" applyAlignment="1" applyProtection="1">
      <alignment horizontal="center" vertical="center"/>
      <protection locked="0"/>
    </xf>
    <xf numFmtId="0" fontId="100" fillId="0" borderId="0" xfId="45" applyFont="1" applyAlignment="1" applyProtection="1">
      <alignment horizontal="center" vertical="center"/>
      <protection locked="0"/>
    </xf>
    <xf numFmtId="0" fontId="101" fillId="0" borderId="0" xfId="45" applyFont="1" applyAlignment="1" applyProtection="1">
      <alignment horizontal="center" vertical="center"/>
      <protection locked="0"/>
    </xf>
    <xf numFmtId="0" fontId="101" fillId="0" borderId="10" xfId="46" applyNumberFormat="1" applyFont="1" applyFill="1" applyBorder="1" applyAlignment="1" applyProtection="1">
      <alignment horizontal="center" vertical="center" wrapText="1"/>
      <protection locked="0"/>
    </xf>
    <xf numFmtId="0" fontId="157" fillId="41" borderId="10" xfId="45" applyNumberFormat="1" applyFont="1" applyFill="1" applyBorder="1" applyAlignment="1">
      <alignment horizontal="left" vertical="center" wrapText="1"/>
    </xf>
    <xf numFmtId="0" fontId="160" fillId="41" borderId="10" xfId="45" applyNumberFormat="1" applyFont="1" applyFill="1" applyBorder="1" applyAlignment="1">
      <alignment horizontal="left" vertical="center" wrapText="1"/>
    </xf>
    <xf numFmtId="0" fontId="11" fillId="0" borderId="10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4" fontId="109" fillId="39" borderId="10" xfId="45" applyNumberFormat="1" applyFont="1" applyFill="1" applyBorder="1" applyAlignment="1">
      <alignment horizontal="right" vertical="center" wrapText="1"/>
    </xf>
    <xf numFmtId="0" fontId="215" fillId="0" borderId="0" xfId="45" applyFont="1" applyAlignment="1">
      <alignment horizontal="left"/>
    </xf>
    <xf numFmtId="4" fontId="52" fillId="25" borderId="10" xfId="0" applyNumberFormat="1" applyFont="1" applyFill="1" applyBorder="1" applyAlignment="1">
      <alignment horizontal="right" vertical="center"/>
    </xf>
    <xf numFmtId="49" fontId="100" fillId="0" borderId="0" xfId="0" applyNumberFormat="1" applyFont="1" applyFill="1" applyBorder="1" applyAlignment="1">
      <alignment horizontal="center" vertical="center" wrapText="1"/>
    </xf>
    <xf numFmtId="190" fontId="100" fillId="0" borderId="0" xfId="0" applyNumberFormat="1" applyFont="1" applyFill="1" applyBorder="1" applyAlignment="1">
      <alignment horizontal="center" vertical="center" wrapText="1"/>
    </xf>
    <xf numFmtId="0" fontId="101" fillId="0" borderId="0" xfId="45" applyFont="1" applyAlignment="1">
      <alignment horizontal="center" vertical="center"/>
    </xf>
    <xf numFmtId="2" fontId="101" fillId="0" borderId="0" xfId="45" applyNumberFormat="1" applyFont="1" applyAlignment="1">
      <alignment horizontal="right" vertical="center"/>
    </xf>
    <xf numFmtId="0" fontId="100" fillId="50" borderId="0" xfId="45" applyFont="1" applyFill="1" applyAlignment="1">
      <alignment horizontal="center" vertical="center"/>
    </xf>
    <xf numFmtId="2" fontId="100" fillId="50" borderId="0" xfId="45" applyNumberFormat="1" applyFont="1" applyFill="1" applyAlignment="1">
      <alignment horizontal="left" vertical="center"/>
    </xf>
    <xf numFmtId="9" fontId="100" fillId="50" borderId="0" xfId="45" applyNumberFormat="1" applyFont="1" applyFill="1" applyAlignment="1">
      <alignment horizontal="center" vertical="center"/>
    </xf>
    <xf numFmtId="0" fontId="100" fillId="68" borderId="0" xfId="45" applyFont="1" applyFill="1" applyAlignment="1">
      <alignment horizontal="center" vertical="center"/>
    </xf>
    <xf numFmtId="2" fontId="100" fillId="68" borderId="0" xfId="45" applyNumberFormat="1" applyFont="1" applyFill="1" applyAlignment="1">
      <alignment horizontal="left" vertical="center"/>
    </xf>
    <xf numFmtId="9" fontId="100" fillId="68" borderId="0" xfId="45" applyNumberFormat="1" applyFont="1" applyFill="1" applyAlignment="1">
      <alignment horizontal="center" vertical="center"/>
    </xf>
    <xf numFmtId="0" fontId="100" fillId="40" borderId="0" xfId="45" applyFont="1" applyFill="1" applyAlignment="1">
      <alignment horizontal="center" vertical="center"/>
    </xf>
    <xf numFmtId="0" fontId="100" fillId="40" borderId="0" xfId="45" applyFont="1" applyFill="1" applyAlignment="1">
      <alignment horizontal="left" vertical="center"/>
    </xf>
    <xf numFmtId="9" fontId="100" fillId="40" borderId="0" xfId="45" applyNumberFormat="1" applyFont="1" applyFill="1" applyAlignment="1">
      <alignment horizontal="center" vertical="center"/>
    </xf>
    <xf numFmtId="9" fontId="100" fillId="0" borderId="0" xfId="45" applyNumberFormat="1" applyFont="1" applyAlignment="1">
      <alignment horizontal="right" vertical="center"/>
    </xf>
    <xf numFmtId="190" fontId="100" fillId="0" borderId="0" xfId="45" applyNumberFormat="1" applyFont="1" applyAlignment="1">
      <alignment horizontal="right" vertical="center"/>
    </xf>
    <xf numFmtId="0" fontId="159" fillId="68" borderId="10" xfId="45" applyNumberFormat="1" applyFont="1" applyFill="1" applyBorder="1" applyAlignment="1">
      <alignment horizontal="left" vertical="center" wrapText="1"/>
    </xf>
    <xf numFmtId="4" fontId="100" fillId="37" borderId="10" xfId="0" applyNumberFormat="1" applyFont="1" applyFill="1" applyBorder="1" applyAlignment="1">
      <alignment horizontal="center" vertical="center" wrapText="1"/>
    </xf>
    <xf numFmtId="178" fontId="101" fillId="38" borderId="10" xfId="45" applyNumberFormat="1" applyFont="1" applyFill="1" applyBorder="1" applyAlignment="1">
      <alignment horizontal="center" vertical="center" wrapText="1"/>
    </xf>
    <xf numFmtId="4" fontId="100" fillId="38" borderId="10" xfId="0" applyNumberFormat="1" applyFont="1" applyFill="1" applyBorder="1" applyAlignment="1">
      <alignment horizontal="center" vertical="center" wrapText="1"/>
    </xf>
    <xf numFmtId="0" fontId="108" fillId="0" borderId="13" xfId="0" applyFont="1" applyBorder="1" applyAlignment="1">
      <alignment vertical="center" wrapText="1"/>
    </xf>
    <xf numFmtId="0" fontId="102" fillId="35" borderId="10" xfId="45" applyNumberFormat="1" applyFont="1" applyFill="1" applyBorder="1" applyAlignment="1">
      <alignment horizontal="left" vertical="top"/>
    </xf>
    <xf numFmtId="0" fontId="102" fillId="36" borderId="10" xfId="45" applyNumberFormat="1" applyFont="1" applyFill="1" applyBorder="1" applyAlignment="1">
      <alignment horizontal="center" vertical="center" wrapText="1"/>
    </xf>
    <xf numFmtId="0" fontId="102" fillId="52" borderId="10" xfId="45" applyNumberFormat="1" applyFont="1" applyFill="1" applyBorder="1" applyAlignment="1">
      <alignment horizontal="center" vertical="center" wrapText="1"/>
    </xf>
    <xf numFmtId="0" fontId="102" fillId="35" borderId="10" xfId="45" applyNumberFormat="1" applyFont="1" applyFill="1" applyBorder="1" applyAlignment="1">
      <alignment horizontal="center" vertical="center" wrapText="1"/>
    </xf>
    <xf numFmtId="0" fontId="102" fillId="39" borderId="10" xfId="45" applyNumberFormat="1" applyFont="1" applyFill="1" applyBorder="1" applyAlignment="1">
      <alignment horizontal="center" vertical="center" wrapText="1"/>
    </xf>
    <xf numFmtId="0" fontId="11" fillId="0" borderId="10" xfId="0" applyNumberFormat="1" applyFont="1" applyBorder="1" applyAlignment="1">
      <alignment horizontal="center" vertical="center" wrapText="1"/>
    </xf>
    <xf numFmtId="0" fontId="3" fillId="0" borderId="10" xfId="0" applyNumberFormat="1" applyFont="1" applyBorder="1" applyAlignment="1">
      <alignment horizontal="center" vertical="center" wrapText="1"/>
    </xf>
    <xf numFmtId="0" fontId="102" fillId="40" borderId="10" xfId="45" applyNumberFormat="1" applyFont="1" applyFill="1" applyBorder="1" applyAlignment="1">
      <alignment horizontal="center" vertical="center" wrapText="1"/>
    </xf>
    <xf numFmtId="0" fontId="216" fillId="39" borderId="18" xfId="45" applyNumberFormat="1" applyFont="1" applyFill="1" applyBorder="1" applyAlignment="1">
      <alignment horizontal="center" vertical="center" wrapText="1"/>
    </xf>
    <xf numFmtId="0" fontId="102" fillId="40" borderId="18" xfId="45" applyNumberFormat="1" applyFont="1" applyFill="1" applyBorder="1" applyAlignment="1">
      <alignment horizontal="center" vertical="center" wrapText="1"/>
    </xf>
    <xf numFmtId="0" fontId="101" fillId="0" borderId="0" xfId="45" applyFont="1" applyAlignment="1">
      <alignment horizontal="center"/>
    </xf>
    <xf numFmtId="4" fontId="108" fillId="0" borderId="13" xfId="0" applyNumberFormat="1" applyFont="1" applyBorder="1" applyAlignment="1">
      <alignment horizontal="center" vertical="center" wrapText="1"/>
    </xf>
    <xf numFmtId="0" fontId="101" fillId="35" borderId="10" xfId="45" applyFont="1" applyFill="1" applyBorder="1" applyAlignment="1">
      <alignment horizontal="left"/>
    </xf>
    <xf numFmtId="0" fontId="101" fillId="36" borderId="10" xfId="45" applyFont="1" applyFill="1" applyBorder="1" applyAlignment="1">
      <alignment horizontal="center" vertical="center" wrapText="1"/>
    </xf>
    <xf numFmtId="0" fontId="101" fillId="52" borderId="10" xfId="45" applyFont="1" applyFill="1" applyBorder="1" applyAlignment="1">
      <alignment horizontal="center" vertical="center" wrapText="1"/>
    </xf>
    <xf numFmtId="0" fontId="101" fillId="35" borderId="10" xfId="45" applyFont="1" applyFill="1" applyBorder="1" applyAlignment="1">
      <alignment horizontal="center" vertical="center" wrapText="1"/>
    </xf>
    <xf numFmtId="0" fontId="101" fillId="39" borderId="10" xfId="45" applyFont="1" applyFill="1" applyBorder="1" applyAlignment="1">
      <alignment horizontal="center" vertical="center" wrapText="1"/>
    </xf>
    <xf numFmtId="0" fontId="11" fillId="41" borderId="10" xfId="0" applyNumberFormat="1" applyFont="1" applyFill="1" applyBorder="1" applyAlignment="1">
      <alignment horizontal="center" vertical="center" wrapText="1"/>
    </xf>
    <xf numFmtId="0" fontId="101" fillId="40" borderId="10" xfId="45" applyFont="1" applyFill="1" applyBorder="1" applyAlignment="1">
      <alignment horizontal="center" vertical="center" wrapText="1"/>
    </xf>
    <xf numFmtId="0" fontId="101" fillId="0" borderId="10" xfId="46" applyFont="1" applyFill="1" applyBorder="1" applyAlignment="1">
      <alignment horizontal="center" vertical="center" wrapText="1"/>
    </xf>
    <xf numFmtId="0" fontId="101" fillId="39" borderId="21" xfId="45" applyFont="1" applyFill="1" applyBorder="1" applyAlignment="1">
      <alignment horizontal="center" vertical="center" wrapText="1"/>
    </xf>
    <xf numFmtId="0" fontId="101" fillId="40" borderId="21" xfId="45" applyFont="1" applyFill="1" applyBorder="1" applyAlignment="1">
      <alignment horizontal="center" vertical="center" wrapText="1"/>
    </xf>
    <xf numFmtId="0" fontId="101" fillId="0" borderId="10" xfId="45" applyFont="1" applyFill="1" applyBorder="1" applyAlignment="1">
      <alignment horizontal="center" vertical="center" wrapText="1"/>
    </xf>
    <xf numFmtId="0" fontId="101" fillId="0" borderId="10" xfId="45" applyFont="1" applyBorder="1" applyAlignment="1" applyProtection="1">
      <alignment horizontal="center" vertical="center" wrapText="1"/>
      <protection locked="0"/>
    </xf>
    <xf numFmtId="1" fontId="108" fillId="0" borderId="13" xfId="0" applyNumberFormat="1" applyFont="1" applyBorder="1" applyAlignment="1">
      <alignment horizontal="center" vertical="center"/>
    </xf>
    <xf numFmtId="0" fontId="101" fillId="35" borderId="10" xfId="45" applyFont="1" applyFill="1" applyBorder="1" applyAlignment="1">
      <alignment horizontal="right"/>
    </xf>
    <xf numFmtId="0" fontId="102" fillId="36" borderId="10" xfId="45" applyNumberFormat="1" applyFont="1" applyFill="1" applyBorder="1" applyAlignment="1">
      <alignment horizontal="right" vertical="center" wrapText="1"/>
    </xf>
    <xf numFmtId="0" fontId="102" fillId="52" borderId="10" xfId="45" applyNumberFormat="1" applyFont="1" applyFill="1" applyBorder="1" applyAlignment="1">
      <alignment horizontal="right" vertical="center" wrapText="1"/>
    </xf>
    <xf numFmtId="0" fontId="102" fillId="35" borderId="10" xfId="45" applyNumberFormat="1" applyFont="1" applyFill="1" applyBorder="1" applyAlignment="1">
      <alignment horizontal="right" vertical="center" wrapText="1"/>
    </xf>
    <xf numFmtId="0" fontId="102" fillId="38" borderId="10" xfId="45" applyNumberFormat="1" applyFont="1" applyFill="1" applyBorder="1" applyAlignment="1">
      <alignment horizontal="right" vertical="center" wrapText="1"/>
    </xf>
    <xf numFmtId="0" fontId="106" fillId="39" borderId="10" xfId="45" applyNumberFormat="1" applyFont="1" applyFill="1" applyBorder="1" applyAlignment="1">
      <alignment horizontal="right" vertical="center" wrapText="1"/>
    </xf>
    <xf numFmtId="0" fontId="102" fillId="39" borderId="10" xfId="45" applyNumberFormat="1" applyFont="1" applyFill="1" applyBorder="1" applyAlignment="1">
      <alignment horizontal="right" vertical="center" wrapText="1"/>
    </xf>
    <xf numFmtId="178" fontId="11" fillId="0" borderId="10" xfId="0" applyNumberFormat="1" applyFont="1" applyBorder="1" applyAlignment="1">
      <alignment horizontal="right" vertical="center" wrapText="1"/>
    </xf>
    <xf numFmtId="178" fontId="106" fillId="39" borderId="10" xfId="45" applyNumberFormat="1" applyFont="1" applyFill="1" applyBorder="1" applyAlignment="1">
      <alignment horizontal="right" vertical="center" wrapText="1"/>
    </xf>
    <xf numFmtId="178" fontId="3" fillId="0" borderId="10" xfId="0" applyNumberFormat="1" applyFont="1" applyBorder="1" applyAlignment="1">
      <alignment horizontal="right" vertical="center"/>
    </xf>
    <xf numFmtId="178" fontId="3" fillId="0" borderId="10" xfId="0" applyNumberFormat="1" applyFont="1" applyBorder="1" applyAlignment="1">
      <alignment horizontal="right" vertical="center" wrapText="1"/>
    </xf>
    <xf numFmtId="0" fontId="106" fillId="40" borderId="10" xfId="45" applyNumberFormat="1" applyFont="1" applyFill="1" applyBorder="1" applyAlignment="1">
      <alignment horizontal="right" vertical="center" wrapText="1"/>
    </xf>
    <xf numFmtId="0" fontId="102" fillId="40" borderId="10" xfId="45" applyNumberFormat="1" applyFont="1" applyFill="1" applyBorder="1" applyAlignment="1">
      <alignment horizontal="right" vertical="center" wrapText="1"/>
    </xf>
    <xf numFmtId="0" fontId="101" fillId="0" borderId="0" xfId="45" applyFont="1" applyAlignment="1">
      <alignment horizontal="right"/>
    </xf>
    <xf numFmtId="4" fontId="101" fillId="0" borderId="10" xfId="45" applyNumberFormat="1" applyFont="1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173" fontId="18" fillId="41" borderId="21" xfId="0" applyNumberFormat="1" applyFont="1" applyFill="1" applyBorder="1" applyAlignment="1" applyProtection="1">
      <alignment horizontal="center" vertical="center"/>
      <protection locked="0"/>
    </xf>
    <xf numFmtId="0" fontId="0" fillId="41" borderId="10" xfId="0" applyFill="1" applyBorder="1" applyAlignment="1" applyProtection="1">
      <alignment horizontal="center" vertical="center"/>
      <protection locked="0"/>
    </xf>
    <xf numFmtId="49" fontId="0" fillId="41" borderId="10" xfId="0" applyNumberFormat="1" applyFill="1" applyBorder="1" applyAlignment="1" applyProtection="1">
      <alignment horizontal="center" vertical="center"/>
      <protection locked="0"/>
    </xf>
    <xf numFmtId="3" fontId="0" fillId="41" borderId="10" xfId="0" applyNumberFormat="1" applyFill="1" applyBorder="1" applyAlignment="1" applyProtection="1">
      <alignment horizontal="center" vertical="center"/>
      <protection locked="0"/>
    </xf>
    <xf numFmtId="1" fontId="0" fillId="41" borderId="0" xfId="0" applyNumberFormat="1" applyFill="1" applyBorder="1" applyAlignment="1" applyProtection="1">
      <alignment horizontal="center" vertical="center"/>
      <protection locked="0"/>
    </xf>
    <xf numFmtId="0" fontId="2" fillId="41" borderId="0" xfId="46" applyNumberFormat="1" applyFill="1" applyBorder="1" applyAlignment="1" applyProtection="1">
      <alignment vertical="center"/>
      <protection locked="0"/>
    </xf>
    <xf numFmtId="0" fontId="217" fillId="0" borderId="0" xfId="0" applyFont="1"/>
    <xf numFmtId="14" fontId="217" fillId="0" borderId="0" xfId="0" applyNumberFormat="1" applyFont="1"/>
    <xf numFmtId="0" fontId="26" fillId="0" borderId="0" xfId="0" applyNumberFormat="1" applyFont="1" applyBorder="1" applyAlignment="1">
      <alignment vertical="center" wrapText="1"/>
    </xf>
    <xf numFmtId="0" fontId="26" fillId="0" borderId="0" xfId="0" applyNumberFormat="1" applyFont="1" applyAlignment="1">
      <alignment vertical="center" wrapText="1"/>
    </xf>
    <xf numFmtId="0" fontId="129" fillId="0" borderId="0" xfId="0" applyFont="1" applyAlignment="1">
      <alignment horizontal="center"/>
    </xf>
    <xf numFmtId="0" fontId="3" fillId="71" borderId="18" xfId="0" applyFont="1" applyFill="1" applyBorder="1" applyAlignment="1">
      <alignment horizontal="center" vertical="center"/>
    </xf>
    <xf numFmtId="0" fontId="3" fillId="71" borderId="23" xfId="0" applyFont="1" applyFill="1" applyBorder="1" applyAlignment="1">
      <alignment horizontal="center" vertical="center"/>
    </xf>
    <xf numFmtId="0" fontId="3" fillId="71" borderId="21" xfId="0" applyFont="1" applyFill="1" applyBorder="1" applyAlignment="1">
      <alignment horizontal="center" vertical="center"/>
    </xf>
    <xf numFmtId="0" fontId="11" fillId="71" borderId="18" xfId="0" applyFont="1" applyFill="1" applyBorder="1" applyAlignment="1">
      <alignment horizontal="center" vertical="center"/>
    </xf>
    <xf numFmtId="0" fontId="11" fillId="71" borderId="23" xfId="0" applyFont="1" applyFill="1" applyBorder="1" applyAlignment="1">
      <alignment horizontal="center" vertical="center"/>
    </xf>
    <xf numFmtId="0" fontId="11" fillId="71" borderId="21" xfId="0" applyFont="1" applyFill="1" applyBorder="1" applyAlignment="1">
      <alignment horizontal="center" vertical="center"/>
    </xf>
    <xf numFmtId="0" fontId="11" fillId="71" borderId="18" xfId="0" applyFont="1" applyFill="1" applyBorder="1" applyAlignment="1" applyProtection="1">
      <alignment horizontal="center" vertical="center"/>
    </xf>
    <xf numFmtId="0" fontId="11" fillId="71" borderId="23" xfId="0" applyFont="1" applyFill="1" applyBorder="1" applyAlignment="1" applyProtection="1">
      <alignment horizontal="center" vertical="center"/>
    </xf>
    <xf numFmtId="0" fontId="11" fillId="71" borderId="21" xfId="0" applyFont="1" applyFill="1" applyBorder="1" applyAlignment="1" applyProtection="1">
      <alignment horizontal="center" vertical="center"/>
    </xf>
    <xf numFmtId="0" fontId="98" fillId="55" borderId="0" xfId="0" applyFont="1" applyFill="1" applyAlignment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41" borderId="34" xfId="0" applyFont="1" applyFill="1" applyBorder="1" applyAlignment="1" applyProtection="1">
      <alignment horizontal="center" vertical="center"/>
    </xf>
    <xf numFmtId="0" fontId="11" fillId="41" borderId="13" xfId="0" applyFont="1" applyFill="1" applyBorder="1" applyAlignment="1" applyProtection="1">
      <alignment horizontal="center" vertical="center"/>
    </xf>
    <xf numFmtId="0" fontId="11" fillId="41" borderId="29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91" fillId="0" borderId="10" xfId="0" applyFont="1" applyBorder="1" applyAlignment="1">
      <alignment horizontal="center" wrapText="1"/>
    </xf>
    <xf numFmtId="0" fontId="0" fillId="0" borderId="20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64" xfId="0" applyBorder="1" applyAlignment="1" applyProtection="1">
      <alignment horizontal="center" vertical="center" wrapText="1"/>
    </xf>
    <xf numFmtId="0" fontId="0" fillId="0" borderId="77" xfId="0" applyBorder="1" applyAlignment="1" applyProtection="1">
      <alignment horizontal="center" vertical="center" wrapText="1"/>
    </xf>
    <xf numFmtId="0" fontId="0" fillId="0" borderId="66" xfId="0" applyBorder="1" applyAlignment="1" applyProtection="1">
      <alignment horizontal="center" vertical="center" wrapText="1"/>
    </xf>
    <xf numFmtId="0" fontId="0" fillId="0" borderId="49" xfId="0" applyBorder="1" applyAlignment="1" applyProtection="1">
      <alignment horizontal="center" vertical="center"/>
    </xf>
    <xf numFmtId="0" fontId="0" fillId="0" borderId="78" xfId="0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11" fillId="0" borderId="27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0" fillId="0" borderId="18" xfId="0" applyFont="1" applyBorder="1" applyAlignment="1" applyProtection="1">
      <alignment horizontal="left" vertical="center" wrapText="1"/>
    </xf>
    <xf numFmtId="0" fontId="120" fillId="0" borderId="23" xfId="0" applyFont="1" applyBorder="1" applyAlignment="1" applyProtection="1">
      <alignment horizontal="left" vertical="center" wrapText="1"/>
    </xf>
    <xf numFmtId="0" fontId="120" fillId="0" borderId="21" xfId="0" applyFont="1" applyBorder="1" applyAlignment="1" applyProtection="1">
      <alignment horizontal="left" vertical="center" wrapText="1"/>
    </xf>
    <xf numFmtId="0" fontId="120" fillId="0" borderId="54" xfId="0" applyFont="1" applyBorder="1" applyAlignment="1" applyProtection="1">
      <alignment horizontal="left" vertical="center" wrapText="1"/>
    </xf>
    <xf numFmtId="0" fontId="120" fillId="0" borderId="67" xfId="0" applyFont="1" applyBorder="1" applyAlignment="1" applyProtection="1">
      <alignment horizontal="left" vertical="center" wrapText="1"/>
    </xf>
    <xf numFmtId="0" fontId="120" fillId="0" borderId="48" xfId="0" applyFont="1" applyBorder="1" applyAlignment="1" applyProtection="1">
      <alignment horizontal="left" vertical="center" wrapText="1"/>
    </xf>
    <xf numFmtId="0" fontId="51" fillId="0" borderId="65" xfId="0" applyFont="1" applyBorder="1" applyAlignment="1" applyProtection="1">
      <alignment horizontal="left"/>
    </xf>
    <xf numFmtId="0" fontId="51" fillId="0" borderId="52" xfId="0" applyFont="1" applyBorder="1" applyAlignment="1" applyProtection="1">
      <alignment horizontal="left"/>
    </xf>
    <xf numFmtId="0" fontId="39" fillId="0" borderId="24" xfId="0" applyFont="1" applyBorder="1" applyAlignment="1">
      <alignment horizontal="center" vertical="center" wrapText="1"/>
    </xf>
    <xf numFmtId="0" fontId="39" fillId="0" borderId="19" xfId="0" applyFont="1" applyBorder="1" applyAlignment="1">
      <alignment horizontal="center" vertical="center" wrapText="1"/>
    </xf>
    <xf numFmtId="0" fontId="117" fillId="38" borderId="18" xfId="0" applyFont="1" applyFill="1" applyBorder="1" applyAlignment="1">
      <alignment horizontal="center" vertical="center"/>
    </xf>
    <xf numFmtId="0" fontId="117" fillId="38" borderId="23" xfId="0" applyFont="1" applyFill="1" applyBorder="1" applyAlignment="1">
      <alignment horizontal="center" vertical="center"/>
    </xf>
    <xf numFmtId="0" fontId="117" fillId="38" borderId="21" xfId="0" applyFont="1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 wrapText="1"/>
    </xf>
    <xf numFmtId="0" fontId="0" fillId="37" borderId="23" xfId="0" applyFill="1" applyBorder="1" applyAlignment="1">
      <alignment horizontal="center" vertical="center" wrapText="1"/>
    </xf>
    <xf numFmtId="0" fontId="0" fillId="55" borderId="0" xfId="0" applyFill="1" applyAlignment="1">
      <alignment horizontal="center" vertical="center"/>
    </xf>
    <xf numFmtId="0" fontId="51" fillId="0" borderId="23" xfId="0" applyFont="1" applyBorder="1" applyAlignment="1" applyProtection="1">
      <alignment horizontal="left"/>
    </xf>
    <xf numFmtId="0" fontId="99" fillId="0" borderId="0" xfId="0" applyFont="1" applyFill="1" applyBorder="1" applyAlignment="1">
      <alignment horizontal="center" vertical="center"/>
    </xf>
    <xf numFmtId="0" fontId="0" fillId="0" borderId="18" xfId="0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0" fillId="0" borderId="10" xfId="0" applyFont="1" applyBorder="1" applyAlignment="1" applyProtection="1">
      <alignment horizontal="center"/>
    </xf>
    <xf numFmtId="0" fontId="0" fillId="0" borderId="20" xfId="0" applyFont="1" applyBorder="1" applyAlignment="1" applyProtection="1">
      <alignment horizontal="center" vertical="center" wrapText="1"/>
    </xf>
    <xf numFmtId="0" fontId="0" fillId="0" borderId="14" xfId="0" applyFont="1" applyBorder="1" applyAlignment="1" applyProtection="1">
      <alignment horizontal="center" vertical="center" wrapText="1"/>
    </xf>
    <xf numFmtId="0" fontId="11" fillId="0" borderId="10" xfId="0" applyFont="1" applyBorder="1" applyAlignment="1" applyProtection="1">
      <alignment horizontal="center"/>
    </xf>
    <xf numFmtId="0" fontId="113" fillId="0" borderId="51" xfId="0" applyFont="1" applyFill="1" applyBorder="1" applyAlignment="1" applyProtection="1">
      <alignment horizontal="center" vertical="center"/>
      <protection locked="0"/>
    </xf>
    <xf numFmtId="0" fontId="113" fillId="0" borderId="53" xfId="0" applyFont="1" applyFill="1" applyBorder="1" applyAlignment="1" applyProtection="1">
      <alignment horizontal="center" vertical="center"/>
      <protection locked="0"/>
    </xf>
    <xf numFmtId="0" fontId="134" fillId="28" borderId="70" xfId="0" applyFont="1" applyFill="1" applyBorder="1" applyAlignment="1" applyProtection="1">
      <alignment horizontal="center" vertical="center"/>
      <protection locked="0"/>
    </xf>
    <xf numFmtId="0" fontId="134" fillId="28" borderId="68" xfId="0" applyFont="1" applyFill="1" applyBorder="1" applyAlignment="1" applyProtection="1">
      <alignment horizontal="center" vertical="center"/>
      <protection locked="0"/>
    </xf>
    <xf numFmtId="0" fontId="62" fillId="28" borderId="18" xfId="0" applyFont="1" applyFill="1" applyBorder="1" applyAlignment="1" applyProtection="1">
      <alignment horizontal="center" vertical="center" wrapText="1"/>
      <protection locked="0"/>
    </xf>
    <xf numFmtId="0" fontId="62" fillId="28" borderId="21" xfId="0" applyFont="1" applyFill="1" applyBorder="1" applyAlignment="1" applyProtection="1">
      <alignment horizontal="center" vertical="center" wrapText="1"/>
      <protection locked="0"/>
    </xf>
    <xf numFmtId="0" fontId="26" fillId="28" borderId="18" xfId="0" applyFont="1" applyFill="1" applyBorder="1" applyAlignment="1" applyProtection="1">
      <alignment horizontal="center" vertical="center" wrapText="1"/>
      <protection locked="0"/>
    </xf>
    <xf numFmtId="0" fontId="26" fillId="28" borderId="21" xfId="0" applyFont="1" applyFill="1" applyBorder="1" applyAlignment="1" applyProtection="1">
      <alignment horizontal="center" vertical="center" wrapText="1"/>
      <protection locked="0"/>
    </xf>
    <xf numFmtId="0" fontId="62" fillId="28" borderId="34" xfId="0" applyFont="1" applyFill="1" applyBorder="1" applyAlignment="1" applyProtection="1">
      <alignment horizontal="center" vertical="center" wrapText="1"/>
      <protection locked="0"/>
    </xf>
    <xf numFmtId="0" fontId="62" fillId="28" borderId="29" xfId="0" applyFont="1" applyFill="1" applyBorder="1" applyAlignment="1" applyProtection="1">
      <alignment horizontal="center" vertical="center" wrapText="1"/>
      <protection locked="0"/>
    </xf>
    <xf numFmtId="0" fontId="14" fillId="28" borderId="24" xfId="0" applyFont="1" applyFill="1" applyBorder="1" applyAlignment="1" applyProtection="1">
      <alignment horizontal="center" vertical="center"/>
      <protection locked="0"/>
    </xf>
    <xf numFmtId="0" fontId="14" fillId="28" borderId="30" xfId="0" applyFont="1" applyFill="1" applyBorder="1" applyAlignment="1" applyProtection="1">
      <alignment horizontal="center" vertical="center"/>
      <protection locked="0"/>
    </xf>
    <xf numFmtId="0" fontId="15" fillId="25" borderId="76" xfId="0" applyFont="1" applyFill="1" applyBorder="1" applyAlignment="1" applyProtection="1">
      <alignment horizontal="center" vertical="center"/>
      <protection locked="0"/>
    </xf>
    <xf numFmtId="0" fontId="15" fillId="25" borderId="79" xfId="0" applyFont="1" applyFill="1" applyBorder="1" applyAlignment="1" applyProtection="1">
      <alignment horizontal="center" vertical="center"/>
      <protection locked="0"/>
    </xf>
    <xf numFmtId="0" fontId="15" fillId="25" borderId="57" xfId="0" applyFont="1" applyFill="1" applyBorder="1" applyAlignment="1" applyProtection="1">
      <alignment horizontal="center" vertical="center"/>
      <protection locked="0"/>
    </xf>
    <xf numFmtId="0" fontId="15" fillId="25" borderId="41" xfId="0" applyFont="1" applyFill="1" applyBorder="1" applyAlignment="1" applyProtection="1">
      <alignment horizontal="center" vertical="center"/>
      <protection locked="0"/>
    </xf>
    <xf numFmtId="0" fontId="7" fillId="0" borderId="18" xfId="0" applyFont="1" applyFill="1" applyBorder="1" applyAlignment="1" applyProtection="1">
      <alignment horizontal="left" vertical="center"/>
      <protection locked="0"/>
    </xf>
    <xf numFmtId="0" fontId="7" fillId="0" borderId="21" xfId="0" applyFont="1" applyFill="1" applyBorder="1" applyAlignment="1" applyProtection="1">
      <alignment horizontal="left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138" fillId="0" borderId="54" xfId="0" applyFont="1" applyFill="1" applyBorder="1" applyAlignment="1" applyProtection="1">
      <alignment horizontal="center" vertical="center" wrapText="1"/>
      <protection locked="0"/>
    </xf>
    <xf numFmtId="0" fontId="138" fillId="0" borderId="67" xfId="0" applyFont="1" applyFill="1" applyBorder="1" applyAlignment="1" applyProtection="1">
      <alignment horizontal="center" vertical="center" wrapText="1"/>
      <protection locked="0"/>
    </xf>
    <xf numFmtId="0" fontId="138" fillId="0" borderId="48" xfId="0" applyFont="1" applyFill="1" applyBorder="1" applyAlignment="1" applyProtection="1">
      <alignment horizontal="center" vertical="center" wrapText="1"/>
      <protection locked="0"/>
    </xf>
    <xf numFmtId="3" fontId="7" fillId="0" borderId="18" xfId="0" applyNumberFormat="1" applyFont="1" applyFill="1" applyBorder="1" applyAlignment="1" applyProtection="1">
      <alignment horizontal="center" vertical="center"/>
      <protection locked="0"/>
    </xf>
    <xf numFmtId="3" fontId="7" fillId="0" borderId="2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right" vertical="center"/>
      <protection locked="0"/>
    </xf>
    <xf numFmtId="0" fontId="14" fillId="28" borderId="10" xfId="0" applyFont="1" applyFill="1" applyBorder="1" applyAlignment="1" applyProtection="1">
      <alignment horizontal="center" vertical="center"/>
      <protection locked="0"/>
    </xf>
    <xf numFmtId="0" fontId="32" fillId="28" borderId="10" xfId="0" applyFont="1" applyFill="1" applyBorder="1" applyAlignment="1" applyProtection="1">
      <alignment horizontal="center" vertical="center"/>
      <protection locked="0"/>
    </xf>
    <xf numFmtId="0" fontId="14" fillId="0" borderId="31" xfId="0" applyFont="1" applyFill="1" applyBorder="1" applyAlignment="1" applyProtection="1">
      <alignment horizontal="center" vertical="center"/>
      <protection locked="0"/>
    </xf>
    <xf numFmtId="0" fontId="32" fillId="0" borderId="31" xfId="0" applyFont="1" applyFill="1" applyBorder="1" applyAlignment="1" applyProtection="1">
      <alignment horizontal="center" vertical="center"/>
      <protection locked="0"/>
    </xf>
    <xf numFmtId="3" fontId="7" fillId="0" borderId="54" xfId="0" applyNumberFormat="1" applyFont="1" applyFill="1" applyBorder="1" applyAlignment="1" applyProtection="1">
      <alignment horizontal="center" vertical="center"/>
      <protection locked="0"/>
    </xf>
    <xf numFmtId="3" fontId="7" fillId="0" borderId="48" xfId="0" applyNumberFormat="1" applyFont="1" applyFill="1" applyBorder="1" applyAlignment="1" applyProtection="1">
      <alignment horizontal="center" vertical="center"/>
      <protection locked="0"/>
    </xf>
    <xf numFmtId="0" fontId="7" fillId="0" borderId="18" xfId="0" applyFont="1" applyFill="1" applyBorder="1" applyAlignment="1" applyProtection="1">
      <alignment horizontal="center" vertical="center"/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25" fillId="0" borderId="65" xfId="0" applyFont="1" applyBorder="1" applyAlignment="1" applyProtection="1">
      <alignment horizontal="center" vertical="center" wrapText="1"/>
      <protection locked="0"/>
    </xf>
    <xf numFmtId="0" fontId="25" fillId="0" borderId="52" xfId="0" applyFont="1" applyBorder="1" applyAlignment="1" applyProtection="1">
      <alignment horizontal="center" vertical="center" wrapText="1"/>
      <protection locked="0"/>
    </xf>
    <xf numFmtId="0" fontId="25" fillId="0" borderId="53" xfId="0" applyFont="1" applyBorder="1" applyAlignment="1" applyProtection="1">
      <alignment horizontal="center" vertical="center" wrapText="1"/>
      <protection locked="0"/>
    </xf>
    <xf numFmtId="0" fontId="115" fillId="0" borderId="65" xfId="0" applyFont="1" applyBorder="1" applyAlignment="1" applyProtection="1">
      <alignment horizontal="center" vertical="center" wrapText="1"/>
      <protection locked="0"/>
    </xf>
    <xf numFmtId="0" fontId="115" fillId="0" borderId="52" xfId="0" applyFont="1" applyBorder="1" applyAlignment="1" applyProtection="1">
      <alignment horizontal="center" vertical="center" wrapText="1"/>
      <protection locked="0"/>
    </xf>
    <xf numFmtId="0" fontId="39" fillId="25" borderId="17" xfId="0" applyFont="1" applyFill="1" applyBorder="1" applyAlignment="1" applyProtection="1">
      <alignment horizontal="center" vertical="center" wrapText="1"/>
      <protection locked="0"/>
    </xf>
    <xf numFmtId="0" fontId="39" fillId="25" borderId="12" xfId="0" applyFont="1" applyFill="1" applyBorder="1" applyAlignment="1" applyProtection="1">
      <alignment horizontal="center" vertical="center" wrapText="1"/>
      <protection locked="0"/>
    </xf>
    <xf numFmtId="0" fontId="62" fillId="0" borderId="85" xfId="0" applyFont="1" applyFill="1" applyBorder="1" applyAlignment="1" applyProtection="1">
      <alignment horizontal="center" vertical="center" wrapText="1"/>
      <protection locked="0"/>
    </xf>
    <xf numFmtId="0" fontId="62" fillId="0" borderId="56" xfId="0" applyFont="1" applyFill="1" applyBorder="1" applyAlignment="1" applyProtection="1">
      <alignment horizontal="center" vertical="center" wrapText="1"/>
      <protection locked="0"/>
    </xf>
    <xf numFmtId="0" fontId="62" fillId="0" borderId="50" xfId="0" applyFont="1" applyFill="1" applyBorder="1" applyAlignment="1" applyProtection="1">
      <alignment horizontal="center" vertical="center" wrapText="1"/>
      <protection locked="0"/>
    </xf>
    <xf numFmtId="0" fontId="62" fillId="0" borderId="31" xfId="0" applyFont="1" applyFill="1" applyBorder="1" applyAlignment="1" applyProtection="1">
      <alignment horizontal="center" vertical="center" wrapText="1"/>
      <protection locked="0"/>
    </xf>
    <xf numFmtId="0" fontId="0" fillId="28" borderId="86" xfId="0" applyFill="1" applyBorder="1" applyAlignment="1" applyProtection="1">
      <alignment horizontal="center" vertical="center" wrapText="1"/>
      <protection locked="0"/>
    </xf>
    <xf numFmtId="0" fontId="0" fillId="28" borderId="78" xfId="0" applyFill="1" applyBorder="1" applyAlignment="1" applyProtection="1">
      <alignment horizontal="center" vertical="center" wrapText="1"/>
      <protection locked="0"/>
    </xf>
    <xf numFmtId="49" fontId="15" fillId="41" borderId="58" xfId="0" applyNumberFormat="1" applyFont="1" applyFill="1" applyBorder="1" applyAlignment="1" applyProtection="1">
      <alignment horizontal="center" vertical="center" wrapText="1"/>
      <protection locked="0"/>
    </xf>
    <xf numFmtId="49" fontId="15" fillId="41" borderId="11" xfId="0" applyNumberFormat="1" applyFont="1" applyFill="1" applyBorder="1" applyAlignment="1" applyProtection="1">
      <alignment horizontal="center" vertical="center" wrapText="1"/>
      <protection locked="0"/>
    </xf>
    <xf numFmtId="49" fontId="15" fillId="41" borderId="40" xfId="0" applyNumberFormat="1" applyFont="1" applyFill="1" applyBorder="1" applyAlignment="1" applyProtection="1">
      <alignment horizontal="center" vertical="center" wrapText="1"/>
      <protection locked="0"/>
    </xf>
    <xf numFmtId="0" fontId="15" fillId="41" borderId="58" xfId="0" applyNumberFormat="1" applyFont="1" applyFill="1" applyBorder="1" applyAlignment="1" applyProtection="1">
      <alignment horizontal="center" vertical="center" wrapText="1"/>
      <protection locked="0"/>
    </xf>
    <xf numFmtId="0" fontId="15" fillId="41" borderId="11" xfId="0" applyNumberFormat="1" applyFont="1" applyFill="1" applyBorder="1" applyAlignment="1" applyProtection="1">
      <alignment horizontal="center" vertical="center" wrapText="1"/>
      <protection locked="0"/>
    </xf>
    <xf numFmtId="0" fontId="15" fillId="41" borderId="4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right" vertical="center"/>
      <protection locked="0"/>
    </xf>
    <xf numFmtId="0" fontId="21" fillId="0" borderId="0" xfId="0" applyFont="1" applyBorder="1" applyAlignment="1" applyProtection="1">
      <alignment horizontal="center" vertical="center"/>
      <protection locked="0"/>
    </xf>
    <xf numFmtId="0" fontId="21" fillId="0" borderId="32" xfId="0" applyFont="1" applyBorder="1" applyAlignment="1" applyProtection="1">
      <alignment horizontal="center" vertical="center"/>
      <protection locked="0"/>
    </xf>
    <xf numFmtId="0" fontId="7" fillId="0" borderId="54" xfId="0" applyFont="1" applyFill="1" applyBorder="1" applyAlignment="1" applyProtection="1">
      <alignment horizontal="left" vertical="center"/>
      <protection locked="0"/>
    </xf>
    <xf numFmtId="0" fontId="7" fillId="0" borderId="48" xfId="0" applyFont="1" applyFill="1" applyBorder="1" applyAlignment="1" applyProtection="1">
      <alignment horizontal="left" vertical="center"/>
      <protection locked="0"/>
    </xf>
    <xf numFmtId="0" fontId="14" fillId="0" borderId="76" xfId="0" applyFont="1" applyFill="1" applyBorder="1" applyAlignment="1" applyProtection="1">
      <alignment horizontal="center" vertical="center"/>
      <protection locked="0"/>
    </xf>
    <xf numFmtId="0" fontId="14" fillId="0" borderId="17" xfId="0" applyFont="1" applyFill="1" applyBorder="1" applyAlignment="1" applyProtection="1">
      <alignment horizontal="center" vertical="center"/>
      <protection locked="0"/>
    </xf>
    <xf numFmtId="0" fontId="7" fillId="38" borderId="34" xfId="0" applyFont="1" applyFill="1" applyBorder="1" applyAlignment="1" applyProtection="1">
      <alignment horizontal="center" vertical="center"/>
      <protection locked="0"/>
    </xf>
    <xf numFmtId="0" fontId="7" fillId="38" borderId="29" xfId="0" applyFont="1" applyFill="1" applyBorder="1" applyAlignment="1" applyProtection="1">
      <alignment horizontal="center" vertical="center"/>
      <protection locked="0"/>
    </xf>
    <xf numFmtId="0" fontId="57" fillId="0" borderId="51" xfId="0" applyFont="1" applyBorder="1" applyAlignment="1" applyProtection="1">
      <alignment horizontal="left" vertical="center"/>
      <protection locked="0"/>
    </xf>
    <xf numFmtId="0" fontId="57" fillId="0" borderId="75" xfId="0" applyFont="1" applyBorder="1" applyAlignment="1" applyProtection="1">
      <alignment horizontal="left" vertical="center"/>
      <protection locked="0"/>
    </xf>
    <xf numFmtId="0" fontId="7" fillId="0" borderId="34" xfId="0" applyFont="1" applyFill="1" applyBorder="1" applyAlignment="1" applyProtection="1">
      <alignment horizontal="center" vertical="center"/>
      <protection locked="0"/>
    </xf>
    <xf numFmtId="0" fontId="7" fillId="0" borderId="29" xfId="0" applyFont="1" applyFill="1" applyBorder="1" applyAlignment="1" applyProtection="1">
      <alignment horizontal="center" vertical="center"/>
      <protection locked="0"/>
    </xf>
    <xf numFmtId="0" fontId="7" fillId="0" borderId="82" xfId="0" applyFont="1" applyBorder="1" applyAlignment="1" applyProtection="1">
      <alignment horizontal="center" vertical="center"/>
      <protection locked="0"/>
    </xf>
    <xf numFmtId="0" fontId="7" fillId="0" borderId="13" xfId="0" applyFont="1" applyBorder="1" applyAlignment="1" applyProtection="1">
      <alignment horizontal="center" vertical="center"/>
      <protection locked="0"/>
    </xf>
    <xf numFmtId="0" fontId="7" fillId="0" borderId="23" xfId="0" applyFont="1" applyBorder="1" applyAlignment="1" applyProtection="1">
      <alignment horizontal="center" vertical="center"/>
      <protection locked="0"/>
    </xf>
    <xf numFmtId="0" fontId="7" fillId="0" borderId="47" xfId="0" applyFont="1" applyBorder="1" applyAlignment="1" applyProtection="1">
      <alignment horizontal="center" vertical="center"/>
      <protection locked="0"/>
    </xf>
    <xf numFmtId="0" fontId="7" fillId="46" borderId="58" xfId="0" applyFont="1" applyFill="1" applyBorder="1" applyAlignment="1" applyProtection="1">
      <alignment horizontal="center" vertical="center"/>
      <protection locked="0"/>
    </xf>
    <xf numFmtId="0" fontId="7" fillId="46" borderId="11" xfId="0" applyFont="1" applyFill="1" applyBorder="1" applyAlignment="1" applyProtection="1">
      <alignment horizontal="center" vertical="center"/>
      <protection locked="0"/>
    </xf>
    <xf numFmtId="0" fontId="7" fillId="46" borderId="40" xfId="0" applyFont="1" applyFill="1" applyBorder="1" applyAlignment="1" applyProtection="1">
      <alignment horizontal="center" vertical="center"/>
      <protection locked="0"/>
    </xf>
    <xf numFmtId="0" fontId="26" fillId="35" borderId="0" xfId="0" applyFont="1" applyFill="1" applyAlignment="1" applyProtection="1">
      <alignment horizontal="left" vertical="center"/>
      <protection locked="0"/>
    </xf>
    <xf numFmtId="0" fontId="115" fillId="35" borderId="69" xfId="0" applyFont="1" applyFill="1" applyBorder="1" applyAlignment="1">
      <alignment horizontal="left" vertical="top" wrapText="1"/>
    </xf>
    <xf numFmtId="0" fontId="115" fillId="35" borderId="12" xfId="0" applyFont="1" applyFill="1" applyBorder="1" applyAlignment="1">
      <alignment horizontal="left" vertical="top" wrapText="1"/>
    </xf>
    <xf numFmtId="0" fontId="115" fillId="35" borderId="41" xfId="0" applyFont="1" applyFill="1" applyBorder="1" applyAlignment="1">
      <alignment horizontal="left" vertical="top" wrapText="1"/>
    </xf>
    <xf numFmtId="0" fontId="115" fillId="35" borderId="61" xfId="0" applyFont="1" applyFill="1" applyBorder="1" applyAlignment="1">
      <alignment horizontal="left" vertical="top" wrapText="1"/>
    </xf>
    <xf numFmtId="0" fontId="115" fillId="35" borderId="22" xfId="0" applyFont="1" applyFill="1" applyBorder="1" applyAlignment="1">
      <alignment horizontal="left" vertical="top" wrapText="1"/>
    </xf>
    <xf numFmtId="0" fontId="115" fillId="35" borderId="33" xfId="0" applyFont="1" applyFill="1" applyBorder="1" applyAlignment="1">
      <alignment horizontal="left" vertical="top" wrapText="1"/>
    </xf>
    <xf numFmtId="0" fontId="115" fillId="35" borderId="27" xfId="0" applyFont="1" applyFill="1" applyBorder="1" applyAlignment="1">
      <alignment horizontal="left" vertical="top" wrapText="1"/>
    </xf>
    <xf numFmtId="0" fontId="115" fillId="35" borderId="0" xfId="0" applyFont="1" applyFill="1" applyBorder="1" applyAlignment="1">
      <alignment horizontal="left" vertical="top" wrapText="1"/>
    </xf>
    <xf numFmtId="0" fontId="115" fillId="35" borderId="32" xfId="0" applyFont="1" applyFill="1" applyBorder="1" applyAlignment="1">
      <alignment horizontal="left" vertical="top" wrapText="1"/>
    </xf>
    <xf numFmtId="0" fontId="173" fillId="35" borderId="65" xfId="0" applyFont="1" applyFill="1" applyBorder="1" applyAlignment="1" applyProtection="1">
      <alignment horizontal="center" vertical="center" wrapText="1"/>
      <protection locked="0"/>
    </xf>
    <xf numFmtId="0" fontId="173" fillId="35" borderId="52" xfId="0" applyFont="1" applyFill="1" applyBorder="1" applyAlignment="1" applyProtection="1">
      <alignment horizontal="center" vertical="center" wrapText="1"/>
      <protection locked="0"/>
    </xf>
    <xf numFmtId="0" fontId="172" fillId="35" borderId="65" xfId="0" applyFont="1" applyFill="1" applyBorder="1" applyAlignment="1">
      <alignment horizontal="left" vertical="center"/>
    </xf>
    <xf numFmtId="0" fontId="172" fillId="35" borderId="52" xfId="0" applyFont="1" applyFill="1" applyBorder="1" applyAlignment="1">
      <alignment horizontal="left" vertical="center"/>
    </xf>
    <xf numFmtId="0" fontId="65" fillId="35" borderId="10" xfId="0" applyFont="1" applyFill="1" applyBorder="1" applyAlignment="1" applyProtection="1">
      <alignment horizontal="center" vertical="center" wrapText="1"/>
      <protection locked="0"/>
    </xf>
    <xf numFmtId="0" fontId="39" fillId="35" borderId="56" xfId="0" applyFont="1" applyFill="1" applyBorder="1" applyAlignment="1">
      <alignment horizontal="center" vertical="top" wrapText="1"/>
    </xf>
    <xf numFmtId="3" fontId="65" fillId="35" borderId="10" xfId="0" applyNumberFormat="1" applyFont="1" applyFill="1" applyBorder="1" applyAlignment="1" applyProtection="1">
      <alignment horizontal="center" vertical="center" wrapText="1"/>
      <protection locked="0"/>
    </xf>
    <xf numFmtId="0" fontId="115" fillId="35" borderId="56" xfId="0" applyFont="1" applyFill="1" applyBorder="1" applyAlignment="1">
      <alignment horizontal="left" vertical="top" wrapText="1"/>
    </xf>
    <xf numFmtId="0" fontId="115" fillId="35" borderId="84" xfId="0" applyFont="1" applyFill="1" applyBorder="1" applyAlignment="1">
      <alignment horizontal="left" vertical="top" wrapText="1"/>
    </xf>
    <xf numFmtId="0" fontId="115" fillId="35" borderId="10" xfId="0" applyFont="1" applyFill="1" applyBorder="1" applyAlignment="1">
      <alignment horizontal="left" vertical="top" wrapText="1"/>
    </xf>
    <xf numFmtId="0" fontId="115" fillId="35" borderId="45" xfId="0" applyFont="1" applyFill="1" applyBorder="1" applyAlignment="1">
      <alignment horizontal="left" vertical="top" wrapText="1"/>
    </xf>
    <xf numFmtId="0" fontId="115" fillId="35" borderId="20" xfId="0" applyFont="1" applyFill="1" applyBorder="1" applyAlignment="1">
      <alignment horizontal="left" vertical="top" wrapText="1"/>
    </xf>
    <xf numFmtId="0" fontId="115" fillId="35" borderId="64" xfId="0" applyFont="1" applyFill="1" applyBorder="1" applyAlignment="1">
      <alignment horizontal="left" vertical="top" wrapText="1"/>
    </xf>
    <xf numFmtId="0" fontId="39" fillId="35" borderId="56" xfId="0" applyFont="1" applyFill="1" applyBorder="1" applyAlignment="1">
      <alignment horizontal="center" vertical="top"/>
    </xf>
    <xf numFmtId="3" fontId="173" fillId="35" borderId="14" xfId="0" applyNumberFormat="1" applyFont="1" applyFill="1" applyBorder="1" applyAlignment="1">
      <alignment horizontal="center" vertical="center"/>
    </xf>
    <xf numFmtId="0" fontId="173" fillId="35" borderId="14" xfId="0" applyFont="1" applyFill="1" applyBorder="1" applyAlignment="1">
      <alignment horizontal="center" vertical="center"/>
    </xf>
    <xf numFmtId="0" fontId="173" fillId="35" borderId="42" xfId="0" applyFont="1" applyFill="1" applyBorder="1" applyAlignment="1" applyProtection="1">
      <alignment horizontal="left" vertical="center" wrapText="1"/>
      <protection locked="0"/>
    </xf>
    <xf numFmtId="0" fontId="173" fillId="35" borderId="14" xfId="0" applyFont="1" applyFill="1" applyBorder="1" applyAlignment="1" applyProtection="1">
      <alignment horizontal="left" vertical="center" wrapText="1"/>
      <protection locked="0"/>
    </xf>
    <xf numFmtId="0" fontId="173" fillId="35" borderId="34" xfId="0" applyFont="1" applyFill="1" applyBorder="1" applyAlignment="1">
      <alignment horizontal="center" vertical="center"/>
    </xf>
    <xf numFmtId="0" fontId="173" fillId="35" borderId="13" xfId="0" applyFont="1" applyFill="1" applyBorder="1" applyAlignment="1">
      <alignment horizontal="center" vertical="center"/>
    </xf>
    <xf numFmtId="0" fontId="173" fillId="35" borderId="29" xfId="0" applyFont="1" applyFill="1" applyBorder="1" applyAlignment="1">
      <alignment horizontal="center" vertical="center"/>
    </xf>
    <xf numFmtId="0" fontId="39" fillId="35" borderId="85" xfId="0" applyFont="1" applyFill="1" applyBorder="1" applyAlignment="1">
      <alignment horizontal="center" vertical="top"/>
    </xf>
    <xf numFmtId="4" fontId="173" fillId="35" borderId="14" xfId="0" applyNumberFormat="1" applyFont="1" applyFill="1" applyBorder="1" applyAlignment="1" applyProtection="1">
      <alignment horizontal="center" vertical="center"/>
      <protection locked="0"/>
    </xf>
    <xf numFmtId="4" fontId="173" fillId="35" borderId="66" xfId="0" applyNumberFormat="1" applyFont="1" applyFill="1" applyBorder="1" applyAlignment="1" applyProtection="1">
      <alignment horizontal="center" vertical="center"/>
      <protection locked="0"/>
    </xf>
    <xf numFmtId="0" fontId="65" fillId="35" borderId="43" xfId="0" applyFont="1" applyFill="1" applyBorder="1" applyAlignment="1" applyProtection="1">
      <alignment horizontal="center" vertical="center" wrapText="1"/>
      <protection locked="0"/>
    </xf>
    <xf numFmtId="0" fontId="169" fillId="35" borderId="24" xfId="0" applyFont="1" applyFill="1" applyBorder="1" applyAlignment="1" applyProtection="1">
      <alignment horizontal="left" vertical="center"/>
      <protection locked="0"/>
    </xf>
    <xf numFmtId="0" fontId="169" fillId="35" borderId="19" xfId="0" applyFont="1" applyFill="1" applyBorder="1" applyAlignment="1" applyProtection="1">
      <alignment horizontal="left" vertical="center"/>
      <protection locked="0"/>
    </xf>
    <xf numFmtId="0" fontId="168" fillId="35" borderId="19" xfId="0" applyFont="1" applyFill="1" applyBorder="1" applyAlignment="1" applyProtection="1">
      <alignment horizontal="center" vertical="center" wrapText="1"/>
      <protection locked="0"/>
    </xf>
    <xf numFmtId="0" fontId="168" fillId="35" borderId="19" xfId="0" applyFont="1" applyFill="1" applyBorder="1" applyAlignment="1" applyProtection="1">
      <alignment horizontal="center" vertical="center"/>
      <protection locked="0"/>
    </xf>
    <xf numFmtId="0" fontId="57" fillId="35" borderId="19" xfId="0" applyFont="1" applyFill="1" applyBorder="1" applyAlignment="1" applyProtection="1">
      <alignment horizontal="center" vertical="center" wrapText="1"/>
      <protection locked="0"/>
    </xf>
    <xf numFmtId="0" fontId="65" fillId="35" borderId="19" xfId="0" applyFont="1" applyFill="1" applyBorder="1" applyAlignment="1" applyProtection="1">
      <alignment horizontal="center" vertical="center" wrapText="1"/>
      <protection locked="0"/>
    </xf>
    <xf numFmtId="0" fontId="65" fillId="35" borderId="19" xfId="0" applyFont="1" applyFill="1" applyBorder="1" applyAlignment="1" applyProtection="1">
      <alignment horizontal="center" vertical="center"/>
      <protection locked="0"/>
    </xf>
    <xf numFmtId="0" fontId="65" fillId="35" borderId="30" xfId="0" applyFont="1" applyFill="1" applyBorder="1" applyAlignment="1" applyProtection="1">
      <alignment horizontal="center" vertical="center"/>
      <protection locked="0"/>
    </xf>
    <xf numFmtId="0" fontId="177" fillId="35" borderId="0" xfId="0" applyFont="1" applyFill="1" applyBorder="1" applyAlignment="1" applyProtection="1">
      <alignment horizontal="right" vertical="top"/>
      <protection locked="0"/>
    </xf>
    <xf numFmtId="0" fontId="26" fillId="35" borderId="10" xfId="0" applyFont="1" applyFill="1" applyBorder="1" applyAlignment="1" applyProtection="1">
      <alignment horizontal="left" vertical="center"/>
      <protection locked="0"/>
    </xf>
    <xf numFmtId="0" fontId="182" fillId="35" borderId="10" xfId="0" applyFont="1" applyFill="1" applyBorder="1" applyAlignment="1" applyProtection="1">
      <alignment horizontal="right" vertical="center"/>
      <protection locked="0"/>
    </xf>
    <xf numFmtId="173" fontId="182" fillId="35" borderId="10" xfId="0" applyNumberFormat="1" applyFont="1" applyFill="1" applyBorder="1" applyAlignment="1" applyProtection="1">
      <alignment horizontal="left" vertical="center"/>
      <protection locked="0"/>
    </xf>
    <xf numFmtId="0" fontId="172" fillId="35" borderId="10" xfId="0" applyFont="1" applyFill="1" applyBorder="1" applyAlignment="1" applyProtection="1">
      <alignment horizontal="left" vertical="top"/>
      <protection locked="0"/>
    </xf>
    <xf numFmtId="2" fontId="148" fillId="35" borderId="61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2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62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7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0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8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34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13" xfId="0" applyNumberFormat="1" applyFont="1" applyFill="1" applyBorder="1" applyAlignment="1" applyProtection="1">
      <alignment horizontal="center" vertical="top" wrapText="1"/>
      <protection locked="0"/>
    </xf>
    <xf numFmtId="2" fontId="148" fillId="35" borderId="29" xfId="0" applyNumberFormat="1" applyFont="1" applyFill="1" applyBorder="1" applyAlignment="1" applyProtection="1">
      <alignment horizontal="center" vertical="top" wrapText="1"/>
      <protection locked="0"/>
    </xf>
    <xf numFmtId="0" fontId="174" fillId="35" borderId="44" xfId="0" applyFont="1" applyFill="1" applyBorder="1" applyAlignment="1" applyProtection="1">
      <alignment horizontal="left" vertical="center" wrapText="1"/>
      <protection locked="0"/>
    </xf>
    <xf numFmtId="0" fontId="174" fillId="35" borderId="0" xfId="0" applyFont="1" applyFill="1" applyBorder="1" applyAlignment="1" applyProtection="1">
      <alignment horizontal="left" vertical="center" wrapText="1"/>
      <protection locked="0"/>
    </xf>
    <xf numFmtId="14" fontId="138" fillId="71" borderId="18" xfId="0" applyNumberFormat="1" applyFont="1" applyFill="1" applyBorder="1" applyAlignment="1" applyProtection="1">
      <alignment horizontal="center" vertical="center"/>
      <protection locked="0"/>
    </xf>
    <xf numFmtId="14" fontId="138" fillId="71" borderId="23" xfId="0" applyNumberFormat="1" applyFont="1" applyFill="1" applyBorder="1" applyAlignment="1" applyProtection="1">
      <alignment horizontal="center" vertical="center"/>
      <protection locked="0"/>
    </xf>
    <xf numFmtId="14" fontId="138" fillId="71" borderId="21" xfId="0" applyNumberFormat="1" applyFont="1" applyFill="1" applyBorder="1" applyAlignment="1" applyProtection="1">
      <alignment horizontal="center" vertical="center"/>
      <protection locked="0"/>
    </xf>
    <xf numFmtId="0" fontId="181" fillId="35" borderId="18" xfId="0" applyFont="1" applyFill="1" applyBorder="1" applyAlignment="1" applyProtection="1">
      <alignment horizontal="left" vertical="center"/>
      <protection locked="0"/>
    </xf>
    <xf numFmtId="0" fontId="181" fillId="35" borderId="23" xfId="0" applyFont="1" applyFill="1" applyBorder="1" applyAlignment="1" applyProtection="1">
      <alignment horizontal="left" vertical="center"/>
      <protection locked="0"/>
    </xf>
    <xf numFmtId="0" fontId="181" fillId="35" borderId="21" xfId="0" applyFont="1" applyFill="1" applyBorder="1" applyAlignment="1" applyProtection="1">
      <alignment horizontal="left" vertical="center"/>
      <protection locked="0"/>
    </xf>
    <xf numFmtId="0" fontId="180" fillId="35" borderId="0" xfId="0" applyFont="1" applyFill="1" applyBorder="1" applyAlignment="1" applyProtection="1">
      <alignment horizontal="center" vertical="center" wrapText="1"/>
      <protection locked="0"/>
    </xf>
    <xf numFmtId="0" fontId="181" fillId="35" borderId="0" xfId="0" applyFont="1" applyFill="1" applyBorder="1" applyAlignment="1" applyProtection="1">
      <alignment horizontal="left" vertical="center"/>
      <protection locked="0"/>
    </xf>
    <xf numFmtId="14" fontId="138" fillId="35" borderId="0" xfId="0" applyNumberFormat="1" applyFont="1" applyFill="1" applyBorder="1" applyAlignment="1" applyProtection="1">
      <alignment horizontal="center" vertical="center"/>
      <protection locked="0"/>
    </xf>
    <xf numFmtId="3" fontId="115" fillId="35" borderId="0" xfId="0" applyNumberFormat="1" applyFont="1" applyFill="1" applyBorder="1" applyAlignment="1" applyProtection="1">
      <alignment horizontal="center" vertical="center"/>
      <protection locked="0"/>
    </xf>
    <xf numFmtId="0" fontId="172" fillId="35" borderId="14" xfId="0" applyFont="1" applyFill="1" applyBorder="1" applyAlignment="1" applyProtection="1">
      <alignment horizontal="center" vertical="center"/>
      <protection locked="0"/>
    </xf>
    <xf numFmtId="0" fontId="181" fillId="35" borderId="10" xfId="0" applyFont="1" applyFill="1" applyBorder="1" applyAlignment="1" applyProtection="1">
      <alignment horizontal="left" vertical="center"/>
      <protection locked="0"/>
    </xf>
    <xf numFmtId="3" fontId="138" fillId="35" borderId="10" xfId="0" applyNumberFormat="1" applyFont="1" applyFill="1" applyBorder="1" applyAlignment="1" applyProtection="1">
      <alignment horizontal="center" vertical="center"/>
      <protection locked="0"/>
    </xf>
    <xf numFmtId="3" fontId="134" fillId="35" borderId="10" xfId="0" applyNumberFormat="1" applyFont="1" applyFill="1" applyBorder="1" applyAlignment="1" applyProtection="1">
      <alignment horizontal="center" vertical="center"/>
      <protection locked="0"/>
    </xf>
    <xf numFmtId="3" fontId="115" fillId="35" borderId="10" xfId="0" applyNumberFormat="1" applyFont="1" applyFill="1" applyBorder="1" applyAlignment="1" applyProtection="1">
      <alignment horizontal="center" vertical="center"/>
      <protection locked="0"/>
    </xf>
    <xf numFmtId="0" fontId="26" fillId="35" borderId="61" xfId="0" applyFont="1" applyFill="1" applyBorder="1" applyAlignment="1">
      <alignment horizontal="center" vertical="center" wrapText="1"/>
    </xf>
    <xf numFmtId="0" fontId="26" fillId="35" borderId="22" xfId="0" applyFont="1" applyFill="1" applyBorder="1" applyAlignment="1">
      <alignment horizontal="center" vertical="center" wrapText="1"/>
    </xf>
    <xf numFmtId="0" fontId="26" fillId="35" borderId="62" xfId="0" applyFont="1" applyFill="1" applyBorder="1" applyAlignment="1">
      <alignment horizontal="center" vertical="center" wrapText="1"/>
    </xf>
    <xf numFmtId="0" fontId="26" fillId="35" borderId="27" xfId="0" applyFont="1" applyFill="1" applyBorder="1" applyAlignment="1">
      <alignment horizontal="center" vertical="center" wrapText="1"/>
    </xf>
    <xf numFmtId="0" fontId="26" fillId="35" borderId="0" xfId="0" applyFont="1" applyFill="1" applyBorder="1" applyAlignment="1">
      <alignment horizontal="center" vertical="center" wrapText="1"/>
    </xf>
    <xf numFmtId="0" fontId="26" fillId="35" borderId="28" xfId="0" applyFont="1" applyFill="1" applyBorder="1" applyAlignment="1">
      <alignment horizontal="center" vertical="center" wrapText="1"/>
    </xf>
    <xf numFmtId="0" fontId="26" fillId="35" borderId="34" xfId="0" applyFont="1" applyFill="1" applyBorder="1" applyAlignment="1">
      <alignment horizontal="center" vertical="center" wrapText="1"/>
    </xf>
    <xf numFmtId="0" fontId="26" fillId="35" borderId="13" xfId="0" applyFont="1" applyFill="1" applyBorder="1" applyAlignment="1">
      <alignment horizontal="center" vertical="center" wrapText="1"/>
    </xf>
    <xf numFmtId="0" fontId="26" fillId="35" borderId="29" xfId="0" applyFont="1" applyFill="1" applyBorder="1" applyAlignment="1">
      <alignment horizontal="center" vertical="center" wrapText="1"/>
    </xf>
    <xf numFmtId="0" fontId="134" fillId="35" borderId="34" xfId="0" applyFont="1" applyFill="1" applyBorder="1" applyAlignment="1" applyProtection="1">
      <alignment horizontal="center" vertical="center"/>
      <protection locked="0"/>
    </xf>
    <xf numFmtId="0" fontId="134" fillId="35" borderId="13" xfId="0" applyFont="1" applyFill="1" applyBorder="1" applyAlignment="1" applyProtection="1">
      <alignment horizontal="center" vertical="center"/>
      <protection locked="0"/>
    </xf>
    <xf numFmtId="0" fontId="134" fillId="35" borderId="29" xfId="0" applyFont="1" applyFill="1" applyBorder="1" applyAlignment="1" applyProtection="1">
      <alignment horizontal="center" vertical="center"/>
      <protection locked="0"/>
    </xf>
    <xf numFmtId="0" fontId="172" fillId="35" borderId="61" xfId="0" applyFont="1" applyFill="1" applyBorder="1" applyAlignment="1" applyProtection="1">
      <alignment horizontal="center" vertical="top"/>
      <protection locked="0"/>
    </xf>
    <xf numFmtId="0" fontId="172" fillId="35" borderId="22" xfId="0" applyFont="1" applyFill="1" applyBorder="1" applyAlignment="1" applyProtection="1">
      <alignment horizontal="center" vertical="top"/>
      <protection locked="0"/>
    </xf>
    <xf numFmtId="0" fontId="172" fillId="35" borderId="62" xfId="0" applyFont="1" applyFill="1" applyBorder="1" applyAlignment="1" applyProtection="1">
      <alignment horizontal="center" vertical="top"/>
      <protection locked="0"/>
    </xf>
    <xf numFmtId="0" fontId="172" fillId="35" borderId="27" xfId="0" applyFont="1" applyFill="1" applyBorder="1" applyAlignment="1" applyProtection="1">
      <alignment horizontal="center" vertical="top"/>
      <protection locked="0"/>
    </xf>
    <xf numFmtId="0" fontId="172" fillId="35" borderId="0" xfId="0" applyFont="1" applyFill="1" applyBorder="1" applyAlignment="1" applyProtection="1">
      <alignment horizontal="center" vertical="top"/>
      <protection locked="0"/>
    </xf>
    <xf numFmtId="0" fontId="172" fillId="35" borderId="28" xfId="0" applyFont="1" applyFill="1" applyBorder="1" applyAlignment="1" applyProtection="1">
      <alignment horizontal="center" vertical="top"/>
      <protection locked="0"/>
    </xf>
    <xf numFmtId="0" fontId="172" fillId="35" borderId="34" xfId="0" applyFont="1" applyFill="1" applyBorder="1" applyAlignment="1" applyProtection="1">
      <alignment horizontal="center" vertical="top"/>
      <protection locked="0"/>
    </xf>
    <xf numFmtId="0" fontId="172" fillId="35" borderId="13" xfId="0" applyFont="1" applyFill="1" applyBorder="1" applyAlignment="1" applyProtection="1">
      <alignment horizontal="center" vertical="top"/>
      <protection locked="0"/>
    </xf>
    <xf numFmtId="0" fontId="172" fillId="35" borderId="29" xfId="0" applyFont="1" applyFill="1" applyBorder="1" applyAlignment="1" applyProtection="1">
      <alignment horizontal="center" vertical="top"/>
      <protection locked="0"/>
    </xf>
    <xf numFmtId="0" fontId="177" fillId="35" borderId="18" xfId="0" applyFont="1" applyFill="1" applyBorder="1" applyAlignment="1">
      <alignment horizontal="center" vertical="center"/>
    </xf>
    <xf numFmtId="0" fontId="177" fillId="35" borderId="23" xfId="0" applyFont="1" applyFill="1" applyBorder="1" applyAlignment="1">
      <alignment horizontal="center" vertical="center"/>
    </xf>
    <xf numFmtId="0" fontId="26" fillId="35" borderId="18" xfId="0" applyFont="1" applyFill="1" applyBorder="1" applyAlignment="1">
      <alignment horizontal="center" vertical="center"/>
    </xf>
    <xf numFmtId="0" fontId="26" fillId="35" borderId="23" xfId="0" applyFont="1" applyFill="1" applyBorder="1" applyAlignment="1">
      <alignment horizontal="center" vertical="center"/>
    </xf>
    <xf numFmtId="0" fontId="26" fillId="35" borderId="21" xfId="0" applyFont="1" applyFill="1" applyBorder="1" applyAlignment="1">
      <alignment horizontal="center" vertical="center"/>
    </xf>
    <xf numFmtId="0" fontId="172" fillId="35" borderId="10" xfId="0" applyFont="1" applyFill="1" applyBorder="1" applyAlignment="1" applyProtection="1">
      <alignment horizontal="center" vertical="center"/>
      <protection locked="0"/>
    </xf>
    <xf numFmtId="0" fontId="134" fillId="35" borderId="18" xfId="0" applyFont="1" applyFill="1" applyBorder="1" applyAlignment="1" applyProtection="1">
      <alignment horizontal="center" vertical="center"/>
      <protection locked="0"/>
    </xf>
    <xf numFmtId="0" fontId="134" fillId="35" borderId="23" xfId="0" applyFont="1" applyFill="1" applyBorder="1" applyAlignment="1" applyProtection="1">
      <alignment horizontal="center" vertical="center"/>
      <protection locked="0"/>
    </xf>
    <xf numFmtId="0" fontId="134" fillId="35" borderId="21" xfId="0" applyFont="1" applyFill="1" applyBorder="1" applyAlignment="1" applyProtection="1">
      <alignment horizontal="center" vertical="center"/>
      <protection locked="0"/>
    </xf>
    <xf numFmtId="0" fontId="172" fillId="35" borderId="10" xfId="0" applyFont="1" applyFill="1" applyBorder="1" applyAlignment="1" applyProtection="1">
      <alignment horizontal="left" vertical="center"/>
      <protection locked="0"/>
    </xf>
    <xf numFmtId="0" fontId="27" fillId="35" borderId="10" xfId="0" applyFont="1" applyFill="1" applyBorder="1" applyAlignment="1" applyProtection="1">
      <alignment horizontal="center" vertical="center"/>
      <protection locked="0"/>
    </xf>
    <xf numFmtId="0" fontId="115" fillId="35" borderId="18" xfId="0" applyFont="1" applyFill="1" applyBorder="1" applyAlignment="1">
      <alignment horizontal="right" vertical="center"/>
    </xf>
    <xf numFmtId="0" fontId="115" fillId="35" borderId="21" xfId="0" applyFont="1" applyFill="1" applyBorder="1" applyAlignment="1">
      <alignment horizontal="right" vertical="center"/>
    </xf>
    <xf numFmtId="0" fontId="65" fillId="35" borderId="10" xfId="0" applyFont="1" applyFill="1" applyBorder="1" applyAlignment="1" applyProtection="1">
      <alignment horizontal="center" vertical="center"/>
      <protection locked="0"/>
    </xf>
    <xf numFmtId="0" fontId="65" fillId="35" borderId="45" xfId="0" applyFont="1" applyFill="1" applyBorder="1" applyAlignment="1" applyProtection="1">
      <alignment horizontal="center" vertical="center"/>
      <protection locked="0"/>
    </xf>
    <xf numFmtId="0" fontId="65" fillId="71" borderId="10" xfId="0" applyFont="1" applyFill="1" applyBorder="1" applyAlignment="1" applyProtection="1">
      <alignment horizontal="center" vertical="center" wrapText="1"/>
      <protection locked="0"/>
    </xf>
    <xf numFmtId="0" fontId="65" fillId="71" borderId="10" xfId="0" applyFont="1" applyFill="1" applyBorder="1" applyAlignment="1" applyProtection="1">
      <alignment horizontal="center" vertical="center"/>
      <protection locked="0"/>
    </xf>
    <xf numFmtId="0" fontId="65" fillId="71" borderId="45" xfId="0" applyFont="1" applyFill="1" applyBorder="1" applyAlignment="1" applyProtection="1">
      <alignment horizontal="center" vertical="center"/>
      <protection locked="0"/>
    </xf>
    <xf numFmtId="0" fontId="173" fillId="35" borderId="18" xfId="0" applyFont="1" applyFill="1" applyBorder="1" applyAlignment="1">
      <alignment horizontal="left" vertical="top"/>
    </xf>
    <xf numFmtId="0" fontId="173" fillId="35" borderId="23" xfId="0" applyFont="1" applyFill="1" applyBorder="1" applyAlignment="1">
      <alignment horizontal="left" vertical="top"/>
    </xf>
    <xf numFmtId="0" fontId="173" fillId="35" borderId="21" xfId="0" applyFont="1" applyFill="1" applyBorder="1" applyAlignment="1">
      <alignment horizontal="left" vertical="top"/>
    </xf>
    <xf numFmtId="0" fontId="11" fillId="37" borderId="61" xfId="0" applyFont="1" applyFill="1" applyBorder="1" applyAlignment="1" applyProtection="1">
      <alignment horizontal="left" vertical="top" wrapText="1"/>
      <protection locked="0"/>
    </xf>
    <xf numFmtId="0" fontId="11" fillId="37" borderId="62" xfId="0" applyFont="1" applyFill="1" applyBorder="1" applyAlignment="1" applyProtection="1">
      <alignment horizontal="left" vertical="top" wrapText="1"/>
      <protection locked="0"/>
    </xf>
    <xf numFmtId="0" fontId="11" fillId="37" borderId="27" xfId="0" applyFont="1" applyFill="1" applyBorder="1" applyAlignment="1" applyProtection="1">
      <alignment horizontal="left" vertical="top" wrapText="1"/>
      <protection locked="0"/>
    </xf>
    <xf numFmtId="0" fontId="11" fillId="37" borderId="28" xfId="0" applyFont="1" applyFill="1" applyBorder="1" applyAlignment="1" applyProtection="1">
      <alignment horizontal="left" vertical="top" wrapText="1"/>
      <protection locked="0"/>
    </xf>
    <xf numFmtId="0" fontId="11" fillId="37" borderId="34" xfId="0" applyFont="1" applyFill="1" applyBorder="1" applyAlignment="1" applyProtection="1">
      <alignment horizontal="left" vertical="top" wrapText="1"/>
      <protection locked="0"/>
    </xf>
    <xf numFmtId="0" fontId="11" fillId="37" borderId="29" xfId="0" applyFont="1" applyFill="1" applyBorder="1" applyAlignment="1" applyProtection="1">
      <alignment horizontal="left" vertical="top" wrapText="1"/>
      <protection locked="0"/>
    </xf>
    <xf numFmtId="0" fontId="0" fillId="0" borderId="13" xfId="0" applyFont="1" applyFill="1" applyBorder="1" applyAlignment="1" applyProtection="1">
      <alignment horizontal="left" vertical="top" wrapText="1"/>
      <protection locked="0"/>
    </xf>
    <xf numFmtId="0" fontId="11" fillId="0" borderId="15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 textRotation="90"/>
    </xf>
    <xf numFmtId="0" fontId="11" fillId="0" borderId="49" xfId="0" applyFont="1" applyBorder="1" applyAlignment="1">
      <alignment horizontal="center" vertical="center" textRotation="90"/>
    </xf>
    <xf numFmtId="0" fontId="64" fillId="0" borderId="15" xfId="0" applyFont="1" applyBorder="1" applyAlignment="1">
      <alignment horizontal="center" vertical="center" textRotation="90" wrapText="1"/>
    </xf>
    <xf numFmtId="0" fontId="64" fillId="0" borderId="49" xfId="0" applyFont="1" applyBorder="1" applyAlignment="1">
      <alignment horizontal="center" vertical="center" textRotation="90" wrapText="1"/>
    </xf>
    <xf numFmtId="0" fontId="11" fillId="0" borderId="15" xfId="0" applyFont="1" applyBorder="1" applyAlignment="1">
      <alignment horizontal="center" vertical="center" wrapText="1"/>
    </xf>
    <xf numFmtId="0" fontId="11" fillId="0" borderId="49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textRotation="90" wrapText="1"/>
    </xf>
    <xf numFmtId="0" fontId="11" fillId="0" borderId="49" xfId="0" applyFont="1" applyBorder="1" applyAlignment="1">
      <alignment horizontal="center" vertical="center" textRotation="90" wrapText="1"/>
    </xf>
    <xf numFmtId="0" fontId="11" fillId="0" borderId="15" xfId="0" applyFont="1" applyFill="1" applyBorder="1" applyAlignment="1">
      <alignment horizontal="center" vertical="center" wrapText="1"/>
    </xf>
    <xf numFmtId="0" fontId="11" fillId="0" borderId="49" xfId="0" applyFont="1" applyFill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49" fontId="3" fillId="0" borderId="71" xfId="0" applyNumberFormat="1" applyFont="1" applyBorder="1" applyAlignment="1">
      <alignment horizontal="center" vertical="center" wrapText="1"/>
    </xf>
    <xf numFmtId="49" fontId="3" fillId="0" borderId="72" xfId="0" applyNumberFormat="1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15" fillId="0" borderId="0" xfId="0" applyFont="1" applyFill="1" applyAlignment="1">
      <alignment horizontal="left"/>
    </xf>
    <xf numFmtId="4" fontId="11" fillId="0" borderId="21" xfId="0" applyNumberFormat="1" applyFont="1" applyFill="1" applyBorder="1" applyAlignment="1">
      <alignment horizontal="center" vertical="center"/>
    </xf>
    <xf numFmtId="4" fontId="11" fillId="0" borderId="10" xfId="0" applyNumberFormat="1" applyFont="1" applyFill="1" applyBorder="1" applyAlignment="1">
      <alignment horizontal="center" vertical="center"/>
    </xf>
    <xf numFmtId="4" fontId="11" fillId="0" borderId="45" xfId="0" applyNumberFormat="1" applyFont="1" applyFill="1" applyBorder="1" applyAlignment="1">
      <alignment horizontal="center" vertical="center"/>
    </xf>
    <xf numFmtId="0" fontId="31" fillId="35" borderId="25" xfId="0" applyFont="1" applyFill="1" applyBorder="1" applyAlignment="1">
      <alignment horizontal="center" vertical="center" wrapText="1"/>
    </xf>
    <xf numFmtId="0" fontId="31" fillId="35" borderId="26" xfId="0" applyFont="1" applyFill="1" applyBorder="1" applyAlignment="1">
      <alignment horizontal="center" vertical="center" wrapText="1"/>
    </xf>
    <xf numFmtId="3" fontId="0" fillId="0" borderId="14" xfId="0" applyNumberFormat="1" applyFill="1" applyBorder="1" applyAlignment="1">
      <alignment horizontal="center" vertical="center"/>
    </xf>
    <xf numFmtId="3" fontId="11" fillId="0" borderId="34" xfId="0" applyNumberFormat="1" applyFont="1" applyFill="1" applyBorder="1" applyAlignment="1">
      <alignment horizontal="center" vertical="center"/>
    </xf>
    <xf numFmtId="3" fontId="11" fillId="0" borderId="13" xfId="0" applyNumberFormat="1" applyFont="1" applyFill="1" applyBorder="1" applyAlignment="1">
      <alignment horizontal="center" vertical="center"/>
    </xf>
    <xf numFmtId="0" fontId="23" fillId="35" borderId="25" xfId="0" applyFont="1" applyFill="1" applyBorder="1" applyAlignment="1">
      <alignment horizontal="center" vertical="center" wrapText="1"/>
    </xf>
    <xf numFmtId="0" fontId="23" fillId="35" borderId="11" xfId="0" applyFont="1" applyFill="1" applyBorder="1" applyAlignment="1">
      <alignment horizontal="center" vertical="center" wrapText="1"/>
    </xf>
    <xf numFmtId="0" fontId="23" fillId="35" borderId="26" xfId="0" applyFont="1" applyFill="1" applyBorder="1" applyAlignment="1">
      <alignment horizontal="center" vertical="center" wrapText="1"/>
    </xf>
    <xf numFmtId="3" fontId="0" fillId="0" borderId="65" xfId="0" applyNumberFormat="1" applyFill="1" applyBorder="1" applyAlignment="1">
      <alignment horizontal="center" vertical="center"/>
    </xf>
    <xf numFmtId="3" fontId="0" fillId="0" borderId="52" xfId="0" applyNumberFormat="1" applyFill="1" applyBorder="1" applyAlignment="1">
      <alignment horizontal="center" vertical="center"/>
    </xf>
    <xf numFmtId="3" fontId="0" fillId="0" borderId="75" xfId="0" applyNumberFormat="1" applyFill="1" applyBorder="1" applyAlignment="1">
      <alignment horizontal="center" vertical="center"/>
    </xf>
    <xf numFmtId="3" fontId="0" fillId="0" borderId="18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3" fontId="0" fillId="0" borderId="21" xfId="0" applyNumberFormat="1" applyFill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11" fillId="0" borderId="6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3" fontId="11" fillId="0" borderId="18" xfId="0" applyNumberFormat="1" applyFont="1" applyFill="1" applyBorder="1" applyAlignment="1">
      <alignment horizontal="center" vertical="center"/>
    </xf>
    <xf numFmtId="3" fontId="11" fillId="0" borderId="23" xfId="0" applyNumberFormat="1" applyFont="1" applyFill="1" applyBorder="1" applyAlignment="1">
      <alignment horizontal="center" vertical="center"/>
    </xf>
    <xf numFmtId="0" fontId="39" fillId="0" borderId="0" xfId="0" applyFont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0" fontId="11" fillId="35" borderId="25" xfId="0" applyFont="1" applyFill="1" applyBorder="1" applyAlignment="1">
      <alignment horizontal="center" vertical="center" wrapText="1"/>
    </xf>
    <xf numFmtId="0" fontId="11" fillId="35" borderId="11" xfId="0" applyFont="1" applyFill="1" applyBorder="1" applyAlignment="1">
      <alignment horizontal="center" vertical="center" wrapText="1"/>
    </xf>
    <xf numFmtId="0" fontId="11" fillId="35" borderId="40" xfId="0" applyFont="1" applyFill="1" applyBorder="1" applyAlignment="1">
      <alignment horizontal="center" vertical="center" wrapText="1"/>
    </xf>
    <xf numFmtId="4" fontId="11" fillId="0" borderId="29" xfId="0" applyNumberFormat="1" applyFont="1" applyFill="1" applyBorder="1" applyAlignment="1">
      <alignment horizontal="center" vertical="center"/>
    </xf>
    <xf numFmtId="4" fontId="11" fillId="0" borderId="14" xfId="0" applyNumberFormat="1" applyFont="1" applyFill="1" applyBorder="1" applyAlignment="1">
      <alignment horizontal="center" vertical="center"/>
    </xf>
    <xf numFmtId="4" fontId="11" fillId="0" borderId="66" xfId="0" applyNumberFormat="1" applyFont="1" applyFill="1" applyBorder="1" applyAlignment="1">
      <alignment horizontal="center" vertical="center"/>
    </xf>
    <xf numFmtId="0" fontId="31" fillId="35" borderId="11" xfId="0" applyFont="1" applyFill="1" applyBorder="1" applyAlignment="1">
      <alignment horizontal="center" vertical="center" wrapText="1"/>
    </xf>
    <xf numFmtId="0" fontId="0" fillId="0" borderId="42" xfId="0" applyFill="1" applyBorder="1" applyAlignment="1">
      <alignment horizontal="left" vertical="center"/>
    </xf>
    <xf numFmtId="0" fontId="0" fillId="0" borderId="14" xfId="0" applyFill="1" applyBorder="1" applyAlignment="1">
      <alignment horizontal="left" vertical="center"/>
    </xf>
    <xf numFmtId="0" fontId="0" fillId="35" borderId="58" xfId="0" applyFont="1" applyFill="1" applyBorder="1" applyAlignment="1">
      <alignment horizontal="center" vertical="center"/>
    </xf>
    <xf numFmtId="0" fontId="0" fillId="35" borderId="11" xfId="0" applyFont="1" applyFill="1" applyBorder="1" applyAlignment="1">
      <alignment horizontal="center" vertical="center"/>
    </xf>
    <xf numFmtId="0" fontId="0" fillId="0" borderId="43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69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81" xfId="0" applyFont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11" fillId="35" borderId="76" xfId="0" applyFont="1" applyFill="1" applyBorder="1" applyAlignment="1">
      <alignment horizontal="center" vertical="center"/>
    </xf>
    <xf numFmtId="0" fontId="11" fillId="35" borderId="17" xfId="0" applyFont="1" applyFill="1" applyBorder="1" applyAlignment="1">
      <alignment horizontal="center" vertical="center"/>
    </xf>
    <xf numFmtId="0" fontId="11" fillId="35" borderId="57" xfId="0" applyFont="1" applyFill="1" applyBorder="1" applyAlignment="1">
      <alignment horizontal="center" vertical="center"/>
    </xf>
    <xf numFmtId="0" fontId="11" fillId="35" borderId="12" xfId="0" applyFont="1" applyFill="1" applyBorder="1" applyAlignment="1">
      <alignment horizontal="center" vertical="center"/>
    </xf>
    <xf numFmtId="0" fontId="163" fillId="35" borderId="83" xfId="0" applyFont="1" applyFill="1" applyBorder="1" applyAlignment="1">
      <alignment horizontal="left" textRotation="90" wrapText="1"/>
    </xf>
    <xf numFmtId="0" fontId="163" fillId="35" borderId="49" xfId="0" applyFont="1" applyFill="1" applyBorder="1" applyAlignment="1">
      <alignment horizontal="left" textRotation="90" wrapText="1"/>
    </xf>
    <xf numFmtId="0" fontId="0" fillId="35" borderId="56" xfId="0" applyFill="1" applyBorder="1" applyAlignment="1">
      <alignment horizontal="center" vertical="center"/>
    </xf>
    <xf numFmtId="0" fontId="0" fillId="35" borderId="31" xfId="0" applyFill="1" applyBorder="1" applyAlignment="1">
      <alignment horizontal="center" vertical="center"/>
    </xf>
    <xf numFmtId="0" fontId="11" fillId="35" borderId="56" xfId="0" applyFont="1" applyFill="1" applyBorder="1" applyAlignment="1">
      <alignment horizontal="center" vertical="center"/>
    </xf>
    <xf numFmtId="0" fontId="11" fillId="35" borderId="31" xfId="0" applyFont="1" applyFill="1" applyBorder="1" applyAlignment="1">
      <alignment horizontal="center" vertical="center"/>
    </xf>
    <xf numFmtId="0" fontId="11" fillId="35" borderId="71" xfId="0" applyFont="1" applyFill="1" applyBorder="1" applyAlignment="1">
      <alignment horizontal="center" vertical="center" wrapText="1"/>
    </xf>
    <xf numFmtId="0" fontId="11" fillId="35" borderId="17" xfId="0" applyFont="1" applyFill="1" applyBorder="1" applyAlignment="1">
      <alignment horizontal="center" vertical="center" wrapText="1"/>
    </xf>
    <xf numFmtId="0" fontId="11" fillId="35" borderId="79" xfId="0" applyFont="1" applyFill="1" applyBorder="1" applyAlignment="1">
      <alignment horizontal="center" vertical="center" wrapText="1"/>
    </xf>
    <xf numFmtId="0" fontId="11" fillId="35" borderId="69" xfId="0" applyFont="1" applyFill="1" applyBorder="1" applyAlignment="1">
      <alignment horizontal="center" vertical="center" wrapText="1"/>
    </xf>
    <xf numFmtId="0" fontId="11" fillId="35" borderId="12" xfId="0" applyFont="1" applyFill="1" applyBorder="1" applyAlignment="1">
      <alignment horizontal="center" vertical="center" wrapText="1"/>
    </xf>
    <xf numFmtId="0" fontId="11" fillId="35" borderId="41" xfId="0" applyFont="1" applyFill="1" applyBorder="1" applyAlignment="1">
      <alignment horizontal="center" vertical="center" wrapText="1"/>
    </xf>
    <xf numFmtId="0" fontId="39" fillId="0" borderId="0" xfId="0" applyFont="1" applyFill="1" applyAlignment="1">
      <alignment horizontal="center"/>
    </xf>
    <xf numFmtId="0" fontId="31" fillId="35" borderId="1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38" fillId="0" borderId="18" xfId="0" applyFont="1" applyBorder="1" applyAlignment="1">
      <alignment horizontal="left" vertical="center"/>
    </xf>
    <xf numFmtId="0" fontId="38" fillId="0" borderId="23" xfId="0" applyFont="1" applyBorder="1" applyAlignment="1">
      <alignment horizontal="left" vertical="center"/>
    </xf>
    <xf numFmtId="0" fontId="38" fillId="0" borderId="21" xfId="0" applyFont="1" applyBorder="1" applyAlignment="1">
      <alignment horizontal="left" vertical="center"/>
    </xf>
    <xf numFmtId="0" fontId="0" fillId="0" borderId="1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Alignment="1">
      <alignment horizontal="center" wrapText="1"/>
    </xf>
    <xf numFmtId="0" fontId="25" fillId="0" borderId="13" xfId="0" applyFont="1" applyFill="1" applyBorder="1" applyAlignment="1">
      <alignment horizontal="center"/>
    </xf>
    <xf numFmtId="0" fontId="25" fillId="0" borderId="13" xfId="0" applyFont="1" applyFill="1" applyBorder="1" applyAlignment="1">
      <alignment horizontal="center" wrapText="1"/>
    </xf>
    <xf numFmtId="3" fontId="26" fillId="0" borderId="13" xfId="0" applyNumberFormat="1" applyFont="1" applyFill="1" applyBorder="1" applyAlignment="1">
      <alignment horizontal="center"/>
    </xf>
    <xf numFmtId="0" fontId="26" fillId="0" borderId="13" xfId="0" applyFont="1" applyFill="1" applyBorder="1" applyAlignment="1">
      <alignment horizontal="center"/>
    </xf>
    <xf numFmtId="0" fontId="38" fillId="0" borderId="61" xfId="0" applyFont="1" applyFill="1" applyBorder="1" applyAlignment="1">
      <alignment horizontal="center" vertical="center" wrapText="1"/>
    </xf>
    <xf numFmtId="0" fontId="38" fillId="0" borderId="22" xfId="0" applyFont="1" applyFill="1" applyBorder="1" applyAlignment="1">
      <alignment horizontal="center" vertical="center" wrapText="1"/>
    </xf>
    <xf numFmtId="0" fontId="38" fillId="0" borderId="62" xfId="0" applyFont="1" applyFill="1" applyBorder="1" applyAlignment="1">
      <alignment horizontal="center" vertical="center" wrapText="1"/>
    </xf>
    <xf numFmtId="0" fontId="38" fillId="0" borderId="34" xfId="0" applyFont="1" applyFill="1" applyBorder="1" applyAlignment="1">
      <alignment horizontal="center" vertical="center" wrapText="1"/>
    </xf>
    <xf numFmtId="0" fontId="38" fillId="0" borderId="13" xfId="0" applyFont="1" applyFill="1" applyBorder="1" applyAlignment="1">
      <alignment horizontal="center" vertical="center" wrapText="1"/>
    </xf>
    <xf numFmtId="0" fontId="38" fillId="0" borderId="29" xfId="0" applyFont="1" applyFill="1" applyBorder="1" applyAlignment="1">
      <alignment horizontal="center" vertical="center" wrapText="1"/>
    </xf>
    <xf numFmtId="0" fontId="64" fillId="0" borderId="10" xfId="0" applyFont="1" applyFill="1" applyBorder="1" applyAlignment="1">
      <alignment horizontal="center" vertical="center"/>
    </xf>
    <xf numFmtId="169" fontId="0" fillId="0" borderId="18" xfId="0" applyNumberFormat="1" applyFill="1" applyBorder="1" applyAlignment="1">
      <alignment horizontal="center" vertical="center" wrapText="1"/>
    </xf>
    <xf numFmtId="169" fontId="0" fillId="0" borderId="23" xfId="0" applyNumberFormat="1" applyFont="1" applyFill="1" applyBorder="1" applyAlignment="1">
      <alignment horizontal="center" vertical="center" wrapText="1"/>
    </xf>
    <xf numFmtId="169" fontId="0" fillId="0" borderId="21" xfId="0" applyNumberFormat="1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/>
      <protection locked="0"/>
    </xf>
    <xf numFmtId="0" fontId="11" fillId="35" borderId="26" xfId="0" applyFont="1" applyFill="1" applyBorder="1" applyAlignment="1">
      <alignment horizontal="center" vertical="center" wrapText="1"/>
    </xf>
    <xf numFmtId="0" fontId="31" fillId="35" borderId="25" xfId="0" applyFont="1" applyFill="1" applyBorder="1" applyAlignment="1">
      <alignment horizontal="center" vertical="center"/>
    </xf>
    <xf numFmtId="0" fontId="31" fillId="35" borderId="11" xfId="0" applyFont="1" applyFill="1" applyBorder="1" applyAlignment="1">
      <alignment horizontal="center" vertical="center"/>
    </xf>
    <xf numFmtId="0" fontId="31" fillId="35" borderId="26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35" borderId="19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57" fillId="0" borderId="46" xfId="0" applyFont="1" applyBorder="1" applyAlignment="1">
      <alignment vertical="center"/>
    </xf>
    <xf numFmtId="0" fontId="57" fillId="0" borderId="23" xfId="0" applyFont="1" applyBorder="1" applyAlignment="1">
      <alignment vertical="center"/>
    </xf>
    <xf numFmtId="0" fontId="57" fillId="0" borderId="21" xfId="0" applyFont="1" applyBorder="1" applyAlignment="1">
      <alignment vertical="center"/>
    </xf>
    <xf numFmtId="0" fontId="57" fillId="0" borderId="46" xfId="0" applyFont="1" applyBorder="1" applyAlignment="1">
      <alignment vertical="center" wrapText="1"/>
    </xf>
    <xf numFmtId="0" fontId="57" fillId="0" borderId="23" xfId="0" applyFont="1" applyBorder="1" applyAlignment="1">
      <alignment vertical="center" wrapText="1"/>
    </xf>
    <xf numFmtId="0" fontId="57" fillId="0" borderId="21" xfId="0" applyFont="1" applyBorder="1" applyAlignment="1">
      <alignment vertical="center" wrapText="1"/>
    </xf>
    <xf numFmtId="0" fontId="57" fillId="0" borderId="46" xfId="0" applyFont="1" applyBorder="1" applyAlignment="1">
      <alignment horizontal="left" vertical="center"/>
    </xf>
    <xf numFmtId="0" fontId="57" fillId="0" borderId="23" xfId="0" applyFont="1" applyBorder="1" applyAlignment="1">
      <alignment horizontal="left" vertical="center"/>
    </xf>
    <xf numFmtId="0" fontId="57" fillId="0" borderId="21" xfId="0" applyFont="1" applyBorder="1" applyAlignment="1">
      <alignment horizontal="left" vertical="center"/>
    </xf>
    <xf numFmtId="0" fontId="11" fillId="72" borderId="46" xfId="0" applyFont="1" applyFill="1" applyBorder="1" applyAlignment="1">
      <alignment horizontal="left" vertical="center" wrapText="1"/>
    </xf>
    <xf numFmtId="0" fontId="11" fillId="72" borderId="23" xfId="0" applyFont="1" applyFill="1" applyBorder="1" applyAlignment="1">
      <alignment horizontal="left" vertical="center" wrapText="1"/>
    </xf>
    <xf numFmtId="0" fontId="11" fillId="72" borderId="51" xfId="0" applyFont="1" applyFill="1" applyBorder="1" applyAlignment="1">
      <alignment horizontal="left" vertical="center" wrapText="1"/>
    </xf>
    <xf numFmtId="0" fontId="11" fillId="72" borderId="52" xfId="0" applyFont="1" applyFill="1" applyBorder="1" applyAlignment="1">
      <alignment horizontal="left" vertical="center" wrapText="1"/>
    </xf>
    <xf numFmtId="0" fontId="11" fillId="35" borderId="58" xfId="0" applyFont="1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/>
    </xf>
    <xf numFmtId="0" fontId="177" fillId="0" borderId="87" xfId="0" applyFont="1" applyBorder="1" applyAlignment="1">
      <alignment horizontal="left" vertical="top" wrapText="1"/>
    </xf>
    <xf numFmtId="0" fontId="177" fillId="0" borderId="88" xfId="0" applyFont="1" applyBorder="1" applyAlignment="1">
      <alignment horizontal="left" vertical="top" wrapText="1"/>
    </xf>
    <xf numFmtId="0" fontId="11" fillId="72" borderId="46" xfId="0" applyFont="1" applyFill="1" applyBorder="1" applyAlignment="1">
      <alignment vertical="center"/>
    </xf>
    <xf numFmtId="0" fontId="11" fillId="72" borderId="23" xfId="0" applyFont="1" applyFill="1" applyBorder="1" applyAlignment="1">
      <alignment vertical="center"/>
    </xf>
    <xf numFmtId="0" fontId="11" fillId="0" borderId="57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81" xfId="0" applyFont="1" applyBorder="1" applyAlignment="1">
      <alignment vertical="center" wrapText="1"/>
    </xf>
    <xf numFmtId="0" fontId="11" fillId="72" borderId="46" xfId="0" applyFont="1" applyFill="1" applyBorder="1" applyAlignment="1">
      <alignment vertical="center" wrapText="1"/>
    </xf>
    <xf numFmtId="0" fontId="11" fillId="72" borderId="23" xfId="0" applyFont="1" applyFill="1" applyBorder="1" applyAlignment="1">
      <alignment vertical="center" wrapText="1"/>
    </xf>
    <xf numFmtId="0" fontId="177" fillId="0" borderId="20" xfId="0" applyFont="1" applyBorder="1" applyAlignment="1">
      <alignment horizontal="center" vertical="top" wrapText="1"/>
    </xf>
    <xf numFmtId="0" fontId="177" fillId="0" borderId="15" xfId="0" applyFont="1" applyBorder="1" applyAlignment="1">
      <alignment horizontal="center" vertical="top" wrapText="1"/>
    </xf>
    <xf numFmtId="0" fontId="0" fillId="0" borderId="49" xfId="0" applyBorder="1" applyAlignment="1">
      <alignment horizontal="center" vertical="center"/>
    </xf>
    <xf numFmtId="14" fontId="2" fillId="0" borderId="0" xfId="0" applyNumberFormat="1" applyFont="1" applyAlignment="1" applyProtection="1">
      <alignment horizontal="left"/>
    </xf>
    <xf numFmtId="0" fontId="17" fillId="0" borderId="0" xfId="0" applyFont="1" applyAlignment="1">
      <alignment horizontal="right" vertical="top" wrapText="1"/>
    </xf>
    <xf numFmtId="0" fontId="7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49" fontId="7" fillId="0" borderId="18" xfId="0" applyNumberFormat="1" applyFont="1" applyBorder="1" applyAlignment="1">
      <alignment horizontal="center" vertical="center" wrapText="1"/>
    </xf>
    <xf numFmtId="0" fontId="7" fillId="0" borderId="23" xfId="0" applyNumberFormat="1" applyFont="1" applyBorder="1" applyAlignment="1">
      <alignment horizontal="center" vertical="center" wrapText="1"/>
    </xf>
    <xf numFmtId="0" fontId="7" fillId="0" borderId="21" xfId="0" applyNumberFormat="1" applyFont="1" applyBorder="1" applyAlignment="1">
      <alignment horizontal="center" vertical="center" wrapText="1"/>
    </xf>
    <xf numFmtId="0" fontId="7" fillId="0" borderId="10" xfId="0" applyFont="1" applyBorder="1" applyAlignment="1" applyProtection="1">
      <alignment horizontal="center" vertical="center"/>
      <protection locked="0"/>
    </xf>
    <xf numFmtId="0" fontId="25" fillId="0" borderId="10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 wrapText="1"/>
    </xf>
    <xf numFmtId="49" fontId="3" fillId="0" borderId="0" xfId="0" applyNumberFormat="1" applyFont="1" applyBorder="1" applyAlignment="1">
      <alignment horizontal="left" vertical="center" wrapText="1"/>
    </xf>
    <xf numFmtId="0" fontId="3" fillId="0" borderId="0" xfId="0" applyNumberFormat="1" applyFont="1" applyBorder="1" applyAlignment="1">
      <alignment horizontal="left" vertical="center" wrapText="1"/>
    </xf>
    <xf numFmtId="0" fontId="3" fillId="35" borderId="18" xfId="0" applyFont="1" applyFill="1" applyBorder="1" applyAlignment="1">
      <alignment horizontal="center" vertical="center"/>
    </xf>
    <xf numFmtId="0" fontId="3" fillId="35" borderId="21" xfId="0" applyFont="1" applyFill="1" applyBorder="1" applyAlignment="1">
      <alignment horizontal="center" vertical="center"/>
    </xf>
    <xf numFmtId="0" fontId="3" fillId="35" borderId="10" xfId="0" applyFont="1" applyFill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3" fillId="35" borderId="23" xfId="0" applyFont="1" applyFill="1" applyBorder="1" applyAlignment="1">
      <alignment horizontal="center" vertical="center"/>
    </xf>
    <xf numFmtId="0" fontId="3" fillId="35" borderId="10" xfId="0" applyFont="1" applyFill="1" applyBorder="1" applyAlignment="1">
      <alignment horizontal="center" vertical="center" wrapText="1"/>
    </xf>
    <xf numFmtId="0" fontId="9" fillId="0" borderId="18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39" fillId="0" borderId="18" xfId="0" applyFont="1" applyBorder="1" applyAlignment="1">
      <alignment horizontal="left" vertical="center" wrapText="1"/>
    </xf>
    <xf numFmtId="0" fontId="39" fillId="0" borderId="23" xfId="0" applyFont="1" applyBorder="1" applyAlignment="1">
      <alignment horizontal="left" vertical="center" wrapText="1"/>
    </xf>
    <xf numFmtId="0" fontId="39" fillId="0" borderId="21" xfId="0" applyFont="1" applyBorder="1" applyAlignment="1">
      <alignment horizontal="left" vertical="center" wrapText="1"/>
    </xf>
    <xf numFmtId="0" fontId="0" fillId="0" borderId="18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25" fillId="0" borderId="52" xfId="0" applyFont="1" applyBorder="1" applyAlignment="1">
      <alignment horizontal="center"/>
    </xf>
    <xf numFmtId="49" fontId="0" fillId="0" borderId="59" xfId="0" applyNumberFormat="1" applyBorder="1" applyAlignment="1">
      <alignment horizontal="center" vertical="center" wrapText="1"/>
    </xf>
    <xf numFmtId="0" fontId="0" fillId="0" borderId="22" xfId="0" applyNumberFormat="1" applyBorder="1" applyAlignment="1">
      <alignment horizontal="center" vertical="center" wrapText="1"/>
    </xf>
    <xf numFmtId="0" fontId="0" fillId="0" borderId="33" xfId="0" applyNumberForma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1" fillId="0" borderId="16" xfId="0" applyFont="1" applyBorder="1" applyAlignment="1">
      <alignment horizontal="center" vertical="center" textRotation="90"/>
    </xf>
    <xf numFmtId="0" fontId="26" fillId="0" borderId="16" xfId="0" applyFont="1" applyBorder="1" applyAlignment="1">
      <alignment horizontal="center" textRotation="90"/>
    </xf>
    <xf numFmtId="0" fontId="26" fillId="0" borderId="0" xfId="0" applyNumberFormat="1" applyFont="1" applyBorder="1" applyAlignment="1">
      <alignment horizontal="center" vertical="center" wrapText="1"/>
    </xf>
    <xf numFmtId="0" fontId="26" fillId="0" borderId="32" xfId="0" applyNumberFormat="1" applyFont="1" applyBorder="1" applyAlignment="1">
      <alignment horizontal="center" vertical="center" wrapText="1"/>
    </xf>
    <xf numFmtId="0" fontId="0" fillId="0" borderId="59" xfId="0" applyNumberFormat="1" applyBorder="1" applyAlignment="1">
      <alignment horizontal="center" vertical="center" wrapText="1"/>
    </xf>
    <xf numFmtId="0" fontId="26" fillId="0" borderId="0" xfId="0" applyNumberFormat="1" applyFont="1" applyAlignment="1">
      <alignment horizontal="center" vertical="center" wrapText="1"/>
    </xf>
    <xf numFmtId="0" fontId="10" fillId="0" borderId="18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3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3" fontId="11" fillId="0" borderId="34" xfId="0" applyNumberFormat="1" applyFont="1" applyBorder="1" applyAlignment="1">
      <alignment horizontal="center" vertical="center"/>
    </xf>
    <xf numFmtId="3" fontId="11" fillId="0" borderId="13" xfId="0" applyNumberFormat="1" applyFont="1" applyBorder="1" applyAlignment="1">
      <alignment horizontal="center" vertical="center"/>
    </xf>
    <xf numFmtId="3" fontId="11" fillId="0" borderId="29" xfId="0" applyNumberFormat="1" applyFont="1" applyBorder="1" applyAlignment="1">
      <alignment horizontal="center" vertical="center"/>
    </xf>
    <xf numFmtId="3" fontId="0" fillId="0" borderId="14" xfId="0" applyNumberForma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45" xfId="0" applyNumberFormat="1" applyFont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0" xfId="0" applyFont="1" applyBorder="1" applyAlignment="1">
      <alignment horizontal="center" vertical="center"/>
    </xf>
    <xf numFmtId="0" fontId="11" fillId="0" borderId="56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39" fillId="0" borderId="13" xfId="0" applyFont="1" applyBorder="1" applyAlignment="1">
      <alignment horizontal="center"/>
    </xf>
    <xf numFmtId="0" fontId="0" fillId="0" borderId="5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4" fontId="11" fillId="0" borderId="66" xfId="0" applyNumberFormat="1" applyFont="1" applyBorder="1" applyAlignment="1">
      <alignment horizontal="center" vertical="center"/>
    </xf>
    <xf numFmtId="0" fontId="0" fillId="0" borderId="51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11" fillId="0" borderId="71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79" xfId="0" applyFont="1" applyBorder="1" applyAlignment="1">
      <alignment horizontal="center" vertical="center" wrapText="1"/>
    </xf>
    <xf numFmtId="0" fontId="11" fillId="0" borderId="69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26" fillId="0" borderId="20" xfId="0" applyFont="1" applyBorder="1" applyAlignment="1">
      <alignment horizontal="center" vertical="top" wrapText="1"/>
    </xf>
    <xf numFmtId="0" fontId="126" fillId="0" borderId="15" xfId="0" applyFont="1" applyBorder="1" applyAlignment="1">
      <alignment horizontal="center" vertical="top" wrapText="1"/>
    </xf>
    <xf numFmtId="0" fontId="126" fillId="0" borderId="14" xfId="0" applyFont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center" textRotation="90" wrapText="1"/>
    </xf>
    <xf numFmtId="0" fontId="148" fillId="0" borderId="0" xfId="0" applyFont="1" applyFill="1" applyAlignment="1">
      <alignment horizontal="left"/>
    </xf>
    <xf numFmtId="0" fontId="11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8" xfId="0" applyFill="1" applyBorder="1" applyAlignment="1">
      <alignment horizontal="center" vertical="center" wrapText="1"/>
    </xf>
    <xf numFmtId="0" fontId="0" fillId="0" borderId="23" xfId="0" applyFont="1" applyFill="1" applyBorder="1" applyAlignment="1">
      <alignment horizontal="center" vertical="center" wrapText="1"/>
    </xf>
    <xf numFmtId="0" fontId="0" fillId="0" borderId="21" xfId="0" applyFont="1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1" fillId="0" borderId="7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57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</cellXfs>
  <cellStyles count="92">
    <cellStyle name="20% — акцент1" xfId="1" builtinId="30" customBuiltin="1"/>
    <cellStyle name="20% - Акцент1 2" xfId="49"/>
    <cellStyle name="20% — акцент2" xfId="2" builtinId="34" customBuiltin="1"/>
    <cellStyle name="20% - Акцент2 2" xfId="50"/>
    <cellStyle name="20% — акцент3" xfId="3" builtinId="38" customBuiltin="1"/>
    <cellStyle name="20% - Акцент3 2" xfId="51"/>
    <cellStyle name="20% — акцент4" xfId="4" builtinId="42" customBuiltin="1"/>
    <cellStyle name="20% - Акцент4 2" xfId="52"/>
    <cellStyle name="20% — акцент5" xfId="5" builtinId="46" customBuiltin="1"/>
    <cellStyle name="20% - Акцент5 2" xfId="53"/>
    <cellStyle name="20% — акцент6" xfId="6" builtinId="50" customBuiltin="1"/>
    <cellStyle name="20% - Акцент6 2" xfId="54"/>
    <cellStyle name="40% — акцент1" xfId="7" builtinId="31" customBuiltin="1"/>
    <cellStyle name="40% - Акцент1 2" xfId="55"/>
    <cellStyle name="40% — акцент2" xfId="8" builtinId="35" customBuiltin="1"/>
    <cellStyle name="40% - Акцент2 2" xfId="56"/>
    <cellStyle name="40% — акцент3" xfId="9" builtinId="39" customBuiltin="1"/>
    <cellStyle name="40% - Акцент3 2" xfId="57"/>
    <cellStyle name="40% — акцент4" xfId="10" builtinId="43" customBuiltin="1"/>
    <cellStyle name="40% - Акцент4 2" xfId="58"/>
    <cellStyle name="40% — акцент5" xfId="11" builtinId="47" customBuiltin="1"/>
    <cellStyle name="40% - Акцент5 2" xfId="59"/>
    <cellStyle name="40% — акцент6" xfId="12" builtinId="51" customBuiltin="1"/>
    <cellStyle name="40% - Акцент6 2" xfId="60"/>
    <cellStyle name="60% — акцент1" xfId="13" builtinId="32" customBuiltin="1"/>
    <cellStyle name="60% - Акцент1 2" xfId="61"/>
    <cellStyle name="60% — акцент2" xfId="14" builtinId="36" customBuiltin="1"/>
    <cellStyle name="60% - Акцент2 2" xfId="62"/>
    <cellStyle name="60% — акцент3" xfId="15" builtinId="40" customBuiltin="1"/>
    <cellStyle name="60% - Акцент3 2" xfId="63"/>
    <cellStyle name="60% — акцент4" xfId="16" builtinId="44" customBuiltin="1"/>
    <cellStyle name="60% - Акцент4 2" xfId="64"/>
    <cellStyle name="60% — акцент5" xfId="17" builtinId="48" customBuiltin="1"/>
    <cellStyle name="60% - Акцент5 2" xfId="65"/>
    <cellStyle name="60% — акцент6" xfId="18" builtinId="52" customBuiltin="1"/>
    <cellStyle name="60% - Акцент6 2" xfId="66"/>
    <cellStyle name="Акцент1" xfId="19" builtinId="29" customBuiltin="1"/>
    <cellStyle name="Акцент1 2" xfId="67"/>
    <cellStyle name="Акцент2" xfId="20" builtinId="33" customBuiltin="1"/>
    <cellStyle name="Акцент2 2" xfId="68"/>
    <cellStyle name="Акцент3" xfId="21" builtinId="37" customBuiltin="1"/>
    <cellStyle name="Акцент3 2" xfId="69"/>
    <cellStyle name="Акцент4" xfId="22" builtinId="41" customBuiltin="1"/>
    <cellStyle name="Акцент4 2" xfId="70"/>
    <cellStyle name="Акцент5" xfId="23" builtinId="45" customBuiltin="1"/>
    <cellStyle name="Акцент5 2" xfId="71"/>
    <cellStyle name="Акцент6" xfId="24" builtinId="49" customBuiltin="1"/>
    <cellStyle name="Акцент6 2" xfId="72"/>
    <cellStyle name="Ввод " xfId="25" builtinId="20" customBuiltin="1"/>
    <cellStyle name="Ввод  2" xfId="73"/>
    <cellStyle name="Вывод" xfId="26" builtinId="21" customBuiltin="1"/>
    <cellStyle name="Вывод 2" xfId="74"/>
    <cellStyle name="Вычисление" xfId="27" builtinId="22" customBuiltin="1"/>
    <cellStyle name="Вычисление 2" xfId="75"/>
    <cellStyle name="Денежный" xfId="28" builtinId="4"/>
    <cellStyle name="Денежный 2" xfId="76"/>
    <cellStyle name="Заголовок 1" xfId="29" builtinId="16" customBuiltin="1"/>
    <cellStyle name="Заголовок 1 2" xfId="77"/>
    <cellStyle name="Заголовок 2" xfId="30" builtinId="17" customBuiltin="1"/>
    <cellStyle name="Заголовок 2 2" xfId="78"/>
    <cellStyle name="Заголовок 3" xfId="31" builtinId="18" customBuiltin="1"/>
    <cellStyle name="Заголовок 3 2" xfId="79"/>
    <cellStyle name="Заголовок 4" xfId="32" builtinId="19" customBuiltin="1"/>
    <cellStyle name="Заголовок 4 2" xfId="80"/>
    <cellStyle name="Итог" xfId="33" builtinId="25" customBuiltin="1"/>
    <cellStyle name="Итог 2" xfId="81"/>
    <cellStyle name="Контрольная ячейка" xfId="34" builtinId="23" customBuiltin="1"/>
    <cellStyle name="Контрольная ячейка 2" xfId="82"/>
    <cellStyle name="Название" xfId="35" builtinId="15" customBuiltin="1"/>
    <cellStyle name="Название 2" xfId="83"/>
    <cellStyle name="Нейтральный" xfId="36" builtinId="28" customBuiltin="1"/>
    <cellStyle name="Нейтральный 2" xfId="84"/>
    <cellStyle name="Обычный" xfId="0" builtinId="0"/>
    <cellStyle name="Обычный 2" xfId="45"/>
    <cellStyle name="Обычный 3" xfId="46"/>
    <cellStyle name="Обычный 4" xfId="48"/>
    <cellStyle name="Обычный 5" xfId="47"/>
    <cellStyle name="Обычный_Исх" xfId="37"/>
    <cellStyle name="Плохой" xfId="38" builtinId="27" customBuiltin="1"/>
    <cellStyle name="Плохой 2" xfId="85"/>
    <cellStyle name="Пояснение" xfId="39" builtinId="53" customBuiltin="1"/>
    <cellStyle name="Пояснение 2" xfId="86"/>
    <cellStyle name="Примечание" xfId="40" builtinId="10" customBuiltin="1"/>
    <cellStyle name="Примечание 2" xfId="87"/>
    <cellStyle name="Процентный" xfId="41" builtinId="5"/>
    <cellStyle name="Процентный 2" xfId="88"/>
    <cellStyle name="Связанная ячейка" xfId="42" builtinId="24" customBuiltin="1"/>
    <cellStyle name="Связанная ячейка 2" xfId="89"/>
    <cellStyle name="Текст предупреждения" xfId="43" builtinId="11" customBuiltin="1"/>
    <cellStyle name="Текст предупреждения 2" xfId="90"/>
    <cellStyle name="Хороший" xfId="44" builtinId="26" customBuiltin="1"/>
    <cellStyle name="Хороший 2" xfId="91"/>
  </cellStyles>
  <dxfs count="626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b/>
        <i val="0"/>
        <color rgb="FF7030A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ill>
        <patternFill>
          <bgColor rgb="FFCCFFCC"/>
        </patternFill>
      </fill>
    </dxf>
    <dxf>
      <font>
        <color theme="0"/>
      </font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ill>
        <patternFill>
          <bgColor indexed="9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rgb="FFFFFFCC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ont>
        <b/>
        <i val="0"/>
        <color rgb="FFFF000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11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mruColors>
      <color rgb="FF0000FF"/>
      <color rgb="FFFFFFCC"/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6" dropStyle="combo" dx="15" fmlaLink="$BM$30" fmlaRange="$IT$17:$IT$22" sel="6" val="0"/>
</file>

<file path=xl/ctrlProps/ctrlProp6.xml><?xml version="1.0" encoding="utf-8"?>
<formControlPr xmlns="http://schemas.microsoft.com/office/spreadsheetml/2009/9/main" objectType="Drop" dropLines="6" dropStyle="combo" dx="15" fmlaLink="$BM$34" fmlaRange="$IT$17:$IT$22" sel="6" val="0"/>
</file>

<file path=xl/ctrlProps/ctrlProp7.xml><?xml version="1.0" encoding="utf-8"?>
<formControlPr xmlns="http://schemas.microsoft.com/office/spreadsheetml/2009/9/main" objectType="Drop" dropLines="6" dropStyle="combo" dx="15" fmlaLink="$BM$35" fmlaRange="$IT$17:$IT$22" sel="6" val="0"/>
</file>

<file path=xl/ctrlProps/ctrlProp8.xml><?xml version="1.0" encoding="utf-8"?>
<formControlPr xmlns="http://schemas.microsoft.com/office/spreadsheetml/2009/9/main" objectType="Drop" dropLines="6" dropStyle="combo" dx="15" fmlaLink="$BM$36" fmlaRange="$IT$17:$IT$22" sel="6" val="0"/>
</file>

<file path=xl/ctrlProps/ctrlProp9.xml><?xml version="1.0" encoding="utf-8"?>
<formControlPr xmlns="http://schemas.microsoft.com/office/spreadsheetml/2009/9/main" objectType="Drop" dropLines="6" dropStyle="combo" dx="15" fmlaLink="$BM$37" fmlaRange="$IT$17:$IT$22" sel="6" val="0"/>
</file>

<file path=xl/ctrlProps/ctrlProp10.xml><?xml version="1.0" encoding="utf-8"?>
<formControlPr xmlns="http://schemas.microsoft.com/office/spreadsheetml/2009/9/main" objectType="Drop" dropLines="6" dropStyle="combo" dx="15" fmlaLink="$BM$38" fmlaRange="$IT$17:$IT$22" sel="6" val="0"/>
</file>

<file path=xl/ctrlProps/ctrlProp11.xml><?xml version="1.0" encoding="utf-8"?>
<formControlPr xmlns="http://schemas.microsoft.com/office/spreadsheetml/2009/9/main" objectType="Drop" dropLines="6" dropStyle="combo" dx="15" fmlaLink="$BM$39" fmlaRange="$IT$17:$IT$22" sel="6" val="0"/>
</file>

<file path=xl/ctrlProps/ctrlProp12.xml><?xml version="1.0" encoding="utf-8"?>
<formControlPr xmlns="http://schemas.microsoft.com/office/spreadsheetml/2009/9/main" objectType="Drop" dropLines="6" dropStyle="combo" dx="15" fmlaLink="$BM$40" fmlaRange="$IT$17:$IT$22" sel="6" val="0"/>
</file>

<file path=xl/ctrlProps/ctrlProp13.xml><?xml version="1.0" encoding="utf-8"?>
<formControlPr xmlns="http://schemas.microsoft.com/office/spreadsheetml/2009/9/main" objectType="Drop" dropLines="6" dropStyle="combo" dx="15" fmlaLink="$BM$41" fmlaRange="$IT$17:$IT$22" sel="6" val="0"/>
</file>

<file path=xl/ctrlProps/ctrlProp14.xml><?xml version="1.0" encoding="utf-8"?>
<formControlPr xmlns="http://schemas.microsoft.com/office/spreadsheetml/2009/9/main" objectType="Drop" dropLines="6" dropStyle="combo" dx="15" fmlaLink="$BM$31" fmlaRange="$IT$17:$IT$22" sel="6" val="0"/>
</file>

<file path=xl/ctrlProps/ctrlProp15.xml><?xml version="1.0" encoding="utf-8"?>
<formControlPr xmlns="http://schemas.microsoft.com/office/spreadsheetml/2009/9/main" objectType="Drop" dropLines="6" dropStyle="combo" dx="15" fmlaLink="$BM$32" fmlaRange="$IT$17:$IT$22" sel="6" val="0"/>
</file>

<file path=xl/ctrlProps/ctrlProp16.xml><?xml version="1.0" encoding="utf-8"?>
<formControlPr xmlns="http://schemas.microsoft.com/office/spreadsheetml/2009/9/main" objectType="Drop" dropLines="6" dropStyle="combo" dx="15" fmlaLink="$BM$33" fmlaRange="$IT$17:$IT$22" sel="6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5" dropStyle="combo" dx="15" fmlaLink="$AL$30" fmlaRange="$JR$2:$JR$6" noThreeD="1" sel="1" val="0"/>
</file>

<file path=xl/ctrlProps/ctrlProp19.xml><?xml version="1.0" encoding="utf-8"?>
<formControlPr xmlns="http://schemas.microsoft.com/office/spreadsheetml/2009/9/main" objectType="Drop" dropLines="5" dropStyle="combo" dx="15" fmlaLink="$AL$31" fmlaRange="$JR$2:$JR$6" noThreeD="1" sel="1" val="0"/>
</file>

<file path=xl/ctrlProps/ctrlProp20.xml><?xml version="1.0" encoding="utf-8"?>
<formControlPr xmlns="http://schemas.microsoft.com/office/spreadsheetml/2009/9/main" objectType="Drop" dropLines="5" dropStyle="combo" dx="15" fmlaLink="$AL$32" fmlaRange="$JR$2:$JR$6" noThreeD="1" sel="5" val="0"/>
</file>

<file path=xl/ctrlProps/ctrlProp21.xml><?xml version="1.0" encoding="utf-8"?>
<formControlPr xmlns="http://schemas.microsoft.com/office/spreadsheetml/2009/9/main" objectType="Drop" dropLines="5" dropStyle="combo" dx="15" fmlaLink="$AL$33" fmlaRange="$JR$2:$JR$6" noThreeD="1" sel="5" val="0"/>
</file>

<file path=xl/ctrlProps/ctrlProp22.xml><?xml version="1.0" encoding="utf-8"?>
<formControlPr xmlns="http://schemas.microsoft.com/office/spreadsheetml/2009/9/main" objectType="Drop" dropLines="5" dropStyle="combo" dx="15" fmlaLink="$AL$34" fmlaRange="$JR$2:$JR$6" noThreeD="1" sel="5" val="0"/>
</file>

<file path=xl/ctrlProps/ctrlProp23.xml><?xml version="1.0" encoding="utf-8"?>
<formControlPr xmlns="http://schemas.microsoft.com/office/spreadsheetml/2009/9/main" objectType="Drop" dropLines="5" dropStyle="combo" dx="15" fmlaLink="$AL$35" fmlaRange="$JR$2:$JR$6" noThreeD="1" sel="5" val="0"/>
</file>

<file path=xl/ctrlProps/ctrlProp24.xml><?xml version="1.0" encoding="utf-8"?>
<formControlPr xmlns="http://schemas.microsoft.com/office/spreadsheetml/2009/9/main" objectType="Drop" dropLines="5" dropStyle="combo" dx="15" fmlaLink="$AL$36" fmlaRange="$JR$2:$JR$6" noThreeD="1" sel="5" val="0"/>
</file>

<file path=xl/ctrlProps/ctrlProp25.xml><?xml version="1.0" encoding="utf-8"?>
<formControlPr xmlns="http://schemas.microsoft.com/office/spreadsheetml/2009/9/main" objectType="Drop" dropLines="5" dropStyle="combo" dx="15" fmlaLink="$AL$37" fmlaRange="$JR$2:$JR$6" noThreeD="1" sel="5" val="0"/>
</file>

<file path=xl/ctrlProps/ctrlProp26.xml><?xml version="1.0" encoding="utf-8"?>
<formControlPr xmlns="http://schemas.microsoft.com/office/spreadsheetml/2009/9/main" objectType="Drop" dropLines="5" dropStyle="combo" dx="15" fmlaLink="$AL$38" fmlaRange="$JR$2:$JR$6" noThreeD="1" sel="5" val="0"/>
</file>

<file path=xl/ctrlProps/ctrlProp27.xml><?xml version="1.0" encoding="utf-8"?>
<formControlPr xmlns="http://schemas.microsoft.com/office/spreadsheetml/2009/9/main" objectType="Drop" dropLines="5" dropStyle="combo" dx="15" fmlaLink="$AL$39" fmlaRange="$JR$2:$JR$6" noThreeD="1" sel="5" val="0"/>
</file>

<file path=xl/ctrlProps/ctrlProp28.xml><?xml version="1.0" encoding="utf-8"?>
<formControlPr xmlns="http://schemas.microsoft.com/office/spreadsheetml/2009/9/main" objectType="Drop" dropLines="5" dropStyle="combo" dx="15" fmlaLink="$AL$40" fmlaRange="$JR$2:$JR$6" noThreeD="1" sel="5" val="0"/>
</file>

<file path=xl/ctrlProps/ctrlProp29.xml><?xml version="1.0" encoding="utf-8"?>
<formControlPr xmlns="http://schemas.microsoft.com/office/spreadsheetml/2009/9/main" objectType="Drop" dropLines="5" dropStyle="combo" dx="15" fmlaLink="$AL$41" fmlaRange="$JR$2:$JR$6" noThreeD="1" sel="5" val="0"/>
</file>

<file path=xl/ctrlProps/ctrlProp30.xml><?xml version="1.0" encoding="utf-8"?>
<formControlPr xmlns="http://schemas.microsoft.com/office/spreadsheetml/2009/9/main" objectType="Radio" firstButton="1" fmlaLink="$A$2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g"/><Relationship Id="rId2" Type="http://schemas.openxmlformats.org/officeDocument/2006/relationships/image" Target="../media/image7.jp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66675</xdr:rowOff>
        </xdr:from>
        <xdr:to>
          <xdr:col>12</xdr:col>
          <xdr:colOff>57150</xdr:colOff>
          <xdr:row>3</xdr:row>
          <xdr:rowOff>95250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Вставка данных для расчета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0</xdr:row>
          <xdr:rowOff>66675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Очистить вставку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47625</xdr:rowOff>
        </xdr:from>
        <xdr:to>
          <xdr:col>12</xdr:col>
          <xdr:colOff>66675</xdr:colOff>
          <xdr:row>11</xdr:row>
          <xdr:rowOff>38100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Разнести данные в шаблон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8</xdr:row>
          <xdr:rowOff>57150</xdr:rowOff>
        </xdr:from>
        <xdr:to>
          <xdr:col>14</xdr:col>
          <xdr:colOff>581025</xdr:colOff>
          <xdr:row>11</xdr:row>
          <xdr:rowOff>38100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Отмена разноски данных в шаблон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2258657</xdr:colOff>
      <xdr:row>20</xdr:row>
      <xdr:rowOff>23082</xdr:rowOff>
    </xdr:from>
    <xdr:ext cx="488156" cy="311496"/>
    <xdr:sp macro="" textlink="">
      <xdr:nvSpPr>
        <xdr:cNvPr id="4" name="TextBox 3"/>
        <xdr:cNvSpPr txBox="1"/>
      </xdr:nvSpPr>
      <xdr:spPr>
        <a:xfrm>
          <a:off x="3760245" y="3418464"/>
          <a:ext cx="4881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/>
            <a:t>UER</a:t>
          </a:r>
          <a:endParaRPr lang="ru-RU" sz="1400" b="1"/>
        </a:p>
      </xdr:txBody>
    </xdr:sp>
    <xdr:clientData/>
  </xdr:oneCellAnchor>
  <xdr:oneCellAnchor>
    <xdr:from>
      <xdr:col>3</xdr:col>
      <xdr:colOff>2245773</xdr:colOff>
      <xdr:row>21</xdr:row>
      <xdr:rowOff>155168</xdr:rowOff>
    </xdr:from>
    <xdr:ext cx="550100" cy="311496"/>
    <xdr:sp macro="" textlink="">
      <xdr:nvSpPr>
        <xdr:cNvPr id="5" name="TextBox 4"/>
        <xdr:cNvSpPr txBox="1"/>
      </xdr:nvSpPr>
      <xdr:spPr>
        <a:xfrm>
          <a:off x="3747361" y="3741050"/>
          <a:ext cx="5501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/>
            <a:t>USD</a:t>
          </a:r>
          <a:endParaRPr lang="ru-RU" sz="1400" b="1"/>
        </a:p>
      </xdr:txBody>
    </xdr:sp>
    <xdr:clientData/>
  </xdr:oneCellAnchor>
  <xdr:twoCellAnchor>
    <xdr:from>
      <xdr:col>90</xdr:col>
      <xdr:colOff>358588</xdr:colOff>
      <xdr:row>20</xdr:row>
      <xdr:rowOff>156878</xdr:rowOff>
    </xdr:from>
    <xdr:to>
      <xdr:col>97</xdr:col>
      <xdr:colOff>542858</xdr:colOff>
      <xdr:row>24</xdr:row>
      <xdr:rowOff>134467</xdr:rowOff>
    </xdr:to>
    <xdr:pic>
      <xdr:nvPicPr>
        <xdr:cNvPr id="7744" name="Picture 57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4113206" y="3372966"/>
          <a:ext cx="4420093" cy="638736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44</xdr:row>
          <xdr:rowOff>9525</xdr:rowOff>
        </xdr:from>
        <xdr:to>
          <xdr:col>17</xdr:col>
          <xdr:colOff>533400</xdr:colOff>
          <xdr:row>45</xdr:row>
          <xdr:rowOff>0</xdr:rowOff>
        </xdr:to>
        <xdr:sp macro="" textlink="">
          <xdr:nvSpPr>
            <xdr:cNvPr id="7673" name="Drop Down 505" hidden="1">
              <a:extLst>
                <a:ext uri="{63B3BB69-23CF-44E3-9099-C40C66FF867C}">
                  <a14:compatExt spid="_x0000_s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48</xdr:row>
          <xdr:rowOff>9525</xdr:rowOff>
        </xdr:from>
        <xdr:to>
          <xdr:col>17</xdr:col>
          <xdr:colOff>533400</xdr:colOff>
          <xdr:row>49</xdr:row>
          <xdr:rowOff>0</xdr:rowOff>
        </xdr:to>
        <xdr:sp macro="" textlink="">
          <xdr:nvSpPr>
            <xdr:cNvPr id="7674" name="Drop Down 506" hidden="1">
              <a:extLst>
                <a:ext uri="{63B3BB69-23CF-44E3-9099-C40C66FF867C}">
                  <a14:compatExt spid="_x0000_s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49</xdr:row>
          <xdr:rowOff>9525</xdr:rowOff>
        </xdr:from>
        <xdr:to>
          <xdr:col>17</xdr:col>
          <xdr:colOff>533400</xdr:colOff>
          <xdr:row>50</xdr:row>
          <xdr:rowOff>0</xdr:rowOff>
        </xdr:to>
        <xdr:sp macro="" textlink="">
          <xdr:nvSpPr>
            <xdr:cNvPr id="7675" name="Drop Down 507" hidden="1">
              <a:extLst>
                <a:ext uri="{63B3BB69-23CF-44E3-9099-C40C66FF867C}">
                  <a14:compatExt spid="_x0000_s7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50</xdr:row>
          <xdr:rowOff>9525</xdr:rowOff>
        </xdr:from>
        <xdr:to>
          <xdr:col>17</xdr:col>
          <xdr:colOff>533400</xdr:colOff>
          <xdr:row>51</xdr:row>
          <xdr:rowOff>0</xdr:rowOff>
        </xdr:to>
        <xdr:sp macro="" textlink="">
          <xdr:nvSpPr>
            <xdr:cNvPr id="7676" name="Drop Down 508" hidden="1">
              <a:extLst>
                <a:ext uri="{63B3BB69-23CF-44E3-9099-C40C66FF867C}">
                  <a14:compatExt spid="_x0000_s7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51</xdr:row>
          <xdr:rowOff>9525</xdr:rowOff>
        </xdr:from>
        <xdr:to>
          <xdr:col>17</xdr:col>
          <xdr:colOff>533400</xdr:colOff>
          <xdr:row>52</xdr:row>
          <xdr:rowOff>0</xdr:rowOff>
        </xdr:to>
        <xdr:sp macro="" textlink="">
          <xdr:nvSpPr>
            <xdr:cNvPr id="7677" name="Drop Down 509" hidden="1">
              <a:extLst>
                <a:ext uri="{63B3BB69-23CF-44E3-9099-C40C66FF867C}">
                  <a14:compatExt spid="_x0000_s7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52</xdr:row>
          <xdr:rowOff>9525</xdr:rowOff>
        </xdr:from>
        <xdr:to>
          <xdr:col>17</xdr:col>
          <xdr:colOff>533400</xdr:colOff>
          <xdr:row>53</xdr:row>
          <xdr:rowOff>0</xdr:rowOff>
        </xdr:to>
        <xdr:sp macro="" textlink="">
          <xdr:nvSpPr>
            <xdr:cNvPr id="7678" name="Drop Down 510" hidden="1">
              <a:extLst>
                <a:ext uri="{63B3BB69-23CF-44E3-9099-C40C66FF867C}">
                  <a14:compatExt spid="_x0000_s7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53</xdr:row>
          <xdr:rowOff>9525</xdr:rowOff>
        </xdr:from>
        <xdr:to>
          <xdr:col>17</xdr:col>
          <xdr:colOff>533400</xdr:colOff>
          <xdr:row>54</xdr:row>
          <xdr:rowOff>0</xdr:rowOff>
        </xdr:to>
        <xdr:sp macro="" textlink="">
          <xdr:nvSpPr>
            <xdr:cNvPr id="7679" name="Drop Down 511" hidden="1">
              <a:extLst>
                <a:ext uri="{63B3BB69-23CF-44E3-9099-C40C66FF867C}">
                  <a14:compatExt spid="_x0000_s7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54</xdr:row>
          <xdr:rowOff>9525</xdr:rowOff>
        </xdr:from>
        <xdr:to>
          <xdr:col>17</xdr:col>
          <xdr:colOff>533400</xdr:colOff>
          <xdr:row>55</xdr:row>
          <xdr:rowOff>0</xdr:rowOff>
        </xdr:to>
        <xdr:sp macro="" textlink="">
          <xdr:nvSpPr>
            <xdr:cNvPr id="7680" name="Drop Down 512" hidden="1">
              <a:extLst>
                <a:ext uri="{63B3BB69-23CF-44E3-9099-C40C66FF867C}">
                  <a14:compatExt spid="_x0000_s7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55</xdr:row>
          <xdr:rowOff>9525</xdr:rowOff>
        </xdr:from>
        <xdr:to>
          <xdr:col>17</xdr:col>
          <xdr:colOff>533400</xdr:colOff>
          <xdr:row>56</xdr:row>
          <xdr:rowOff>0</xdr:rowOff>
        </xdr:to>
        <xdr:sp macro="" textlink="">
          <xdr:nvSpPr>
            <xdr:cNvPr id="7681" name="Drop Down 513" hidden="1">
              <a:extLst>
                <a:ext uri="{63B3BB69-23CF-44E3-9099-C40C66FF867C}">
                  <a14:compatExt spid="_x0000_s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45</xdr:row>
          <xdr:rowOff>9525</xdr:rowOff>
        </xdr:from>
        <xdr:to>
          <xdr:col>17</xdr:col>
          <xdr:colOff>533400</xdr:colOff>
          <xdr:row>46</xdr:row>
          <xdr:rowOff>0</xdr:rowOff>
        </xdr:to>
        <xdr:sp macro="" textlink="">
          <xdr:nvSpPr>
            <xdr:cNvPr id="7694" name="Drop Down 526" hidden="1">
              <a:extLst>
                <a:ext uri="{63B3BB69-23CF-44E3-9099-C40C66FF867C}">
                  <a14:compatExt spid="_x0000_s7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46</xdr:row>
          <xdr:rowOff>9525</xdr:rowOff>
        </xdr:from>
        <xdr:to>
          <xdr:col>17</xdr:col>
          <xdr:colOff>533400</xdr:colOff>
          <xdr:row>47</xdr:row>
          <xdr:rowOff>0</xdr:rowOff>
        </xdr:to>
        <xdr:sp macro="" textlink="">
          <xdr:nvSpPr>
            <xdr:cNvPr id="7695" name="Drop Down 527" hidden="1">
              <a:extLst>
                <a:ext uri="{63B3BB69-23CF-44E3-9099-C40C66FF867C}">
                  <a14:compatExt spid="_x0000_s7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47</xdr:row>
          <xdr:rowOff>9525</xdr:rowOff>
        </xdr:from>
        <xdr:to>
          <xdr:col>17</xdr:col>
          <xdr:colOff>533400</xdr:colOff>
          <xdr:row>48</xdr:row>
          <xdr:rowOff>0</xdr:rowOff>
        </xdr:to>
        <xdr:sp macro="" textlink="">
          <xdr:nvSpPr>
            <xdr:cNvPr id="7696" name="Drop Down 528" hidden="1">
              <a:extLst>
                <a:ext uri="{63B3BB69-23CF-44E3-9099-C40C66FF867C}">
                  <a14:compatExt spid="_x0000_s7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256</xdr:col>
          <xdr:colOff>152400</xdr:colOff>
          <xdr:row>0</xdr:row>
          <xdr:rowOff>104775</xdr:rowOff>
        </xdr:from>
        <xdr:to>
          <xdr:col>258</xdr:col>
          <xdr:colOff>76200</xdr:colOff>
          <xdr:row>2</xdr:row>
          <xdr:rowOff>76200</xdr:rowOff>
        </xdr:to>
        <xdr:sp macro="" textlink="">
          <xdr:nvSpPr>
            <xdr:cNvPr id="7713" name="Button 545" hidden="1">
              <a:extLst>
                <a:ext uri="{63B3BB69-23CF-44E3-9099-C40C66FF867C}">
                  <a14:compatExt spid="_x0000_s7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Обновить валюты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29</xdr:row>
          <xdr:rowOff>0</xdr:rowOff>
        </xdr:from>
        <xdr:to>
          <xdr:col>3</xdr:col>
          <xdr:colOff>3009900</xdr:colOff>
          <xdr:row>30</xdr:row>
          <xdr:rowOff>0</xdr:rowOff>
        </xdr:to>
        <xdr:sp macro="" textlink="">
          <xdr:nvSpPr>
            <xdr:cNvPr id="7714" name="Drop Down 546" hidden="1">
              <a:extLst>
                <a:ext uri="{63B3BB69-23CF-44E3-9099-C40C66FF867C}">
                  <a14:compatExt spid="_x0000_s7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30</xdr:row>
          <xdr:rowOff>0</xdr:rowOff>
        </xdr:from>
        <xdr:to>
          <xdr:col>3</xdr:col>
          <xdr:colOff>3009900</xdr:colOff>
          <xdr:row>31</xdr:row>
          <xdr:rowOff>0</xdr:rowOff>
        </xdr:to>
        <xdr:sp macro="" textlink="">
          <xdr:nvSpPr>
            <xdr:cNvPr id="7715" name="Drop Down 547" hidden="1">
              <a:extLst>
                <a:ext uri="{63B3BB69-23CF-44E3-9099-C40C66FF867C}">
                  <a14:compatExt spid="_x0000_s7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31</xdr:row>
          <xdr:rowOff>0</xdr:rowOff>
        </xdr:from>
        <xdr:to>
          <xdr:col>3</xdr:col>
          <xdr:colOff>3009900</xdr:colOff>
          <xdr:row>32</xdr:row>
          <xdr:rowOff>0</xdr:rowOff>
        </xdr:to>
        <xdr:sp macro="" textlink="">
          <xdr:nvSpPr>
            <xdr:cNvPr id="7716" name="Drop Down 548" hidden="1">
              <a:extLst>
                <a:ext uri="{63B3BB69-23CF-44E3-9099-C40C66FF867C}">
                  <a14:compatExt spid="_x0000_s7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32</xdr:row>
          <xdr:rowOff>0</xdr:rowOff>
        </xdr:from>
        <xdr:to>
          <xdr:col>3</xdr:col>
          <xdr:colOff>3009900</xdr:colOff>
          <xdr:row>33</xdr:row>
          <xdr:rowOff>0</xdr:rowOff>
        </xdr:to>
        <xdr:sp macro="" textlink="">
          <xdr:nvSpPr>
            <xdr:cNvPr id="7717" name="Drop Down 549" hidden="1">
              <a:extLst>
                <a:ext uri="{63B3BB69-23CF-44E3-9099-C40C66FF867C}">
                  <a14:compatExt spid="_x0000_s7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33</xdr:row>
          <xdr:rowOff>0</xdr:rowOff>
        </xdr:from>
        <xdr:to>
          <xdr:col>3</xdr:col>
          <xdr:colOff>3009900</xdr:colOff>
          <xdr:row>34</xdr:row>
          <xdr:rowOff>0</xdr:rowOff>
        </xdr:to>
        <xdr:sp macro="" textlink="">
          <xdr:nvSpPr>
            <xdr:cNvPr id="7718" name="Drop Down 550" hidden="1">
              <a:extLst>
                <a:ext uri="{63B3BB69-23CF-44E3-9099-C40C66FF867C}">
                  <a14:compatExt spid="_x0000_s7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34</xdr:row>
          <xdr:rowOff>0</xdr:rowOff>
        </xdr:from>
        <xdr:to>
          <xdr:col>3</xdr:col>
          <xdr:colOff>3009900</xdr:colOff>
          <xdr:row>35</xdr:row>
          <xdr:rowOff>0</xdr:rowOff>
        </xdr:to>
        <xdr:sp macro="" textlink="">
          <xdr:nvSpPr>
            <xdr:cNvPr id="7719" name="Drop Down 551" hidden="1">
              <a:extLst>
                <a:ext uri="{63B3BB69-23CF-44E3-9099-C40C66FF867C}">
                  <a14:compatExt spid="_x0000_s7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35</xdr:row>
          <xdr:rowOff>0</xdr:rowOff>
        </xdr:from>
        <xdr:to>
          <xdr:col>3</xdr:col>
          <xdr:colOff>3009900</xdr:colOff>
          <xdr:row>36</xdr:row>
          <xdr:rowOff>0</xdr:rowOff>
        </xdr:to>
        <xdr:sp macro="" textlink="">
          <xdr:nvSpPr>
            <xdr:cNvPr id="7720" name="Drop Down 552" hidden="1">
              <a:extLst>
                <a:ext uri="{63B3BB69-23CF-44E3-9099-C40C66FF867C}">
                  <a14:compatExt spid="_x0000_s7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36</xdr:row>
          <xdr:rowOff>0</xdr:rowOff>
        </xdr:from>
        <xdr:to>
          <xdr:col>3</xdr:col>
          <xdr:colOff>3009900</xdr:colOff>
          <xdr:row>37</xdr:row>
          <xdr:rowOff>0</xdr:rowOff>
        </xdr:to>
        <xdr:sp macro="" textlink="">
          <xdr:nvSpPr>
            <xdr:cNvPr id="7721" name="Drop Down 553" hidden="1">
              <a:extLst>
                <a:ext uri="{63B3BB69-23CF-44E3-9099-C40C66FF867C}">
                  <a14:compatExt spid="_x0000_s7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37</xdr:row>
          <xdr:rowOff>0</xdr:rowOff>
        </xdr:from>
        <xdr:to>
          <xdr:col>3</xdr:col>
          <xdr:colOff>3009900</xdr:colOff>
          <xdr:row>38</xdr:row>
          <xdr:rowOff>0</xdr:rowOff>
        </xdr:to>
        <xdr:sp macro="" textlink="">
          <xdr:nvSpPr>
            <xdr:cNvPr id="7722" name="Drop Down 554" hidden="1">
              <a:extLst>
                <a:ext uri="{63B3BB69-23CF-44E3-9099-C40C66FF867C}">
                  <a14:compatExt spid="_x0000_s7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38</xdr:row>
          <xdr:rowOff>0</xdr:rowOff>
        </xdr:from>
        <xdr:to>
          <xdr:col>3</xdr:col>
          <xdr:colOff>3009900</xdr:colOff>
          <xdr:row>39</xdr:row>
          <xdr:rowOff>0</xdr:rowOff>
        </xdr:to>
        <xdr:sp macro="" textlink="">
          <xdr:nvSpPr>
            <xdr:cNvPr id="7723" name="Drop Down 555" hidden="1">
              <a:extLst>
                <a:ext uri="{63B3BB69-23CF-44E3-9099-C40C66FF867C}">
                  <a14:compatExt spid="_x0000_s7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39</xdr:row>
          <xdr:rowOff>0</xdr:rowOff>
        </xdr:from>
        <xdr:to>
          <xdr:col>3</xdr:col>
          <xdr:colOff>3009900</xdr:colOff>
          <xdr:row>40</xdr:row>
          <xdr:rowOff>0</xdr:rowOff>
        </xdr:to>
        <xdr:sp macro="" textlink="">
          <xdr:nvSpPr>
            <xdr:cNvPr id="7724" name="Drop Down 556" hidden="1">
              <a:extLst>
                <a:ext uri="{63B3BB69-23CF-44E3-9099-C40C66FF867C}">
                  <a14:compatExt spid="_x0000_s7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40</xdr:row>
          <xdr:rowOff>0</xdr:rowOff>
        </xdr:from>
        <xdr:to>
          <xdr:col>3</xdr:col>
          <xdr:colOff>3009900</xdr:colOff>
          <xdr:row>41</xdr:row>
          <xdr:rowOff>0</xdr:rowOff>
        </xdr:to>
        <xdr:sp macro="" textlink="">
          <xdr:nvSpPr>
            <xdr:cNvPr id="7725" name="Drop Down 557" hidden="1">
              <a:extLst>
                <a:ext uri="{63B3BB69-23CF-44E3-9099-C40C66FF867C}">
                  <a14:compatExt spid="_x0000_s7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1876425</xdr:colOff>
          <xdr:row>20</xdr:row>
          <xdr:rowOff>76200</xdr:rowOff>
        </xdr:from>
        <xdr:to>
          <xdr:col>3</xdr:col>
          <xdr:colOff>2905125</xdr:colOff>
          <xdr:row>21</xdr:row>
          <xdr:rowOff>114300</xdr:rowOff>
        </xdr:to>
        <xdr:sp macro="" textlink="">
          <xdr:nvSpPr>
            <xdr:cNvPr id="7726" name="Option Button 558" hidden="1">
              <a:extLst>
                <a:ext uri="{63B3BB69-23CF-44E3-9099-C40C66FF867C}">
                  <a14:compatExt spid="_x0000_s7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1866900</xdr:colOff>
          <xdr:row>22</xdr:row>
          <xdr:rowOff>38100</xdr:rowOff>
        </xdr:from>
        <xdr:to>
          <xdr:col>3</xdr:col>
          <xdr:colOff>2962275</xdr:colOff>
          <xdr:row>23</xdr:row>
          <xdr:rowOff>85725</xdr:rowOff>
        </xdr:to>
        <xdr:sp macro="" textlink="">
          <xdr:nvSpPr>
            <xdr:cNvPr id="7727" name="Option Button 559" hidden="1">
              <a:extLst>
                <a:ext uri="{63B3BB69-23CF-44E3-9099-C40C66FF867C}">
                  <a14:compatExt spid="_x0000_s7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291</xdr:col>
          <xdr:colOff>0</xdr:colOff>
          <xdr:row>24</xdr:row>
          <xdr:rowOff>76200</xdr:rowOff>
        </xdr:from>
        <xdr:to>
          <xdr:col>295</xdr:col>
          <xdr:colOff>714375</xdr:colOff>
          <xdr:row>26</xdr:row>
          <xdr:rowOff>38100</xdr:rowOff>
        </xdr:to>
        <xdr:sp macro="" textlink="">
          <xdr:nvSpPr>
            <xdr:cNvPr id="7738" name="Button 570" hidden="1">
              <a:extLst>
                <a:ext uri="{63B3BB69-23CF-44E3-9099-C40C66FF867C}">
                  <a14:compatExt spid="_x0000_s7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Копирование данных во все выбранные файлы в папке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291</xdr:col>
          <xdr:colOff>0</xdr:colOff>
          <xdr:row>22</xdr:row>
          <xdr:rowOff>66675</xdr:rowOff>
        </xdr:from>
        <xdr:to>
          <xdr:col>295</xdr:col>
          <xdr:colOff>714375</xdr:colOff>
          <xdr:row>24</xdr:row>
          <xdr:rowOff>28575</xdr:rowOff>
        </xdr:to>
        <xdr:sp macro="" textlink="">
          <xdr:nvSpPr>
            <xdr:cNvPr id="7740" name="Button 572" hidden="1">
              <a:extLst>
                <a:ext uri="{63B3BB69-23CF-44E3-9099-C40C66FF867C}">
                  <a14:compatExt spid="_x0000_s7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80"/>
                  </a:solidFill>
                  <a:latin typeface="Arial Cyr"/>
                  <a:cs typeface="Arial Cyr"/>
                </a:rPr>
                <a:t>Копирование данных в выбранный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123825</xdr:rowOff>
        </xdr:from>
        <xdr:to>
          <xdr:col>3</xdr:col>
          <xdr:colOff>2724150</xdr:colOff>
          <xdr:row>2</xdr:row>
          <xdr:rowOff>66675</xdr:rowOff>
        </xdr:to>
        <xdr:sp macro="" textlink="">
          <xdr:nvSpPr>
            <xdr:cNvPr id="7756" name="Button 588" hidden="1">
              <a:extLst>
                <a:ext uri="{63B3BB69-23CF-44E3-9099-C40C66FF867C}">
                  <a14:compatExt spid="_x0000_s7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Пересчитать итоги по машинам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0</xdr:colOff>
      <xdr:row>19</xdr:row>
      <xdr:rowOff>89646</xdr:rowOff>
    </xdr:from>
    <xdr:ext cx="1860177" cy="749821"/>
    <xdr:sp macro="" textlink="">
      <xdr:nvSpPr>
        <xdr:cNvPr id="41" name="TextBox 40"/>
        <xdr:cNvSpPr txBox="1"/>
      </xdr:nvSpPr>
      <xdr:spPr>
        <a:xfrm>
          <a:off x="1501588" y="3328146"/>
          <a:ext cx="1860177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ru-RU" sz="1400" b="1" baseline="0">
              <a:solidFill>
                <a:srgbClr val="FF0000"/>
              </a:solidFill>
            </a:rPr>
            <a:t>Выбрать валюту, которую используем для расчета пластин:</a:t>
          </a:r>
          <a:endParaRPr lang="ru-RU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1938618</xdr:colOff>
      <xdr:row>19</xdr:row>
      <xdr:rowOff>44824</xdr:rowOff>
    </xdr:from>
    <xdr:to>
      <xdr:col>3</xdr:col>
      <xdr:colOff>2767854</xdr:colOff>
      <xdr:row>21</xdr:row>
      <xdr:rowOff>78442</xdr:rowOff>
    </xdr:to>
    <xdr:sp macro="" textlink="">
      <xdr:nvSpPr>
        <xdr:cNvPr id="2" name="Прямоугольник 1"/>
        <xdr:cNvSpPr/>
      </xdr:nvSpPr>
      <xdr:spPr>
        <a:xfrm>
          <a:off x="3440206" y="2554942"/>
          <a:ext cx="829236" cy="381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1847850</xdr:colOff>
          <xdr:row>1</xdr:row>
          <xdr:rowOff>19050</xdr:rowOff>
        </xdr:from>
        <xdr:to>
          <xdr:col>1</xdr:col>
          <xdr:colOff>2971800</xdr:colOff>
          <xdr:row>1</xdr:row>
          <xdr:rowOff>276225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38100</xdr:rowOff>
        </xdr:from>
        <xdr:to>
          <xdr:col>1</xdr:col>
          <xdr:colOff>1581150</xdr:colOff>
          <xdr:row>1</xdr:row>
          <xdr:rowOff>314325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85725</xdr:colOff>
          <xdr:row>0</xdr:row>
          <xdr:rowOff>123825</xdr:rowOff>
        </xdr:from>
        <xdr:to>
          <xdr:col>57</xdr:col>
          <xdr:colOff>209550</xdr:colOff>
          <xdr:row>1</xdr:row>
          <xdr:rowOff>314325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Обновить цены с 1С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1962150</xdr:colOff>
          <xdr:row>1</xdr:row>
          <xdr:rowOff>47625</xdr:rowOff>
        </xdr:from>
        <xdr:to>
          <xdr:col>1</xdr:col>
          <xdr:colOff>3295650</xdr:colOff>
          <xdr:row>1</xdr:row>
          <xdr:rowOff>409575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и разнести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</xdr:row>
          <xdr:rowOff>66675</xdr:rowOff>
        </xdr:from>
        <xdr:to>
          <xdr:col>1</xdr:col>
          <xdr:colOff>1419225</xdr:colOff>
          <xdr:row>1</xdr:row>
          <xdr:rowOff>400050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78923</xdr:rowOff>
    </xdr:to>
    <xdr:sp macro="" textlink="">
      <xdr:nvSpPr>
        <xdr:cNvPr id="8420" name="Text Box 24"/>
        <xdr:cNvSpPr txBox="1">
          <a:spLocks noChangeArrowheads="1"/>
        </xdr:cNvSpPr>
      </xdr:nvSpPr>
      <xdr:spPr bwMode="auto">
        <a:xfrm>
          <a:off x="609600" y="7153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30</xdr:row>
      <xdr:rowOff>0</xdr:rowOff>
    </xdr:from>
    <xdr:to>
      <xdr:col>1</xdr:col>
      <xdr:colOff>257175</xdr:colOff>
      <xdr:row>30</xdr:row>
      <xdr:rowOff>219075</xdr:rowOff>
    </xdr:to>
    <xdr:sp macro="" textlink="">
      <xdr:nvSpPr>
        <xdr:cNvPr id="8421" name="Text Box 34"/>
        <xdr:cNvSpPr txBox="1">
          <a:spLocks noChangeArrowheads="1"/>
        </xdr:cNvSpPr>
      </xdr:nvSpPr>
      <xdr:spPr bwMode="auto">
        <a:xfrm>
          <a:off x="762000" y="69627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31</xdr:row>
      <xdr:rowOff>0</xdr:rowOff>
    </xdr:from>
    <xdr:to>
      <xdr:col>2</xdr:col>
      <xdr:colOff>257175</xdr:colOff>
      <xdr:row>32</xdr:row>
      <xdr:rowOff>73027</xdr:rowOff>
    </xdr:to>
    <xdr:sp macro="" textlink="">
      <xdr:nvSpPr>
        <xdr:cNvPr id="8422" name="Text Box 36"/>
        <xdr:cNvSpPr txBox="1">
          <a:spLocks noChangeArrowheads="1"/>
        </xdr:cNvSpPr>
      </xdr:nvSpPr>
      <xdr:spPr bwMode="auto">
        <a:xfrm>
          <a:off x="226695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30</xdr:row>
      <xdr:rowOff>38100</xdr:rowOff>
    </xdr:from>
    <xdr:to>
      <xdr:col>2</xdr:col>
      <xdr:colOff>104775</xdr:colOff>
      <xdr:row>31</xdr:row>
      <xdr:rowOff>12698</xdr:rowOff>
    </xdr:to>
    <xdr:sp macro="" textlink="">
      <xdr:nvSpPr>
        <xdr:cNvPr id="8423" name="Text Box 37"/>
        <xdr:cNvSpPr txBox="1">
          <a:spLocks noChangeArrowheads="1"/>
        </xdr:cNvSpPr>
      </xdr:nvSpPr>
      <xdr:spPr bwMode="auto">
        <a:xfrm>
          <a:off x="2114550" y="70008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73027</xdr:rowOff>
    </xdr:to>
    <xdr:sp macro="" textlink="">
      <xdr:nvSpPr>
        <xdr:cNvPr id="8424" name="Text Box 38"/>
        <xdr:cNvSpPr txBox="1">
          <a:spLocks noChangeArrowheads="1"/>
        </xdr:cNvSpPr>
      </xdr:nvSpPr>
      <xdr:spPr bwMode="auto">
        <a:xfrm>
          <a:off x="60960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31</xdr:row>
      <xdr:rowOff>0</xdr:rowOff>
    </xdr:from>
    <xdr:to>
      <xdr:col>2</xdr:col>
      <xdr:colOff>257175</xdr:colOff>
      <xdr:row>32</xdr:row>
      <xdr:rowOff>73027</xdr:rowOff>
    </xdr:to>
    <xdr:sp macro="" textlink="">
      <xdr:nvSpPr>
        <xdr:cNvPr id="8425" name="Text Box 46"/>
        <xdr:cNvSpPr txBox="1">
          <a:spLocks noChangeArrowheads="1"/>
        </xdr:cNvSpPr>
      </xdr:nvSpPr>
      <xdr:spPr bwMode="auto">
        <a:xfrm>
          <a:off x="226695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104775</xdr:colOff>
      <xdr:row>32</xdr:row>
      <xdr:rowOff>73027</xdr:rowOff>
    </xdr:to>
    <xdr:sp macro="" textlink="">
      <xdr:nvSpPr>
        <xdr:cNvPr id="8426" name="Text Box 47"/>
        <xdr:cNvSpPr txBox="1">
          <a:spLocks noChangeArrowheads="1"/>
        </xdr:cNvSpPr>
      </xdr:nvSpPr>
      <xdr:spPr bwMode="auto">
        <a:xfrm>
          <a:off x="609600" y="74295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27" name="Text Box 48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0" name="Text Box 56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29</xdr:row>
      <xdr:rowOff>0</xdr:rowOff>
    </xdr:from>
    <xdr:to>
      <xdr:col>1</xdr:col>
      <xdr:colOff>257175</xdr:colOff>
      <xdr:row>29</xdr:row>
      <xdr:rowOff>219075</xdr:rowOff>
    </xdr:to>
    <xdr:sp macro="" textlink="">
      <xdr:nvSpPr>
        <xdr:cNvPr id="8431" name="Text Box 57"/>
        <xdr:cNvSpPr txBox="1">
          <a:spLocks noChangeArrowheads="1"/>
        </xdr:cNvSpPr>
      </xdr:nvSpPr>
      <xdr:spPr bwMode="auto">
        <a:xfrm>
          <a:off x="762000" y="67722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30</xdr:row>
      <xdr:rowOff>0</xdr:rowOff>
    </xdr:from>
    <xdr:to>
      <xdr:col>2</xdr:col>
      <xdr:colOff>257175</xdr:colOff>
      <xdr:row>30</xdr:row>
      <xdr:rowOff>228600</xdr:rowOff>
    </xdr:to>
    <xdr:sp macro="" textlink="">
      <xdr:nvSpPr>
        <xdr:cNvPr id="8432" name="Text Box 58"/>
        <xdr:cNvSpPr txBox="1">
          <a:spLocks noChangeArrowheads="1"/>
        </xdr:cNvSpPr>
      </xdr:nvSpPr>
      <xdr:spPr bwMode="auto">
        <a:xfrm>
          <a:off x="226695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104775</xdr:colOff>
      <xdr:row>29</xdr:row>
      <xdr:rowOff>228600</xdr:rowOff>
    </xdr:to>
    <xdr:sp macro="" textlink="">
      <xdr:nvSpPr>
        <xdr:cNvPr id="8433" name="Text Box 59"/>
        <xdr:cNvSpPr txBox="1">
          <a:spLocks noChangeArrowheads="1"/>
        </xdr:cNvSpPr>
      </xdr:nvSpPr>
      <xdr:spPr bwMode="auto">
        <a:xfrm>
          <a:off x="211455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4" name="Text Box 60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152400</xdr:colOff>
      <xdr:row>30</xdr:row>
      <xdr:rowOff>0</xdr:rowOff>
    </xdr:from>
    <xdr:to>
      <xdr:col>2</xdr:col>
      <xdr:colOff>257175</xdr:colOff>
      <xdr:row>30</xdr:row>
      <xdr:rowOff>228600</xdr:rowOff>
    </xdr:to>
    <xdr:sp macro="" textlink="">
      <xdr:nvSpPr>
        <xdr:cNvPr id="8436" name="Text Box 62"/>
        <xdr:cNvSpPr txBox="1">
          <a:spLocks noChangeArrowheads="1"/>
        </xdr:cNvSpPr>
      </xdr:nvSpPr>
      <xdr:spPr bwMode="auto">
        <a:xfrm>
          <a:off x="226695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104775</xdr:colOff>
      <xdr:row>30</xdr:row>
      <xdr:rowOff>228600</xdr:rowOff>
    </xdr:to>
    <xdr:sp macro="" textlink="">
      <xdr:nvSpPr>
        <xdr:cNvPr id="8437" name="Text Box 63"/>
        <xdr:cNvSpPr txBox="1">
          <a:spLocks noChangeArrowheads="1"/>
        </xdr:cNvSpPr>
      </xdr:nvSpPr>
      <xdr:spPr bwMode="auto">
        <a:xfrm>
          <a:off x="609600" y="6962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104775</xdr:colOff>
      <xdr:row>29</xdr:row>
      <xdr:rowOff>228600</xdr:rowOff>
    </xdr:to>
    <xdr:sp macro="" textlink="">
      <xdr:nvSpPr>
        <xdr:cNvPr id="8438" name="Text Box 64"/>
        <xdr:cNvSpPr txBox="1">
          <a:spLocks noChangeArrowheads="1"/>
        </xdr:cNvSpPr>
      </xdr:nvSpPr>
      <xdr:spPr bwMode="auto">
        <a:xfrm>
          <a:off x="60960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28</xdr:row>
      <xdr:rowOff>0</xdr:rowOff>
    </xdr:from>
    <xdr:to>
      <xdr:col>4</xdr:col>
      <xdr:colOff>104775</xdr:colOff>
      <xdr:row>28</xdr:row>
      <xdr:rowOff>228600</xdr:rowOff>
    </xdr:to>
    <xdr:sp macro="" textlink="">
      <xdr:nvSpPr>
        <xdr:cNvPr id="8439" name="Text Box 65"/>
        <xdr:cNvSpPr txBox="1">
          <a:spLocks noChangeArrowheads="1"/>
        </xdr:cNvSpPr>
      </xdr:nvSpPr>
      <xdr:spPr bwMode="auto">
        <a:xfrm>
          <a:off x="4276725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152400</xdr:colOff>
      <xdr:row>27</xdr:row>
      <xdr:rowOff>0</xdr:rowOff>
    </xdr:from>
    <xdr:to>
      <xdr:col>5</xdr:col>
      <xdr:colOff>257175</xdr:colOff>
      <xdr:row>27</xdr:row>
      <xdr:rowOff>219075</xdr:rowOff>
    </xdr:to>
    <xdr:sp macro="" textlink="">
      <xdr:nvSpPr>
        <xdr:cNvPr id="8440" name="Text Box 66"/>
        <xdr:cNvSpPr txBox="1">
          <a:spLocks noChangeArrowheads="1"/>
        </xdr:cNvSpPr>
      </xdr:nvSpPr>
      <xdr:spPr bwMode="auto">
        <a:xfrm>
          <a:off x="6000750" y="6343650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104775</xdr:colOff>
      <xdr:row>27</xdr:row>
      <xdr:rowOff>228600</xdr:rowOff>
    </xdr:to>
    <xdr:sp macro="" textlink="">
      <xdr:nvSpPr>
        <xdr:cNvPr id="8441" name="Text Box 67"/>
        <xdr:cNvSpPr txBox="1">
          <a:spLocks noChangeArrowheads="1"/>
        </xdr:cNvSpPr>
      </xdr:nvSpPr>
      <xdr:spPr bwMode="auto">
        <a:xfrm>
          <a:off x="5848350" y="63436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27</xdr:row>
      <xdr:rowOff>0</xdr:rowOff>
    </xdr:from>
    <xdr:to>
      <xdr:col>6</xdr:col>
      <xdr:colOff>104775</xdr:colOff>
      <xdr:row>27</xdr:row>
      <xdr:rowOff>228600</xdr:rowOff>
    </xdr:to>
    <xdr:sp macro="" textlink="">
      <xdr:nvSpPr>
        <xdr:cNvPr id="8442" name="Text Box 68"/>
        <xdr:cNvSpPr txBox="1">
          <a:spLocks noChangeArrowheads="1"/>
        </xdr:cNvSpPr>
      </xdr:nvSpPr>
      <xdr:spPr bwMode="auto">
        <a:xfrm>
          <a:off x="6953250" y="63436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28</xdr:row>
      <xdr:rowOff>0</xdr:rowOff>
    </xdr:from>
    <xdr:to>
      <xdr:col>1</xdr:col>
      <xdr:colOff>257175</xdr:colOff>
      <xdr:row>28</xdr:row>
      <xdr:rowOff>219075</xdr:rowOff>
    </xdr:to>
    <xdr:sp macro="" textlink="">
      <xdr:nvSpPr>
        <xdr:cNvPr id="8443" name="Text Box 70"/>
        <xdr:cNvSpPr txBox="1">
          <a:spLocks noChangeArrowheads="1"/>
        </xdr:cNvSpPr>
      </xdr:nvSpPr>
      <xdr:spPr bwMode="auto">
        <a:xfrm>
          <a:off x="762000" y="65817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104775</xdr:colOff>
      <xdr:row>28</xdr:row>
      <xdr:rowOff>228600</xdr:rowOff>
    </xdr:to>
    <xdr:sp macro="" textlink="">
      <xdr:nvSpPr>
        <xdr:cNvPr id="8444" name="Text Box 71"/>
        <xdr:cNvSpPr txBox="1">
          <a:spLocks noChangeArrowheads="1"/>
        </xdr:cNvSpPr>
      </xdr:nvSpPr>
      <xdr:spPr bwMode="auto">
        <a:xfrm>
          <a:off x="2114550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104775</xdr:colOff>
      <xdr:row>28</xdr:row>
      <xdr:rowOff>228600</xdr:rowOff>
    </xdr:to>
    <xdr:sp macro="" textlink="">
      <xdr:nvSpPr>
        <xdr:cNvPr id="8445" name="Text Box 72"/>
        <xdr:cNvSpPr txBox="1">
          <a:spLocks noChangeArrowheads="1"/>
        </xdr:cNvSpPr>
      </xdr:nvSpPr>
      <xdr:spPr bwMode="auto">
        <a:xfrm>
          <a:off x="609600" y="65817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9525</xdr:colOff>
      <xdr:row>29</xdr:row>
      <xdr:rowOff>66675</xdr:rowOff>
    </xdr:from>
    <xdr:to>
      <xdr:col>2</xdr:col>
      <xdr:colOff>114300</xdr:colOff>
      <xdr:row>30</xdr:row>
      <xdr:rowOff>41276</xdr:rowOff>
    </xdr:to>
    <xdr:sp macro="" textlink="">
      <xdr:nvSpPr>
        <xdr:cNvPr id="8446" name="Text Box 31"/>
        <xdr:cNvSpPr txBox="1">
          <a:spLocks noChangeArrowheads="1"/>
        </xdr:cNvSpPr>
      </xdr:nvSpPr>
      <xdr:spPr bwMode="auto">
        <a:xfrm>
          <a:off x="2124075" y="68389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152400</xdr:colOff>
      <xdr:row>29</xdr:row>
      <xdr:rowOff>0</xdr:rowOff>
    </xdr:from>
    <xdr:to>
      <xdr:col>1</xdr:col>
      <xdr:colOff>257175</xdr:colOff>
      <xdr:row>29</xdr:row>
      <xdr:rowOff>219075</xdr:rowOff>
    </xdr:to>
    <xdr:sp macro="" textlink="">
      <xdr:nvSpPr>
        <xdr:cNvPr id="8447" name="Text Box 74"/>
        <xdr:cNvSpPr txBox="1">
          <a:spLocks noChangeArrowheads="1"/>
        </xdr:cNvSpPr>
      </xdr:nvSpPr>
      <xdr:spPr bwMode="auto">
        <a:xfrm>
          <a:off x="762000" y="67722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104775</xdr:colOff>
      <xdr:row>29</xdr:row>
      <xdr:rowOff>228600</xdr:rowOff>
    </xdr:to>
    <xdr:sp macro="" textlink="">
      <xdr:nvSpPr>
        <xdr:cNvPr id="8448" name="Text Box 75"/>
        <xdr:cNvSpPr txBox="1">
          <a:spLocks noChangeArrowheads="1"/>
        </xdr:cNvSpPr>
      </xdr:nvSpPr>
      <xdr:spPr bwMode="auto">
        <a:xfrm>
          <a:off x="609600" y="67722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104775</xdr:colOff>
      <xdr:row>23</xdr:row>
      <xdr:rowOff>228600</xdr:rowOff>
    </xdr:to>
    <xdr:sp macro="" textlink="">
      <xdr:nvSpPr>
        <xdr:cNvPr id="46" name="Text Box 10"/>
        <xdr:cNvSpPr txBox="1">
          <a:spLocks noChangeArrowheads="1"/>
        </xdr:cNvSpPr>
      </xdr:nvSpPr>
      <xdr:spPr bwMode="auto">
        <a:xfrm>
          <a:off x="4181475" y="58483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104775</xdr:colOff>
      <xdr:row>25</xdr:row>
      <xdr:rowOff>228600</xdr:rowOff>
    </xdr:to>
    <xdr:sp macro="" textlink="">
      <xdr:nvSpPr>
        <xdr:cNvPr id="47" name="Text Box 31"/>
        <xdr:cNvSpPr txBox="1">
          <a:spLocks noChangeArrowheads="1"/>
        </xdr:cNvSpPr>
      </xdr:nvSpPr>
      <xdr:spPr bwMode="auto">
        <a:xfrm>
          <a:off x="4181475" y="63246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152400</xdr:colOff>
      <xdr:row>28</xdr:row>
      <xdr:rowOff>0</xdr:rowOff>
    </xdr:from>
    <xdr:to>
      <xdr:col>5</xdr:col>
      <xdr:colOff>257175</xdr:colOff>
      <xdr:row>28</xdr:row>
      <xdr:rowOff>190500</xdr:rowOff>
    </xdr:to>
    <xdr:sp macro="" textlink="">
      <xdr:nvSpPr>
        <xdr:cNvPr id="48" name="Text Box 33"/>
        <xdr:cNvSpPr txBox="1">
          <a:spLocks noChangeArrowheads="1"/>
        </xdr:cNvSpPr>
      </xdr:nvSpPr>
      <xdr:spPr bwMode="auto">
        <a:xfrm>
          <a:off x="5753100" y="7038975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104775</xdr:colOff>
      <xdr:row>28</xdr:row>
      <xdr:rowOff>190500</xdr:rowOff>
    </xdr:to>
    <xdr:sp macro="" textlink="">
      <xdr:nvSpPr>
        <xdr:cNvPr id="49" name="Text Box 34"/>
        <xdr:cNvSpPr txBox="1">
          <a:spLocks noChangeArrowheads="1"/>
        </xdr:cNvSpPr>
      </xdr:nvSpPr>
      <xdr:spPr bwMode="auto">
        <a:xfrm>
          <a:off x="5600700" y="70389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28</xdr:row>
      <xdr:rowOff>0</xdr:rowOff>
    </xdr:from>
    <xdr:to>
      <xdr:col>6</xdr:col>
      <xdr:colOff>104775</xdr:colOff>
      <xdr:row>28</xdr:row>
      <xdr:rowOff>190500</xdr:rowOff>
    </xdr:to>
    <xdr:sp macro="" textlink="">
      <xdr:nvSpPr>
        <xdr:cNvPr id="50" name="Text Box 35"/>
        <xdr:cNvSpPr txBox="1">
          <a:spLocks noChangeArrowheads="1"/>
        </xdr:cNvSpPr>
      </xdr:nvSpPr>
      <xdr:spPr bwMode="auto">
        <a:xfrm>
          <a:off x="6772275" y="703897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104775</xdr:colOff>
      <xdr:row>23</xdr:row>
      <xdr:rowOff>228600</xdr:rowOff>
    </xdr:to>
    <xdr:sp macro="" textlink="">
      <xdr:nvSpPr>
        <xdr:cNvPr id="51" name="Text Box 131"/>
        <xdr:cNvSpPr txBox="1">
          <a:spLocks noChangeArrowheads="1"/>
        </xdr:cNvSpPr>
      </xdr:nvSpPr>
      <xdr:spPr bwMode="auto">
        <a:xfrm>
          <a:off x="4181475" y="58483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104775</xdr:colOff>
      <xdr:row>29</xdr:row>
      <xdr:rowOff>190500</xdr:rowOff>
    </xdr:to>
    <xdr:sp macro="" textlink="">
      <xdr:nvSpPr>
        <xdr:cNvPr id="52" name="Text Box 133"/>
        <xdr:cNvSpPr txBox="1">
          <a:spLocks noChangeArrowheads="1"/>
        </xdr:cNvSpPr>
      </xdr:nvSpPr>
      <xdr:spPr bwMode="auto">
        <a:xfrm>
          <a:off x="4181475" y="72771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104775</xdr:colOff>
      <xdr:row>21</xdr:row>
      <xdr:rowOff>200025</xdr:rowOff>
    </xdr:to>
    <xdr:sp macro="" textlink="">
      <xdr:nvSpPr>
        <xdr:cNvPr id="53" name="Text Box 135"/>
        <xdr:cNvSpPr txBox="1">
          <a:spLocks noChangeArrowheads="1"/>
        </xdr:cNvSpPr>
      </xdr:nvSpPr>
      <xdr:spPr bwMode="auto">
        <a:xfrm>
          <a:off x="4181475" y="53721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9525</xdr:colOff>
      <xdr:row>23</xdr:row>
      <xdr:rowOff>66675</xdr:rowOff>
    </xdr:from>
    <xdr:to>
      <xdr:col>4</xdr:col>
      <xdr:colOff>114300</xdr:colOff>
      <xdr:row>24</xdr:row>
      <xdr:rowOff>47249</xdr:rowOff>
    </xdr:to>
    <xdr:sp macro="" textlink="">
      <xdr:nvSpPr>
        <xdr:cNvPr id="54" name="Text Box 31"/>
        <xdr:cNvSpPr txBox="1">
          <a:spLocks noChangeArrowheads="1"/>
        </xdr:cNvSpPr>
      </xdr:nvSpPr>
      <xdr:spPr bwMode="auto">
        <a:xfrm>
          <a:off x="4191000" y="5915025"/>
          <a:ext cx="104775" cy="2314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6804</xdr:colOff>
      <xdr:row>21</xdr:row>
      <xdr:rowOff>43545</xdr:rowOff>
    </xdr:from>
    <xdr:to>
      <xdr:col>6</xdr:col>
      <xdr:colOff>6804</xdr:colOff>
      <xdr:row>30</xdr:row>
      <xdr:rowOff>24494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6779079" y="5415645"/>
          <a:ext cx="0" cy="2124074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6</xdr:col>
      <xdr:colOff>35379</xdr:colOff>
      <xdr:row>21</xdr:row>
      <xdr:rowOff>14970</xdr:rowOff>
    </xdr:from>
    <xdr:to>
      <xdr:col>10</xdr:col>
      <xdr:colOff>225879</xdr:colOff>
      <xdr:row>21</xdr:row>
      <xdr:rowOff>14970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 flipV="1">
          <a:off x="6807654" y="5387070"/>
          <a:ext cx="382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6</xdr:col>
      <xdr:colOff>83004</xdr:colOff>
      <xdr:row>21</xdr:row>
      <xdr:rowOff>62595</xdr:rowOff>
    </xdr:from>
    <xdr:to>
      <xdr:col>10</xdr:col>
      <xdr:colOff>235404</xdr:colOff>
      <xdr:row>29</xdr:row>
      <xdr:rowOff>221798</xdr:rowOff>
    </xdr:to>
    <xdr:sp macro="" textlink="">
      <xdr:nvSpPr>
        <xdr:cNvPr id="57" name="Rectangle 61"/>
        <xdr:cNvSpPr>
          <a:spLocks noChangeArrowheads="1"/>
        </xdr:cNvSpPr>
      </xdr:nvSpPr>
      <xdr:spPr bwMode="auto">
        <a:xfrm>
          <a:off x="6855279" y="5434695"/>
          <a:ext cx="3790950" cy="2064203"/>
        </a:xfrm>
        <a:prstGeom prst="rect">
          <a:avLst/>
        </a:prstGeom>
        <a:solidFill>
          <a:srgbClr val="FFFF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ru-RU" sz="2000" b="1"/>
            <a:t>с 1,5 рул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1028700</xdr:colOff>
          <xdr:row>32</xdr:row>
          <xdr:rowOff>19050</xdr:rowOff>
        </xdr:from>
        <xdr:to>
          <xdr:col>10</xdr:col>
          <xdr:colOff>933450</xdr:colOff>
          <xdr:row>32</xdr:row>
          <xdr:rowOff>314325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32</xdr:row>
          <xdr:rowOff>19050</xdr:rowOff>
        </xdr:from>
        <xdr:to>
          <xdr:col>8</xdr:col>
          <xdr:colOff>466725</xdr:colOff>
          <xdr:row>32</xdr:row>
          <xdr:rowOff>314325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152400</xdr:colOff>
      <xdr:row>26</xdr:row>
      <xdr:rowOff>0</xdr:rowOff>
    </xdr:from>
    <xdr:ext cx="104775" cy="219075"/>
    <xdr:sp macro="" textlink="">
      <xdr:nvSpPr>
        <xdr:cNvPr id="42" name="Text Box 57"/>
        <xdr:cNvSpPr txBox="1">
          <a:spLocks noChangeArrowheads="1"/>
        </xdr:cNvSpPr>
      </xdr:nvSpPr>
      <xdr:spPr bwMode="auto">
        <a:xfrm>
          <a:off x="342900" y="8327571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26</xdr:row>
      <xdr:rowOff>0</xdr:rowOff>
    </xdr:from>
    <xdr:ext cx="104775" cy="228600"/>
    <xdr:sp macro="" textlink="">
      <xdr:nvSpPr>
        <xdr:cNvPr id="43" name="Text Box 59"/>
        <xdr:cNvSpPr txBox="1">
          <a:spLocks noChangeArrowheads="1"/>
        </xdr:cNvSpPr>
      </xdr:nvSpPr>
      <xdr:spPr bwMode="auto">
        <a:xfrm>
          <a:off x="1918607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26</xdr:row>
      <xdr:rowOff>0</xdr:rowOff>
    </xdr:from>
    <xdr:ext cx="104775" cy="228600"/>
    <xdr:sp macro="" textlink="">
      <xdr:nvSpPr>
        <xdr:cNvPr id="44" name="Text Box 64"/>
        <xdr:cNvSpPr txBox="1">
          <a:spLocks noChangeArrowheads="1"/>
        </xdr:cNvSpPr>
      </xdr:nvSpPr>
      <xdr:spPr bwMode="auto">
        <a:xfrm>
          <a:off x="190500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9525</xdr:colOff>
      <xdr:row>26</xdr:row>
      <xdr:rowOff>66675</xdr:rowOff>
    </xdr:from>
    <xdr:ext cx="104775" cy="219529"/>
    <xdr:sp macro="" textlink="">
      <xdr:nvSpPr>
        <xdr:cNvPr id="45" name="Text Box 31"/>
        <xdr:cNvSpPr txBox="1">
          <a:spLocks noChangeArrowheads="1"/>
        </xdr:cNvSpPr>
      </xdr:nvSpPr>
      <xdr:spPr bwMode="auto">
        <a:xfrm>
          <a:off x="1928132" y="8394246"/>
          <a:ext cx="104775" cy="2195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26</xdr:row>
      <xdr:rowOff>0</xdr:rowOff>
    </xdr:from>
    <xdr:ext cx="104775" cy="219075"/>
    <xdr:sp macro="" textlink="">
      <xdr:nvSpPr>
        <xdr:cNvPr id="58" name="Text Box 74"/>
        <xdr:cNvSpPr txBox="1">
          <a:spLocks noChangeArrowheads="1"/>
        </xdr:cNvSpPr>
      </xdr:nvSpPr>
      <xdr:spPr bwMode="auto">
        <a:xfrm>
          <a:off x="342900" y="8327571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26</xdr:row>
      <xdr:rowOff>0</xdr:rowOff>
    </xdr:from>
    <xdr:ext cx="104775" cy="228600"/>
    <xdr:sp macro="" textlink="">
      <xdr:nvSpPr>
        <xdr:cNvPr id="59" name="Text Box 75"/>
        <xdr:cNvSpPr txBox="1">
          <a:spLocks noChangeArrowheads="1"/>
        </xdr:cNvSpPr>
      </xdr:nvSpPr>
      <xdr:spPr bwMode="auto">
        <a:xfrm>
          <a:off x="190500" y="8327571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27</xdr:row>
      <xdr:rowOff>0</xdr:rowOff>
    </xdr:from>
    <xdr:ext cx="104775" cy="219075"/>
    <xdr:sp macro="" textlink="">
      <xdr:nvSpPr>
        <xdr:cNvPr id="60" name="Text Box 70"/>
        <xdr:cNvSpPr txBox="1">
          <a:spLocks noChangeArrowheads="1"/>
        </xdr:cNvSpPr>
      </xdr:nvSpPr>
      <xdr:spPr bwMode="auto">
        <a:xfrm>
          <a:off x="342900" y="8082643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27</xdr:row>
      <xdr:rowOff>0</xdr:rowOff>
    </xdr:from>
    <xdr:ext cx="104775" cy="228600"/>
    <xdr:sp macro="" textlink="">
      <xdr:nvSpPr>
        <xdr:cNvPr id="61" name="Text Box 71"/>
        <xdr:cNvSpPr txBox="1">
          <a:spLocks noChangeArrowheads="1"/>
        </xdr:cNvSpPr>
      </xdr:nvSpPr>
      <xdr:spPr bwMode="auto">
        <a:xfrm>
          <a:off x="1918607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27</xdr:row>
      <xdr:rowOff>0</xdr:rowOff>
    </xdr:from>
    <xdr:ext cx="104775" cy="228600"/>
    <xdr:sp macro="" textlink="">
      <xdr:nvSpPr>
        <xdr:cNvPr id="62" name="Text Box 72"/>
        <xdr:cNvSpPr txBox="1">
          <a:spLocks noChangeArrowheads="1"/>
        </xdr:cNvSpPr>
      </xdr:nvSpPr>
      <xdr:spPr bwMode="auto">
        <a:xfrm>
          <a:off x="190500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152400</xdr:colOff>
      <xdr:row>29</xdr:row>
      <xdr:rowOff>0</xdr:rowOff>
    </xdr:from>
    <xdr:ext cx="104775" cy="219075"/>
    <xdr:sp macro="" textlink="">
      <xdr:nvSpPr>
        <xdr:cNvPr id="63" name="Text Box 70"/>
        <xdr:cNvSpPr txBox="1">
          <a:spLocks noChangeArrowheads="1"/>
        </xdr:cNvSpPr>
      </xdr:nvSpPr>
      <xdr:spPr bwMode="auto">
        <a:xfrm>
          <a:off x="342900" y="8082643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2</xdr:col>
      <xdr:colOff>0</xdr:colOff>
      <xdr:row>29</xdr:row>
      <xdr:rowOff>0</xdr:rowOff>
    </xdr:from>
    <xdr:ext cx="104775" cy="228600"/>
    <xdr:sp macro="" textlink="">
      <xdr:nvSpPr>
        <xdr:cNvPr id="64" name="Text Box 71"/>
        <xdr:cNvSpPr txBox="1">
          <a:spLocks noChangeArrowheads="1"/>
        </xdr:cNvSpPr>
      </xdr:nvSpPr>
      <xdr:spPr bwMode="auto">
        <a:xfrm>
          <a:off x="1918607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29</xdr:row>
      <xdr:rowOff>0</xdr:rowOff>
    </xdr:from>
    <xdr:ext cx="104775" cy="228600"/>
    <xdr:sp macro="" textlink="">
      <xdr:nvSpPr>
        <xdr:cNvPr id="65" name="Text Box 72"/>
        <xdr:cNvSpPr txBox="1">
          <a:spLocks noChangeArrowheads="1"/>
        </xdr:cNvSpPr>
      </xdr:nvSpPr>
      <xdr:spPr bwMode="auto">
        <a:xfrm>
          <a:off x="190500" y="8082643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152400</xdr:colOff>
      <xdr:row>56</xdr:row>
      <xdr:rowOff>0</xdr:rowOff>
    </xdr:from>
    <xdr:ext cx="104775" cy="236846"/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3810000" y="9067800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41</xdr:row>
      <xdr:rowOff>0</xdr:rowOff>
    </xdr:from>
    <xdr:ext cx="104775" cy="228600"/>
    <xdr:sp macro="" textlink="">
      <xdr:nvSpPr>
        <xdr:cNvPr id="3" name="Text Box 10"/>
        <xdr:cNvSpPr txBox="1">
          <a:spLocks noChangeArrowheads="1"/>
        </xdr:cNvSpPr>
      </xdr:nvSpPr>
      <xdr:spPr bwMode="auto">
        <a:xfrm>
          <a:off x="8534400" y="663892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6</xdr:col>
      <xdr:colOff>152400</xdr:colOff>
      <xdr:row>56</xdr:row>
      <xdr:rowOff>0</xdr:rowOff>
    </xdr:from>
    <xdr:ext cx="104775" cy="236846"/>
    <xdr:sp macro="" textlink="">
      <xdr:nvSpPr>
        <xdr:cNvPr id="4" name="Text Box 18"/>
        <xdr:cNvSpPr txBox="1">
          <a:spLocks noChangeArrowheads="1"/>
        </xdr:cNvSpPr>
      </xdr:nvSpPr>
      <xdr:spPr bwMode="auto">
        <a:xfrm>
          <a:off x="3810000" y="9067800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35</xdr:col>
      <xdr:colOff>152400</xdr:colOff>
      <xdr:row>30</xdr:row>
      <xdr:rowOff>0</xdr:rowOff>
    </xdr:from>
    <xdr:ext cx="104775" cy="219075"/>
    <xdr:sp macro="" textlink="">
      <xdr:nvSpPr>
        <xdr:cNvPr id="5" name="Text Box 33"/>
        <xdr:cNvSpPr txBox="1">
          <a:spLocks noChangeArrowheads="1"/>
        </xdr:cNvSpPr>
      </xdr:nvSpPr>
      <xdr:spPr bwMode="auto">
        <a:xfrm>
          <a:off x="21488400" y="4857750"/>
          <a:ext cx="1047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35</xdr:col>
      <xdr:colOff>0</xdr:colOff>
      <xdr:row>30</xdr:row>
      <xdr:rowOff>0</xdr:rowOff>
    </xdr:from>
    <xdr:ext cx="104775" cy="228600"/>
    <xdr:sp macro="" textlink="">
      <xdr:nvSpPr>
        <xdr:cNvPr id="6" name="Text Box 34"/>
        <xdr:cNvSpPr txBox="1">
          <a:spLocks noChangeArrowheads="1"/>
        </xdr:cNvSpPr>
      </xdr:nvSpPr>
      <xdr:spPr bwMode="auto">
        <a:xfrm>
          <a:off x="21336000" y="48577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41</xdr:row>
      <xdr:rowOff>0</xdr:rowOff>
    </xdr:from>
    <xdr:ext cx="104775" cy="228600"/>
    <xdr:sp macro="" textlink="">
      <xdr:nvSpPr>
        <xdr:cNvPr id="7" name="Text Box 131"/>
        <xdr:cNvSpPr txBox="1">
          <a:spLocks noChangeArrowheads="1"/>
        </xdr:cNvSpPr>
      </xdr:nvSpPr>
      <xdr:spPr bwMode="auto">
        <a:xfrm>
          <a:off x="8534400" y="6638925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41</xdr:col>
      <xdr:colOff>152400</xdr:colOff>
      <xdr:row>56</xdr:row>
      <xdr:rowOff>0</xdr:rowOff>
    </xdr:from>
    <xdr:ext cx="104775" cy="233803"/>
    <xdr:sp macro="" textlink="">
      <xdr:nvSpPr>
        <xdr:cNvPr id="8" name="Text Box 9"/>
        <xdr:cNvSpPr txBox="1">
          <a:spLocks noChangeArrowheads="1"/>
        </xdr:cNvSpPr>
      </xdr:nvSpPr>
      <xdr:spPr bwMode="auto">
        <a:xfrm>
          <a:off x="25146000" y="9067800"/>
          <a:ext cx="104775" cy="2338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41</xdr:col>
      <xdr:colOff>152400</xdr:colOff>
      <xdr:row>56</xdr:row>
      <xdr:rowOff>0</xdr:rowOff>
    </xdr:from>
    <xdr:ext cx="104775" cy="233803"/>
    <xdr:sp macro="" textlink="">
      <xdr:nvSpPr>
        <xdr:cNvPr id="9" name="Text Box 18"/>
        <xdr:cNvSpPr txBox="1">
          <a:spLocks noChangeArrowheads="1"/>
        </xdr:cNvSpPr>
      </xdr:nvSpPr>
      <xdr:spPr bwMode="auto">
        <a:xfrm>
          <a:off x="25146000" y="9067800"/>
          <a:ext cx="104775" cy="2338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46</xdr:col>
      <xdr:colOff>0</xdr:colOff>
      <xdr:row>56</xdr:row>
      <xdr:rowOff>0</xdr:rowOff>
    </xdr:from>
    <xdr:ext cx="104775" cy="228600"/>
    <xdr:sp macro="" textlink="">
      <xdr:nvSpPr>
        <xdr:cNvPr id="10" name="Text Box 35"/>
        <xdr:cNvSpPr txBox="1">
          <a:spLocks noChangeArrowheads="1"/>
        </xdr:cNvSpPr>
      </xdr:nvSpPr>
      <xdr:spPr bwMode="auto">
        <a:xfrm>
          <a:off x="28041600" y="906780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52</xdr:row>
          <xdr:rowOff>38100</xdr:rowOff>
        </xdr:from>
        <xdr:to>
          <xdr:col>36</xdr:col>
          <xdr:colOff>247650</xdr:colOff>
          <xdr:row>52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104775</xdr:colOff>
          <xdr:row>52</xdr:row>
          <xdr:rowOff>47625</xdr:rowOff>
        </xdr:from>
        <xdr:to>
          <xdr:col>32</xdr:col>
          <xdr:colOff>304800</xdr:colOff>
          <xdr:row>52</xdr:row>
          <xdr:rowOff>276225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0</xdr:colOff>
      <xdr:row>42</xdr:row>
      <xdr:rowOff>0</xdr:rowOff>
    </xdr:from>
    <xdr:ext cx="104775" cy="228600"/>
    <xdr:sp macro="" textlink="">
      <xdr:nvSpPr>
        <xdr:cNvPr id="13" name="Text Box 10"/>
        <xdr:cNvSpPr txBox="1">
          <a:spLocks noChangeArrowheads="1"/>
        </xdr:cNvSpPr>
      </xdr:nvSpPr>
      <xdr:spPr bwMode="auto">
        <a:xfrm>
          <a:off x="8534400" y="68008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14</xdr:col>
      <xdr:colOff>0</xdr:colOff>
      <xdr:row>42</xdr:row>
      <xdr:rowOff>0</xdr:rowOff>
    </xdr:from>
    <xdr:ext cx="104775" cy="228600"/>
    <xdr:sp macro="" textlink="">
      <xdr:nvSpPr>
        <xdr:cNvPr id="14" name="Text Box 131"/>
        <xdr:cNvSpPr txBox="1">
          <a:spLocks noChangeArrowheads="1"/>
        </xdr:cNvSpPr>
      </xdr:nvSpPr>
      <xdr:spPr bwMode="auto">
        <a:xfrm>
          <a:off x="8534400" y="6800850"/>
          <a:ext cx="1047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21</xdr:col>
      <xdr:colOff>212912</xdr:colOff>
      <xdr:row>37</xdr:row>
      <xdr:rowOff>207869</xdr:rowOff>
    </xdr:from>
    <xdr:to>
      <xdr:col>21</xdr:col>
      <xdr:colOff>212912</xdr:colOff>
      <xdr:row>46</xdr:row>
      <xdr:rowOff>87965</xdr:rowOff>
    </xdr:to>
    <xdr:sp macro="" textlink="">
      <xdr:nvSpPr>
        <xdr:cNvPr id="15" name="Line 54"/>
        <xdr:cNvSpPr>
          <a:spLocks noChangeShapeType="1"/>
        </xdr:cNvSpPr>
      </xdr:nvSpPr>
      <xdr:spPr bwMode="auto">
        <a:xfrm>
          <a:off x="13014512" y="6151469"/>
          <a:ext cx="0" cy="1385046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21</xdr:col>
      <xdr:colOff>241487</xdr:colOff>
      <xdr:row>37</xdr:row>
      <xdr:rowOff>179294</xdr:rowOff>
    </xdr:from>
    <xdr:to>
      <xdr:col>33</xdr:col>
      <xdr:colOff>252692</xdr:colOff>
      <xdr:row>37</xdr:row>
      <xdr:rowOff>179294</xdr:rowOff>
    </xdr:to>
    <xdr:sp macro="" textlink="">
      <xdr:nvSpPr>
        <xdr:cNvPr id="16" name="Line 55"/>
        <xdr:cNvSpPr>
          <a:spLocks noChangeShapeType="1"/>
        </xdr:cNvSpPr>
      </xdr:nvSpPr>
      <xdr:spPr bwMode="auto">
        <a:xfrm flipV="1">
          <a:off x="13043087" y="6151469"/>
          <a:ext cx="732640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21</xdr:col>
      <xdr:colOff>289112</xdr:colOff>
      <xdr:row>37</xdr:row>
      <xdr:rowOff>226919</xdr:rowOff>
    </xdr:from>
    <xdr:to>
      <xdr:col>33</xdr:col>
      <xdr:colOff>262217</xdr:colOff>
      <xdr:row>46</xdr:row>
      <xdr:rowOff>49945</xdr:rowOff>
    </xdr:to>
    <xdr:sp macro="" textlink="">
      <xdr:nvSpPr>
        <xdr:cNvPr id="17" name="Rectangle 61"/>
        <xdr:cNvSpPr>
          <a:spLocks noChangeArrowheads="1"/>
        </xdr:cNvSpPr>
      </xdr:nvSpPr>
      <xdr:spPr bwMode="auto">
        <a:xfrm>
          <a:off x="13090712" y="6151469"/>
          <a:ext cx="7288305" cy="1347026"/>
        </a:xfrm>
        <a:prstGeom prst="rect">
          <a:avLst/>
        </a:prstGeom>
        <a:solidFill>
          <a:srgbClr val="FFFF99"/>
        </a:solidFill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6</xdr:col>
      <xdr:colOff>152400</xdr:colOff>
      <xdr:row>123</xdr:row>
      <xdr:rowOff>0</xdr:rowOff>
    </xdr:from>
    <xdr:ext cx="104775" cy="236846"/>
    <xdr:sp macro="" textlink="">
      <xdr:nvSpPr>
        <xdr:cNvPr id="18" name="Text Box 9"/>
        <xdr:cNvSpPr txBox="1">
          <a:spLocks noChangeArrowheads="1"/>
        </xdr:cNvSpPr>
      </xdr:nvSpPr>
      <xdr:spPr bwMode="auto">
        <a:xfrm>
          <a:off x="3810000" y="19916775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6</xdr:col>
      <xdr:colOff>152400</xdr:colOff>
      <xdr:row>123</xdr:row>
      <xdr:rowOff>0</xdr:rowOff>
    </xdr:from>
    <xdr:ext cx="104775" cy="236846"/>
    <xdr:sp macro="" textlink="">
      <xdr:nvSpPr>
        <xdr:cNvPr id="19" name="Text Box 18"/>
        <xdr:cNvSpPr txBox="1">
          <a:spLocks noChangeArrowheads="1"/>
        </xdr:cNvSpPr>
      </xdr:nvSpPr>
      <xdr:spPr bwMode="auto">
        <a:xfrm>
          <a:off x="3810000" y="19916775"/>
          <a:ext cx="104775" cy="236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114300</xdr:rowOff>
    </xdr:from>
    <xdr:to>
      <xdr:col>2</xdr:col>
      <xdr:colOff>176182</xdr:colOff>
      <xdr:row>7</xdr:row>
      <xdr:rowOff>123825</xdr:rowOff>
    </xdr:to>
    <xdr:pic>
      <xdr:nvPicPr>
        <xdr:cNvPr id="15367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114300"/>
          <a:ext cx="1924050" cy="1447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57</xdr:row>
          <xdr:rowOff>133350</xdr:rowOff>
        </xdr:from>
        <xdr:to>
          <xdr:col>5</xdr:col>
          <xdr:colOff>323850</xdr:colOff>
          <xdr:row>58</xdr:row>
          <xdr:rowOff>38100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Связать со сделкой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59</xdr:row>
          <xdr:rowOff>114300</xdr:rowOff>
        </xdr:from>
        <xdr:to>
          <xdr:col>5</xdr:col>
          <xdr:colOff>314325</xdr:colOff>
          <xdr:row>62</xdr:row>
          <xdr:rowOff>28575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800080"/>
                  </a:solidFill>
                  <a:latin typeface="Arial Cyr"/>
                  <a:cs typeface="Arial Cyr"/>
                </a:rPr>
                <a:t>Передать в Битрикс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</xdr:colOff>
      <xdr:row>14</xdr:row>
      <xdr:rowOff>269234</xdr:rowOff>
    </xdr:from>
    <xdr:to>
      <xdr:col>3</xdr:col>
      <xdr:colOff>201456</xdr:colOff>
      <xdr:row>14</xdr:row>
      <xdr:rowOff>534433</xdr:rowOff>
    </xdr:to>
    <xdr:sp macro="" textlink="">
      <xdr:nvSpPr>
        <xdr:cNvPr id="2" name="TextBox 1"/>
        <xdr:cNvSpPr txBox="1"/>
      </xdr:nvSpPr>
      <xdr:spPr>
        <a:xfrm rot="16200000">
          <a:off x="2318416" y="1583590"/>
          <a:ext cx="265199" cy="183171"/>
        </a:xfrm>
        <a:prstGeom prst="rect">
          <a:avLst/>
        </a:prstGeom>
        <a:solidFill>
          <a:schemeClr val="lt1"/>
        </a:solidFill>
        <a:ln w="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ru-RU" sz="1000"/>
            <a:t>№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12</xdr:row>
          <xdr:rowOff>57150</xdr:rowOff>
        </xdr:from>
        <xdr:to>
          <xdr:col>25</xdr:col>
          <xdr:colOff>609600</xdr:colOff>
          <xdr:row>13</xdr:row>
          <xdr:rowOff>171450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47625</xdr:colOff>
          <xdr:row>12</xdr:row>
          <xdr:rowOff>66675</xdr:rowOff>
        </xdr:from>
        <xdr:to>
          <xdr:col>31</xdr:col>
          <xdr:colOff>209550</xdr:colOff>
          <xdr:row>13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2438400</xdr:colOff>
          <xdr:row>1</xdr:row>
          <xdr:rowOff>28575</xdr:rowOff>
        </xdr:from>
        <xdr:to>
          <xdr:col>1</xdr:col>
          <xdr:colOff>3514725</xdr:colOff>
          <xdr:row>2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1</xdr:row>
          <xdr:rowOff>38100</xdr:rowOff>
        </xdr:from>
        <xdr:to>
          <xdr:col>1</xdr:col>
          <xdr:colOff>1943100</xdr:colOff>
          <xdr:row>2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</xdr:row>
          <xdr:rowOff>57150</xdr:rowOff>
        </xdr:from>
        <xdr:to>
          <xdr:col>11</xdr:col>
          <xdr:colOff>561975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781050</xdr:colOff>
          <xdr:row>1</xdr:row>
          <xdr:rowOff>57150</xdr:rowOff>
        </xdr:from>
        <xdr:to>
          <xdr:col>13</xdr:col>
          <xdr:colOff>638175</xdr:colOff>
          <xdr:row>2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95250</xdr:rowOff>
    </xdr:from>
    <xdr:to>
      <xdr:col>0</xdr:col>
      <xdr:colOff>866775</xdr:colOff>
      <xdr:row>2</xdr:row>
      <xdr:rowOff>790975</xdr:rowOff>
    </xdr:to>
    <xdr:pic>
      <xdr:nvPicPr>
        <xdr:cNvPr id="16409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9527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47625</xdr:colOff>
      <xdr:row>10</xdr:row>
      <xdr:rowOff>190500</xdr:rowOff>
    </xdr:from>
    <xdr:to>
      <xdr:col>0</xdr:col>
      <xdr:colOff>866775</xdr:colOff>
      <xdr:row>13</xdr:row>
      <xdr:rowOff>97972</xdr:rowOff>
    </xdr:to>
    <xdr:pic>
      <xdr:nvPicPr>
        <xdr:cNvPr id="16410" name="Picture 2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406717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47625</xdr:colOff>
      <xdr:row>10</xdr:row>
      <xdr:rowOff>190500</xdr:rowOff>
    </xdr:from>
    <xdr:to>
      <xdr:col>6</xdr:col>
      <xdr:colOff>847725</xdr:colOff>
      <xdr:row>13</xdr:row>
      <xdr:rowOff>97972</xdr:rowOff>
    </xdr:to>
    <xdr:pic>
      <xdr:nvPicPr>
        <xdr:cNvPr id="16411" name="Picture 3" descr="Zont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10125" y="4067175"/>
          <a:ext cx="80010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19050</xdr:colOff>
      <xdr:row>1</xdr:row>
      <xdr:rowOff>152400</xdr:rowOff>
    </xdr:from>
    <xdr:to>
      <xdr:col>6</xdr:col>
      <xdr:colOff>838200</xdr:colOff>
      <xdr:row>2</xdr:row>
      <xdr:rowOff>844203</xdr:rowOff>
    </xdr:to>
    <xdr:pic>
      <xdr:nvPicPr>
        <xdr:cNvPr id="16412" name="Picture 4" descr="Zont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781550" y="352425"/>
          <a:ext cx="819150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160244</xdr:colOff>
      <xdr:row>1</xdr:row>
      <xdr:rowOff>28575</xdr:rowOff>
    </xdr:from>
    <xdr:to>
      <xdr:col>0</xdr:col>
      <xdr:colOff>753830</xdr:colOff>
      <xdr:row>2</xdr:row>
      <xdr:rowOff>6162</xdr:rowOff>
    </xdr:to>
    <xdr:pic>
      <xdr:nvPicPr>
        <xdr:cNvPr id="6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160244" y="22860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135030</xdr:colOff>
      <xdr:row>2</xdr:row>
      <xdr:rowOff>129427</xdr:rowOff>
    </xdr:from>
    <xdr:to>
      <xdr:col>0</xdr:col>
      <xdr:colOff>727779</xdr:colOff>
      <xdr:row>2</xdr:row>
      <xdr:rowOff>835397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30" y="102477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</xdr:row>
      <xdr:rowOff>17369</xdr:rowOff>
    </xdr:from>
    <xdr:to>
      <xdr:col>0</xdr:col>
      <xdr:colOff>657225</xdr:colOff>
      <xdr:row>6</xdr:row>
      <xdr:rowOff>219075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92236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6</xdr:col>
      <xdr:colOff>179294</xdr:colOff>
      <xdr:row>1</xdr:row>
      <xdr:rowOff>28575</xdr:rowOff>
    </xdr:from>
    <xdr:to>
      <xdr:col>6</xdr:col>
      <xdr:colOff>772880</xdr:colOff>
      <xdr:row>2</xdr:row>
      <xdr:rowOff>6162</xdr:rowOff>
    </xdr:to>
    <xdr:pic>
      <xdr:nvPicPr>
        <xdr:cNvPr id="9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4998944" y="22860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154080</xdr:colOff>
      <xdr:row>2</xdr:row>
      <xdr:rowOff>129427</xdr:rowOff>
    </xdr:from>
    <xdr:to>
      <xdr:col>6</xdr:col>
      <xdr:colOff>746829</xdr:colOff>
      <xdr:row>2</xdr:row>
      <xdr:rowOff>835397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730" y="102477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3</xdr:row>
      <xdr:rowOff>17369</xdr:rowOff>
    </xdr:from>
    <xdr:to>
      <xdr:col>6</xdr:col>
      <xdr:colOff>676275</xdr:colOff>
      <xdr:row>6</xdr:row>
      <xdr:rowOff>219075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92236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0</xdr:col>
      <xdr:colOff>179294</xdr:colOff>
      <xdr:row>9</xdr:row>
      <xdr:rowOff>0</xdr:rowOff>
    </xdr:from>
    <xdr:to>
      <xdr:col>0</xdr:col>
      <xdr:colOff>772880</xdr:colOff>
      <xdr:row>9</xdr:row>
      <xdr:rowOff>672912</xdr:rowOff>
    </xdr:to>
    <xdr:pic>
      <xdr:nvPicPr>
        <xdr:cNvPr id="12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179294" y="382905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154080</xdr:colOff>
      <xdr:row>10</xdr:row>
      <xdr:rowOff>100852</xdr:rowOff>
    </xdr:from>
    <xdr:to>
      <xdr:col>0</xdr:col>
      <xdr:colOff>746829</xdr:colOff>
      <xdr:row>10</xdr:row>
      <xdr:rowOff>806822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080" y="462522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10</xdr:row>
      <xdr:rowOff>998444</xdr:rowOff>
    </xdr:from>
    <xdr:to>
      <xdr:col>0</xdr:col>
      <xdr:colOff>676275</xdr:colOff>
      <xdr:row>14</xdr:row>
      <xdr:rowOff>257175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5522819"/>
          <a:ext cx="533400" cy="963706"/>
        </a:xfrm>
        <a:prstGeom prst="rect">
          <a:avLst/>
        </a:prstGeom>
      </xdr:spPr>
    </xdr:pic>
    <xdr:clientData/>
  </xdr:twoCellAnchor>
  <xdr:twoCellAnchor editAs="oneCell">
    <xdr:from>
      <xdr:col>6</xdr:col>
      <xdr:colOff>207869</xdr:colOff>
      <xdr:row>9</xdr:row>
      <xdr:rowOff>0</xdr:rowOff>
    </xdr:from>
    <xdr:to>
      <xdr:col>6</xdr:col>
      <xdr:colOff>801455</xdr:colOff>
      <xdr:row>9</xdr:row>
      <xdr:rowOff>672912</xdr:rowOff>
    </xdr:to>
    <xdr:pic>
      <xdr:nvPicPr>
        <xdr:cNvPr id="15" name="Picture 1" descr="Zon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/>
        </a:blip>
        <a:srcRect/>
        <a:stretch>
          <a:fillRect/>
        </a:stretch>
      </xdr:blipFill>
      <xdr:spPr bwMode="auto">
        <a:xfrm>
          <a:off x="5027519" y="3829050"/>
          <a:ext cx="593586" cy="6729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182655</xdr:colOff>
      <xdr:row>10</xdr:row>
      <xdr:rowOff>100852</xdr:rowOff>
    </xdr:from>
    <xdr:to>
      <xdr:col>6</xdr:col>
      <xdr:colOff>775404</xdr:colOff>
      <xdr:row>10</xdr:row>
      <xdr:rowOff>806822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2305" y="4625227"/>
          <a:ext cx="592749" cy="705970"/>
        </a:xfrm>
        <a:prstGeom prst="rect">
          <a:avLst/>
        </a:prstGeom>
      </xdr:spPr>
    </xdr:pic>
    <xdr:clientData/>
  </xdr:twoCellAnchor>
  <xdr:twoCellAnchor editAs="oneCell">
    <xdr:from>
      <xdr:col>6</xdr:col>
      <xdr:colOff>171450</xdr:colOff>
      <xdr:row>10</xdr:row>
      <xdr:rowOff>998444</xdr:rowOff>
    </xdr:from>
    <xdr:to>
      <xdr:col>6</xdr:col>
      <xdr:colOff>704850</xdr:colOff>
      <xdr:row>14</xdr:row>
      <xdr:rowOff>257175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1100" y="5522819"/>
          <a:ext cx="533400" cy="96370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</xdr:colOff>
      <xdr:row>14</xdr:row>
      <xdr:rowOff>269234</xdr:rowOff>
    </xdr:from>
    <xdr:to>
      <xdr:col>3</xdr:col>
      <xdr:colOff>201456</xdr:colOff>
      <xdr:row>14</xdr:row>
      <xdr:rowOff>534433</xdr:rowOff>
    </xdr:to>
    <xdr:sp macro="" textlink="">
      <xdr:nvSpPr>
        <xdr:cNvPr id="2" name="TextBox 1"/>
        <xdr:cNvSpPr txBox="1"/>
      </xdr:nvSpPr>
      <xdr:spPr>
        <a:xfrm rot="16200000">
          <a:off x="2320421" y="1634223"/>
          <a:ext cx="265199" cy="183171"/>
        </a:xfrm>
        <a:prstGeom prst="rect">
          <a:avLst/>
        </a:prstGeom>
        <a:solidFill>
          <a:schemeClr val="lt1"/>
        </a:solidFill>
        <a:ln w="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ru-RU" sz="1000"/>
            <a:t>№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12</xdr:row>
          <xdr:rowOff>104775</xdr:rowOff>
        </xdr:from>
        <xdr:to>
          <xdr:col>24</xdr:col>
          <xdr:colOff>600075</xdr:colOff>
          <xdr:row>14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Скрыть пустые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12</xdr:row>
          <xdr:rowOff>95250</xdr:rowOff>
        </xdr:from>
        <xdr:to>
          <xdr:col>30</xdr:col>
          <xdr:colOff>238125</xdr:colOff>
          <xdr:row>14</xdr:row>
          <xdr:rowOff>19050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Развернуть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!!v!!_&#1064;&#1072;&#1073;&#1083;&#1086;&#1085;%20&#1051;&#1080;&#1089;&#1090;&#1086;&#1074;&#1086;&#1081;_v_09_2019_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__!&#1085;&#1086;&#1074;&#1099;&#1081;!_2018_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!!_&#1064;&#1072;&#1073;&#1083;&#1086;&#1085;_&#1051;&#1080;&#1089;&#1090;&#1086;&#1074;&#1086;&#1081;%20v_.06_2021_&#1076;&#1083;&#1103;%20&#1052;&#1072;&#1088;&#1080;&#1085;&#1099;%20&#1040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озатраты"/>
      <sheetName val="Заказ"/>
      <sheetName val="Заказ_Упаковка"/>
      <sheetName val="Заказ_Обложка"/>
      <sheetName val="Заказ_Форзац"/>
      <sheetName val="Заказ_Вкладка"/>
      <sheetName val="Заказ_Трафарет"/>
      <sheetName val="Кальк"/>
      <sheetName val="Наряд_Печатный"/>
      <sheetName val="Перепл-й"/>
      <sheetName val="Заявка"/>
      <sheetName val="ЯрлыкБ печатный"/>
      <sheetName val="ЯрлыкБ допечатный"/>
      <sheetName val="ЯрлыкБ переплетный"/>
      <sheetName val="ЯРЛ.пач"/>
      <sheetName val="Ярлыки УПАКОВКА"/>
      <sheetName val="ЯрлыкК"/>
      <sheetName val="печ-й"/>
    </sheetNames>
    <sheetDataSet>
      <sheetData sheetId="0"/>
      <sheetData sheetId="1"/>
      <sheetData sheetId="2">
        <row r="1">
          <cell r="Z1">
            <v>164.16666666666666</v>
          </cell>
        </row>
        <row r="3">
          <cell r="X3">
            <v>1</v>
          </cell>
          <cell r="Y3">
            <v>6156.25</v>
          </cell>
        </row>
        <row r="4">
          <cell r="X4">
            <v>2</v>
          </cell>
          <cell r="Y4">
            <v>8208.33</v>
          </cell>
        </row>
        <row r="5">
          <cell r="X5">
            <v>3</v>
          </cell>
          <cell r="Y5">
            <v>9850</v>
          </cell>
        </row>
        <row r="6">
          <cell r="X6">
            <v>4</v>
          </cell>
          <cell r="Y6">
            <v>12312.5</v>
          </cell>
        </row>
        <row r="7">
          <cell r="X7">
            <v>5</v>
          </cell>
          <cell r="Y7">
            <v>14775</v>
          </cell>
        </row>
        <row r="8">
          <cell r="X8">
            <v>6</v>
          </cell>
          <cell r="Y8">
            <v>16416.669999999998</v>
          </cell>
        </row>
      </sheetData>
      <sheetData sheetId="3"/>
      <sheetData sheetId="4"/>
      <sheetData sheetId="5"/>
      <sheetData sheetId="6"/>
      <sheetData sheetId="7"/>
      <sheetData sheetId="8">
        <row r="4">
          <cell r="AL4" t="str">
            <v>Трафарет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"/>
      <sheetName val="Заказ"/>
      <sheetName val="Заказ_Обложка"/>
      <sheetName val="Заказ_Форзац"/>
      <sheetName val="Заказ_Вкладка"/>
      <sheetName val="Заказ_Трафарет"/>
      <sheetName val="Кальк"/>
      <sheetName val="Заявка"/>
      <sheetName val="Техкарта_Печатный"/>
      <sheetName val="Техкарта_Переплет"/>
      <sheetName val="ЯрлыкБ_Подготовка"/>
      <sheetName val="ЯрлыкБ_Переплетный"/>
      <sheetName val="ЯрлыкБ_Допечатный"/>
      <sheetName val="ЯРЛ.пач"/>
      <sheetName val="__!новый!_2018_1"/>
    </sheetNames>
    <sheetDataSet>
      <sheetData sheetId="0">
        <row r="30">
          <cell r="AP30">
            <v>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сх"/>
      <sheetName val="Мат"/>
      <sheetName val="Трудозатраты"/>
      <sheetName val="Заказ"/>
      <sheetName val="Заказ_Упаковка"/>
      <sheetName val="Заказ_Обложка"/>
      <sheetName val="Заказ_Форзац"/>
      <sheetName val="Заказ_Вкладка"/>
      <sheetName val="Заказ_Трафарет"/>
      <sheetName val="Кальк"/>
      <sheetName val="Наряд_Печатный"/>
      <sheetName val="Наряд_Гофроагрегат"/>
      <sheetName val="Наряд_Кашировка"/>
      <sheetName val="Перепл-й"/>
      <sheetName val="Заявка"/>
      <sheetName val="ЯрлыкБ печатный"/>
      <sheetName val="ЯрлыкБ допечатный"/>
      <sheetName val="ЯрлыкБ переплетный"/>
      <sheetName val="ЯРЛ.пач"/>
      <sheetName val="Ярлыки УПАКОВКА"/>
      <sheetName val="ЯрлыкК"/>
      <sheetName val="печ-й"/>
    </sheetNames>
    <sheetDataSet>
      <sheetData sheetId="0"/>
      <sheetData sheetId="1" refreshError="1"/>
      <sheetData sheetId="2">
        <row r="525">
          <cell r="H525">
            <v>0</v>
          </cell>
        </row>
        <row r="530">
          <cell r="H530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omments" Target="../comments1.xml"/><Relationship Id="rId8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7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5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H1037"/>
  <sheetViews>
    <sheetView zoomScaleNormal="100" workbookViewId="0">
      <selection activeCell="J1" sqref="J1"/>
    </sheetView>
  </sheetViews>
  <sheetFormatPr defaultRowHeight="12.75" x14ac:dyDescent="0.2"/>
  <cols>
    <col min="1" max="1" width="81.140625" style="2082" customWidth="1"/>
    <col min="2" max="3" width="9.140625" hidden="1" customWidth="1"/>
    <col min="4" max="4" width="30.42578125" hidden="1" customWidth="1"/>
    <col min="5" max="5" width="17.85546875" hidden="1" customWidth="1"/>
    <col min="6" max="6" width="28.42578125" hidden="1" customWidth="1"/>
    <col min="7" max="7" width="10.5703125" hidden="1" customWidth="1"/>
    <col min="8" max="8" width="9.140625" hidden="1" customWidth="1"/>
  </cols>
  <sheetData>
    <row r="1" spans="1:8" x14ac:dyDescent="0.2">
      <c r="A1" s="1915" t="s">
        <v>239</v>
      </c>
      <c r="B1" s="1903"/>
      <c r="D1" s="1904" t="s">
        <v>239</v>
      </c>
      <c r="E1" s="2199" t="s">
        <v>1356</v>
      </c>
      <c r="F1" s="2199"/>
      <c r="G1" s="2199"/>
      <c r="H1" s="2199"/>
    </row>
    <row r="2" spans="1:8" ht="15.75" x14ac:dyDescent="0.25">
      <c r="A2" s="1916">
        <v>10367</v>
      </c>
      <c r="B2" s="1905" t="s">
        <v>1277</v>
      </c>
      <c r="D2" s="1906"/>
      <c r="E2" s="1921">
        <f>A2</f>
        <v>10367</v>
      </c>
      <c r="F2" s="1924" t="s">
        <v>239</v>
      </c>
      <c r="G2" s="1925" t="s">
        <v>1332</v>
      </c>
      <c r="H2" s="908" t="s">
        <v>1347</v>
      </c>
    </row>
    <row r="3" spans="1:8" ht="15.75" x14ac:dyDescent="0.25">
      <c r="A3" s="1917" t="s">
        <v>1234</v>
      </c>
      <c r="B3" s="1903"/>
      <c r="D3" s="1907" t="s">
        <v>1234</v>
      </c>
      <c r="E3" s="1922">
        <f>IF(A12="А2",2,IF(A12="А3",4,IF(A12="А4",8,IF(A12="А5",16))))</f>
        <v>4</v>
      </c>
      <c r="F3" s="1924" t="s">
        <v>58</v>
      </c>
      <c r="G3" s="1925" t="s">
        <v>1333</v>
      </c>
      <c r="H3" s="908" t="s">
        <v>1345</v>
      </c>
    </row>
    <row r="4" spans="1:8" ht="15.75" x14ac:dyDescent="0.25">
      <c r="A4" s="1918" t="s">
        <v>1947</v>
      </c>
      <c r="B4" s="1903" t="s">
        <v>1277</v>
      </c>
      <c r="D4" s="1908"/>
      <c r="E4" s="1923" t="str">
        <f>A4</f>
        <v>Чепецк Инфо, ООО</v>
      </c>
      <c r="F4" s="1924" t="s">
        <v>51</v>
      </c>
      <c r="G4" s="1925" t="s">
        <v>1334</v>
      </c>
      <c r="H4" s="908" t="s">
        <v>1348</v>
      </c>
    </row>
    <row r="5" spans="1:8" ht="15.75" x14ac:dyDescent="0.25">
      <c r="A5" s="1917" t="s">
        <v>1278</v>
      </c>
      <c r="B5" s="1903"/>
      <c r="D5" s="1907" t="s">
        <v>1278</v>
      </c>
      <c r="E5" s="1922" t="str">
        <f>CONCATENATE(A6," № ",A8," от ",C10)</f>
        <v>Про город К-Чепецк № 13 от 02.04.2022</v>
      </c>
      <c r="F5" s="1924" t="s">
        <v>1335</v>
      </c>
      <c r="G5" s="1925" t="s">
        <v>1336</v>
      </c>
      <c r="H5" s="908" t="s">
        <v>1346</v>
      </c>
    </row>
    <row r="6" spans="1:8" ht="15.75" x14ac:dyDescent="0.25">
      <c r="A6" s="1918" t="s">
        <v>1948</v>
      </c>
      <c r="B6" s="1903" t="s">
        <v>1277</v>
      </c>
      <c r="D6" s="1908"/>
      <c r="E6" s="1923" t="str">
        <f>A12</f>
        <v>А3</v>
      </c>
      <c r="F6" s="1924" t="s">
        <v>227</v>
      </c>
      <c r="G6" s="1925" t="s">
        <v>1337</v>
      </c>
      <c r="H6" s="908" t="s">
        <v>1349</v>
      </c>
    </row>
    <row r="7" spans="1:8" ht="15.75" x14ac:dyDescent="0.25">
      <c r="A7" s="1917" t="s">
        <v>1279</v>
      </c>
      <c r="B7" s="1903"/>
      <c r="D7" s="1907" t="s">
        <v>1279</v>
      </c>
      <c r="E7" s="1923">
        <f>A16</f>
        <v>12</v>
      </c>
      <c r="F7" s="1924" t="s">
        <v>138</v>
      </c>
      <c r="G7" s="1925" t="s">
        <v>1338</v>
      </c>
      <c r="H7" s="908" t="s">
        <v>1350</v>
      </c>
    </row>
    <row r="8" spans="1:8" ht="15.75" x14ac:dyDescent="0.25">
      <c r="A8" s="1918">
        <v>13</v>
      </c>
      <c r="B8" s="1903" t="s">
        <v>1277</v>
      </c>
      <c r="D8" s="1908"/>
      <c r="E8" s="1923">
        <f>A18</f>
        <v>25000</v>
      </c>
      <c r="F8" s="1924" t="s">
        <v>226</v>
      </c>
      <c r="G8" s="1925" t="s">
        <v>1339</v>
      </c>
      <c r="H8" s="908" t="s">
        <v>1351</v>
      </c>
    </row>
    <row r="9" spans="1:8" ht="15.75" x14ac:dyDescent="0.25">
      <c r="A9" s="1917" t="s">
        <v>1280</v>
      </c>
      <c r="B9" s="1903"/>
      <c r="D9" s="1907" t="s">
        <v>1280</v>
      </c>
      <c r="E9" s="1922">
        <f>IF(A14="Газетная, 42-48 г/м2",4)</f>
        <v>4</v>
      </c>
      <c r="F9" s="1924" t="s">
        <v>1340</v>
      </c>
      <c r="G9" s="1925" t="s">
        <v>1341</v>
      </c>
      <c r="H9" s="908" t="s">
        <v>1352</v>
      </c>
    </row>
    <row r="10" spans="1:8" ht="15.75" x14ac:dyDescent="0.25">
      <c r="A10" s="1918">
        <v>44653</v>
      </c>
      <c r="B10" s="1903" t="s">
        <v>1281</v>
      </c>
      <c r="C10" t="str">
        <f>TEXT(A10,"ДД.ММ.ГГГГ")</f>
        <v>02.04.2022</v>
      </c>
      <c r="D10" s="1908"/>
      <c r="E10" s="1922">
        <f>IF(A14="Газетная, 42-48 г/м2",2)</f>
        <v>2</v>
      </c>
      <c r="F10" s="1924" t="s">
        <v>1062</v>
      </c>
      <c r="G10" s="1925" t="s">
        <v>1342</v>
      </c>
      <c r="H10" s="908" t="s">
        <v>1353</v>
      </c>
    </row>
    <row r="11" spans="1:8" ht="15.75" x14ac:dyDescent="0.25">
      <c r="A11" s="1917" t="s">
        <v>1237</v>
      </c>
      <c r="B11" s="1903"/>
      <c r="D11" s="1907" t="s">
        <v>1237</v>
      </c>
      <c r="E11" s="1922">
        <f>IF(AND(A14="Газетная, 42-48 г/м2",A12&lt;&gt;"А4"),42,45)</f>
        <v>42</v>
      </c>
      <c r="F11" s="1924" t="s">
        <v>65</v>
      </c>
      <c r="G11" s="1925" t="s">
        <v>1343</v>
      </c>
      <c r="H11" s="908" t="s">
        <v>1355</v>
      </c>
    </row>
    <row r="12" spans="1:8" ht="15.75" x14ac:dyDescent="0.25">
      <c r="A12" s="1918" t="s">
        <v>1596</v>
      </c>
      <c r="B12" s="1903" t="s">
        <v>1282</v>
      </c>
      <c r="D12" s="1908"/>
      <c r="E12" s="1922">
        <f>IF(A14="Газетная, 42-48 г/м2",57.8)</f>
        <v>57.8</v>
      </c>
      <c r="F12" s="1924" t="s">
        <v>66</v>
      </c>
      <c r="G12" s="1925" t="s">
        <v>1344</v>
      </c>
      <c r="H12" s="908" t="s">
        <v>1354</v>
      </c>
    </row>
    <row r="13" spans="1:8" ht="15" x14ac:dyDescent="0.2">
      <c r="A13" s="1917" t="s">
        <v>1283</v>
      </c>
      <c r="B13" s="1903"/>
      <c r="D13" s="1907" t="s">
        <v>1283</v>
      </c>
      <c r="F13" s="1920"/>
      <c r="G13" s="466"/>
    </row>
    <row r="14" spans="1:8" x14ac:dyDescent="0.2">
      <c r="A14" s="1918" t="s">
        <v>1931</v>
      </c>
      <c r="B14" s="1903" t="s">
        <v>1281</v>
      </c>
      <c r="D14" s="1908"/>
    </row>
    <row r="15" spans="1:8" x14ac:dyDescent="0.2">
      <c r="A15" s="1917" t="s">
        <v>1284</v>
      </c>
      <c r="B15" s="1903"/>
      <c r="D15" s="1907" t="s">
        <v>1284</v>
      </c>
    </row>
    <row r="16" spans="1:8" x14ac:dyDescent="0.2">
      <c r="A16" s="1918">
        <v>12</v>
      </c>
      <c r="B16" s="1903" t="s">
        <v>1281</v>
      </c>
      <c r="D16" s="1908"/>
    </row>
    <row r="17" spans="1:4" x14ac:dyDescent="0.2">
      <c r="A17" s="1917" t="s">
        <v>439</v>
      </c>
      <c r="B17" s="1903"/>
      <c r="D17" s="1907" t="s">
        <v>439</v>
      </c>
    </row>
    <row r="18" spans="1:4" x14ac:dyDescent="0.2">
      <c r="A18" s="1918">
        <v>25000</v>
      </c>
      <c r="B18" s="1903" t="s">
        <v>1282</v>
      </c>
      <c r="D18" s="1908"/>
    </row>
    <row r="19" spans="1:4" x14ac:dyDescent="0.2">
      <c r="A19" s="1917" t="s">
        <v>1285</v>
      </c>
      <c r="B19" s="1903" t="s">
        <v>1282</v>
      </c>
      <c r="D19" s="1907" t="s">
        <v>1285</v>
      </c>
    </row>
    <row r="20" spans="1:4" x14ac:dyDescent="0.2">
      <c r="A20" s="1919" t="s">
        <v>1932</v>
      </c>
      <c r="B20" s="1903"/>
      <c r="D20" s="1908"/>
    </row>
    <row r="21" spans="1:4" x14ac:dyDescent="0.2">
      <c r="A21" s="1917"/>
      <c r="B21" s="1903" t="s">
        <v>1282</v>
      </c>
      <c r="D21" s="1907" t="s">
        <v>1286</v>
      </c>
    </row>
    <row r="22" spans="1:4" x14ac:dyDescent="0.2">
      <c r="A22" s="1917"/>
      <c r="B22" s="1903"/>
      <c r="D22" s="1907" t="s">
        <v>1287</v>
      </c>
    </row>
    <row r="23" spans="1:4" x14ac:dyDescent="0.2">
      <c r="A23" s="1918"/>
      <c r="B23" s="1903" t="s">
        <v>1282</v>
      </c>
      <c r="D23" s="1908"/>
    </row>
    <row r="24" spans="1:4" x14ac:dyDescent="0.2">
      <c r="A24" s="1917"/>
      <c r="B24" s="1903"/>
      <c r="D24" s="1907" t="s">
        <v>1288</v>
      </c>
    </row>
    <row r="25" spans="1:4" x14ac:dyDescent="0.2">
      <c r="A25" s="1918"/>
      <c r="B25" s="1903" t="s">
        <v>1282</v>
      </c>
      <c r="D25" s="1908"/>
    </row>
    <row r="26" spans="1:4" x14ac:dyDescent="0.2">
      <c r="A26" s="1917" t="s">
        <v>1289</v>
      </c>
      <c r="B26" s="1903" t="s">
        <v>1282</v>
      </c>
      <c r="D26" s="1907" t="s">
        <v>1289</v>
      </c>
    </row>
    <row r="27" spans="1:4" x14ac:dyDescent="0.2">
      <c r="A27" s="1918"/>
      <c r="B27" s="1903"/>
      <c r="D27" s="1908"/>
    </row>
    <row r="28" spans="1:4" x14ac:dyDescent="0.2">
      <c r="A28" s="1917" t="s">
        <v>1382</v>
      </c>
      <c r="B28" s="1903" t="s">
        <v>1282</v>
      </c>
      <c r="D28" s="1907" t="s">
        <v>1290</v>
      </c>
    </row>
    <row r="29" spans="1:4" x14ac:dyDescent="0.2">
      <c r="A29" s="1918"/>
      <c r="B29" s="1903"/>
      <c r="D29" s="1908" t="s">
        <v>1291</v>
      </c>
    </row>
    <row r="30" spans="1:4" x14ac:dyDescent="0.2">
      <c r="A30" s="1917" t="s">
        <v>1292</v>
      </c>
      <c r="B30" s="1903"/>
      <c r="D30" s="1907" t="s">
        <v>1292</v>
      </c>
    </row>
    <row r="31" spans="1:4" ht="25.5" x14ac:dyDescent="0.2">
      <c r="A31" s="1919" t="s">
        <v>1949</v>
      </c>
      <c r="B31" s="1903"/>
      <c r="D31" s="1908"/>
    </row>
    <row r="32" spans="1:4" x14ac:dyDescent="0.2">
      <c r="A32" s="1917" t="s">
        <v>1329</v>
      </c>
    </row>
    <row r="33" spans="1:1" x14ac:dyDescent="0.2">
      <c r="A33" s="1918" t="s">
        <v>1945</v>
      </c>
    </row>
    <row r="34" spans="1:1" x14ac:dyDescent="0.2">
      <c r="A34" s="1917" t="s">
        <v>1330</v>
      </c>
    </row>
    <row r="35" spans="1:1" x14ac:dyDescent="0.2">
      <c r="A35" s="1918" t="s">
        <v>1950</v>
      </c>
    </row>
    <row r="36" spans="1:1" x14ac:dyDescent="0.2">
      <c r="A36" s="1917" t="s">
        <v>1331</v>
      </c>
    </row>
    <row r="37" spans="1:1" x14ac:dyDescent="0.2">
      <c r="A37" s="1918" t="s">
        <v>1946</v>
      </c>
    </row>
    <row r="38" spans="1:1" x14ac:dyDescent="0.2">
      <c r="A38" s="2082" t="s">
        <v>1933</v>
      </c>
    </row>
    <row r="1000" spans="1:1" ht="14.25" x14ac:dyDescent="0.2">
      <c r="A1000" s="2195"/>
    </row>
    <row r="1001" spans="1:1" ht="14.25" x14ac:dyDescent="0.2">
      <c r="A1001" s="2195"/>
    </row>
    <row r="1002" spans="1:1" ht="14.25" x14ac:dyDescent="0.2">
      <c r="A1002" s="2195"/>
    </row>
    <row r="1003" spans="1:1" ht="14.25" x14ac:dyDescent="0.2">
      <c r="A1003" s="2195"/>
    </row>
    <row r="1004" spans="1:1" ht="14.25" x14ac:dyDescent="0.2">
      <c r="A1004" s="2195"/>
    </row>
    <row r="1005" spans="1:1" ht="14.25" x14ac:dyDescent="0.2">
      <c r="A1005" s="2195"/>
    </row>
    <row r="1006" spans="1:1" ht="14.25" x14ac:dyDescent="0.2">
      <c r="A1006" s="2195"/>
    </row>
    <row r="1007" spans="1:1" ht="14.25" x14ac:dyDescent="0.2">
      <c r="A1007" s="2195"/>
    </row>
    <row r="1008" spans="1:1" ht="14.25" x14ac:dyDescent="0.2">
      <c r="A1008" s="2195"/>
    </row>
    <row r="1009" spans="1:1" ht="14.25" x14ac:dyDescent="0.2">
      <c r="A1009" s="2196"/>
    </row>
    <row r="1010" spans="1:1" ht="14.25" x14ac:dyDescent="0.2">
      <c r="A1010" s="2195"/>
    </row>
    <row r="1011" spans="1:1" ht="14.25" x14ac:dyDescent="0.2">
      <c r="A1011" s="2195"/>
    </row>
    <row r="1012" spans="1:1" ht="14.25" x14ac:dyDescent="0.2">
      <c r="A1012" s="2195"/>
    </row>
    <row r="1013" spans="1:1" ht="14.25" x14ac:dyDescent="0.2">
      <c r="A1013" s="2195"/>
    </row>
    <row r="1014" spans="1:1" ht="14.25" x14ac:dyDescent="0.2">
      <c r="A1014" s="2195"/>
    </row>
    <row r="1015" spans="1:1" ht="14.25" x14ac:dyDescent="0.2">
      <c r="A1015" s="2195"/>
    </row>
    <row r="1016" spans="1:1" ht="14.25" x14ac:dyDescent="0.2">
      <c r="A1016" s="2195"/>
    </row>
    <row r="1017" spans="1:1" ht="14.25" x14ac:dyDescent="0.2">
      <c r="A1017" s="2195"/>
    </row>
    <row r="1018" spans="1:1" ht="14.25" x14ac:dyDescent="0.2">
      <c r="A1018" s="2195"/>
    </row>
    <row r="1019" spans="1:1" ht="14.25" x14ac:dyDescent="0.2">
      <c r="A1019" s="2195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ht="14.25" x14ac:dyDescent="0.2">
      <c r="A1025" s="2195"/>
    </row>
    <row r="1026" spans="1:1" x14ac:dyDescent="0.2">
      <c r="A1026"/>
    </row>
    <row r="1027" spans="1:1" ht="14.25" x14ac:dyDescent="0.2">
      <c r="A1027" s="2195"/>
    </row>
    <row r="1028" spans="1:1" x14ac:dyDescent="0.2">
      <c r="A1028"/>
    </row>
    <row r="1029" spans="1:1" ht="14.25" x14ac:dyDescent="0.2">
      <c r="A1029" s="2195"/>
    </row>
    <row r="1030" spans="1:1" ht="14.25" x14ac:dyDescent="0.2">
      <c r="A1030" s="2195"/>
    </row>
    <row r="1031" spans="1:1" ht="14.25" x14ac:dyDescent="0.2">
      <c r="A1031" s="2195"/>
    </row>
    <row r="1032" spans="1:1" ht="14.25" x14ac:dyDescent="0.2">
      <c r="A1032" s="2195"/>
    </row>
    <row r="1033" spans="1:1" ht="14.25" x14ac:dyDescent="0.2">
      <c r="A1033" s="2195"/>
    </row>
    <row r="1034" spans="1:1" ht="14.25" x14ac:dyDescent="0.2">
      <c r="A1034" s="2195"/>
    </row>
    <row r="1035" spans="1:1" ht="14.25" x14ac:dyDescent="0.2">
      <c r="A1035" s="2195"/>
    </row>
    <row r="1036" spans="1:1" ht="14.25" x14ac:dyDescent="0.2">
      <c r="A1036" s="2195"/>
    </row>
    <row r="1037" spans="1:1" ht="14.25" x14ac:dyDescent="0.2">
      <c r="A1037" s="2195"/>
    </row>
  </sheetData>
  <mergeCells count="1">
    <mergeCell ref="E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Вставка_значений_из_буфера">
                <anchor moveWithCells="1" sizeWithCells="1">
                  <from>
                    <xdr:col>8</xdr:col>
                    <xdr:colOff>57150</xdr:colOff>
                    <xdr:row>0</xdr:row>
                    <xdr:rowOff>66675</xdr:rowOff>
                  </from>
                  <to>
                    <xdr:col>12</xdr:col>
                    <xdr:colOff>57150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Очистить_вставку_из_буфера">
                <anchor moveWithCells="1" sizeWithCells="1">
                  <from>
                    <xdr:col>12</xdr:col>
                    <xdr:colOff>285750</xdr:colOff>
                    <xdr:row>0</xdr:row>
                    <xdr:rowOff>66675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Разноска_данных">
                <anchor moveWithCells="1" sizeWithCells="1">
                  <from>
                    <xdr:col>8</xdr:col>
                    <xdr:colOff>66675</xdr:colOff>
                    <xdr:row>8</xdr:row>
                    <xdr:rowOff>47625</xdr:rowOff>
                  </from>
                  <to>
                    <xdr:col>12</xdr:col>
                    <xdr:colOff>66675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Очистка_разноски">
                <anchor moveWithCells="1" sizeWithCells="1">
                  <from>
                    <xdr:col>12</xdr:col>
                    <xdr:colOff>285750</xdr:colOff>
                    <xdr:row>8</xdr:row>
                    <xdr:rowOff>57150</xdr:rowOff>
                  </from>
                  <to>
                    <xdr:col>14</xdr:col>
                    <xdr:colOff>581025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pageSetUpPr fitToPage="1"/>
  </sheetPr>
  <dimension ref="A1:QD508"/>
  <sheetViews>
    <sheetView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" sqref="J1"/>
    </sheetView>
  </sheetViews>
  <sheetFormatPr defaultColWidth="9.140625" defaultRowHeight="12.75" x14ac:dyDescent="0.2"/>
  <cols>
    <col min="1" max="1" width="4.5703125" style="11" customWidth="1"/>
    <col min="2" max="2" width="5.5703125" style="5" customWidth="1"/>
    <col min="3" max="3" width="13.7109375" style="11" customWidth="1"/>
    <col min="4" max="4" width="45.7109375" style="11" customWidth="1"/>
    <col min="5" max="5" width="6.85546875" style="11" customWidth="1"/>
    <col min="6" max="6" width="7.5703125" style="11" customWidth="1"/>
    <col min="7" max="7" width="7.28515625" style="11" customWidth="1"/>
    <col min="8" max="8" width="8.140625" style="11" customWidth="1"/>
    <col min="9" max="10" width="10.7109375" style="11" customWidth="1"/>
    <col min="11" max="11" width="9.7109375" style="11" customWidth="1"/>
    <col min="12" max="12" width="11.28515625" style="11" customWidth="1"/>
    <col min="13" max="13" width="6.5703125" style="11" customWidth="1"/>
    <col min="14" max="14" width="10.140625" style="11" customWidth="1"/>
    <col min="15" max="15" width="10.28515625" style="11" customWidth="1"/>
    <col min="16" max="16" width="7.28515625" style="11" customWidth="1"/>
    <col min="17" max="17" width="12.85546875" style="11" customWidth="1"/>
    <col min="18" max="18" width="14" style="11" customWidth="1"/>
    <col min="19" max="19" width="13.28515625" style="11" customWidth="1"/>
    <col min="20" max="20" width="10.7109375" style="11" customWidth="1"/>
    <col min="21" max="21" width="11.5703125" style="11" customWidth="1"/>
    <col min="22" max="22" width="13.28515625" style="11" customWidth="1"/>
    <col min="23" max="23" width="14" style="11" customWidth="1"/>
    <col min="24" max="24" width="13.42578125" style="11" customWidth="1"/>
    <col min="25" max="25" width="9.5703125" style="11" customWidth="1"/>
    <col min="26" max="26" width="10.5703125" style="11" customWidth="1"/>
    <col min="27" max="27" width="12.140625" style="11" customWidth="1"/>
    <col min="28" max="28" width="11.85546875" style="11" customWidth="1"/>
    <col min="29" max="29" width="11.42578125" style="11" customWidth="1"/>
    <col min="30" max="30" width="10" style="11" customWidth="1"/>
    <col min="31" max="31" width="9.5703125" style="11" customWidth="1"/>
    <col min="32" max="32" width="11.7109375" style="11" customWidth="1"/>
    <col min="33" max="34" width="9.140625" style="11" customWidth="1"/>
    <col min="35" max="35" width="11.28515625" style="11" customWidth="1"/>
    <col min="36" max="36" width="11.85546875" style="11" customWidth="1"/>
    <col min="37" max="37" width="13.85546875" style="11" customWidth="1"/>
    <col min="38" max="38" width="9.140625" style="11" customWidth="1"/>
    <col min="39" max="40" width="9.140625" style="11" hidden="1" customWidth="1"/>
    <col min="41" max="42" width="9.140625" style="11" customWidth="1"/>
    <col min="43" max="43" width="9.7109375" style="11" customWidth="1"/>
    <col min="44" max="44" width="10.28515625" style="11" customWidth="1"/>
    <col min="45" max="51" width="9.140625" style="11" hidden="1" customWidth="1"/>
    <col min="52" max="52" width="14.140625" style="11" customWidth="1"/>
    <col min="53" max="53" width="14.28515625" style="11" customWidth="1"/>
    <col min="54" max="54" width="12.5703125" style="11" customWidth="1"/>
    <col min="55" max="56" width="9.140625" style="11" customWidth="1"/>
    <col min="57" max="57" width="9.140625" style="11" hidden="1" customWidth="1"/>
    <col min="58" max="58" width="11.42578125" style="11" hidden="1" customWidth="1"/>
    <col min="59" max="59" width="10.42578125" style="11" hidden="1" customWidth="1"/>
    <col min="60" max="60" width="10.85546875" style="11" hidden="1" customWidth="1"/>
    <col min="61" max="65" width="9.140625" style="11" hidden="1" customWidth="1"/>
    <col min="66" max="66" width="40.5703125" style="11" hidden="1" customWidth="1"/>
    <col min="67" max="69" width="9.140625" style="11" hidden="1" customWidth="1"/>
    <col min="70" max="70" width="13" style="11" hidden="1" customWidth="1"/>
    <col min="71" max="71" width="21.42578125" style="11" hidden="1" customWidth="1"/>
    <col min="72" max="72" width="45.7109375" style="11" hidden="1" customWidth="1"/>
    <col min="73" max="78" width="9.140625" style="11" hidden="1" customWidth="1"/>
    <col min="79" max="87" width="10.85546875" style="11" hidden="1" customWidth="1"/>
    <col min="88" max="90" width="11" style="11" hidden="1" customWidth="1"/>
    <col min="91" max="91" width="12.85546875" style="11" hidden="1" customWidth="1"/>
    <col min="92" max="92" width="13" style="11" hidden="1" customWidth="1"/>
    <col min="93" max="93" width="11.7109375" style="11" hidden="1" customWidth="1"/>
    <col min="94" max="94" width="13.28515625" style="11" hidden="1" customWidth="1"/>
    <col min="95" max="95" width="12" style="11" hidden="1" customWidth="1"/>
    <col min="96" max="96" width="11.140625" style="11" hidden="1" customWidth="1"/>
    <col min="97" max="97" width="14.140625" style="11" hidden="1" customWidth="1"/>
    <col min="98" max="98" width="11.85546875" style="11" hidden="1" customWidth="1"/>
    <col min="99" max="99" width="11.7109375" style="11" hidden="1" customWidth="1"/>
    <col min="100" max="100" width="11.28515625" style="11" hidden="1" customWidth="1"/>
    <col min="101" max="101" width="13.28515625" style="11" hidden="1" customWidth="1"/>
    <col min="102" max="102" width="10.42578125" style="11" hidden="1" customWidth="1"/>
    <col min="103" max="103" width="9.140625" style="11" hidden="1" customWidth="1"/>
    <col min="104" max="104" width="11.140625" style="11" hidden="1" customWidth="1"/>
    <col min="105" max="105" width="14.7109375" style="11" hidden="1" customWidth="1"/>
    <col min="106" max="111" width="9.140625" style="11" hidden="1" customWidth="1"/>
    <col min="112" max="112" width="10.85546875" style="11" hidden="1" customWidth="1"/>
    <col min="113" max="113" width="11.42578125" style="11" hidden="1" customWidth="1"/>
    <col min="114" max="114" width="13" style="11" hidden="1" customWidth="1"/>
    <col min="115" max="116" width="9.140625" style="11" hidden="1" customWidth="1"/>
    <col min="117" max="117" width="12.85546875" style="11" hidden="1" customWidth="1"/>
    <col min="118" max="118" width="11.140625" style="11" hidden="1" customWidth="1"/>
    <col min="119" max="119" width="12.5703125" style="11" hidden="1" customWidth="1"/>
    <col min="120" max="124" width="9.140625" style="11" hidden="1" customWidth="1"/>
    <col min="125" max="125" width="2.7109375" style="11" hidden="1" customWidth="1"/>
    <col min="126" max="128" width="9.140625" style="11" hidden="1" customWidth="1"/>
    <col min="129" max="237" width="9.140625" style="11" customWidth="1"/>
    <col min="238" max="238" width="9.140625" style="742" customWidth="1"/>
    <col min="239" max="239" width="9.140625" style="794" hidden="1" customWidth="1"/>
    <col min="240" max="240" width="11" style="742" hidden="1" customWidth="1"/>
    <col min="241" max="241" width="7.140625" style="742" hidden="1" customWidth="1"/>
    <col min="242" max="242" width="9.140625" style="742" hidden="1" customWidth="1"/>
    <col min="243" max="243" width="18.140625" style="742" hidden="1" customWidth="1"/>
    <col min="244" max="244" width="2.85546875" style="742" hidden="1" customWidth="1"/>
    <col min="245" max="245" width="14.140625" style="742" hidden="1" customWidth="1"/>
    <col min="246" max="246" width="4.140625" style="742" hidden="1" customWidth="1"/>
    <col min="247" max="247" width="45.140625" style="742" hidden="1" customWidth="1"/>
    <col min="248" max="248" width="5.28515625" style="742" hidden="1" customWidth="1"/>
    <col min="249" max="249" width="6" style="742" hidden="1" customWidth="1"/>
    <col min="250" max="250" width="5.140625" style="742" hidden="1" customWidth="1"/>
    <col min="251" max="251" width="36.7109375" style="742" hidden="1" customWidth="1"/>
    <col min="252" max="252" width="22" style="742" hidden="1" customWidth="1"/>
    <col min="253" max="253" width="9.140625" style="742" hidden="1" customWidth="1"/>
    <col min="254" max="254" width="39.28515625" style="742" hidden="1" customWidth="1"/>
    <col min="255" max="255" width="39.85546875" style="742" hidden="1" customWidth="1"/>
    <col min="256" max="280" width="9.140625" style="742" hidden="1" customWidth="1"/>
    <col min="281" max="281" width="19.7109375" style="742" hidden="1" customWidth="1"/>
    <col min="282" max="282" width="31.140625" style="742" hidden="1" customWidth="1"/>
    <col min="283" max="283" width="36.7109375" style="742" hidden="1" customWidth="1"/>
    <col min="284" max="284" width="35.5703125" style="742" hidden="1" customWidth="1"/>
    <col min="285" max="285" width="45.140625" style="742" hidden="1" customWidth="1"/>
    <col min="286" max="286" width="29.42578125" style="742" hidden="1" customWidth="1"/>
    <col min="287" max="287" width="36.42578125" style="742" hidden="1" customWidth="1"/>
    <col min="288" max="289" width="9.140625" style="742" hidden="1" customWidth="1"/>
    <col min="290" max="290" width="11.7109375" style="742" hidden="1" customWidth="1"/>
    <col min="291" max="292" width="9.140625" style="742" hidden="1" customWidth="1"/>
    <col min="293" max="293" width="19.42578125" style="742" hidden="1" customWidth="1"/>
    <col min="294" max="294" width="9.140625" style="742" hidden="1" customWidth="1"/>
    <col min="295" max="295" width="11.140625" style="742" hidden="1" customWidth="1"/>
    <col min="296" max="296" width="12.140625" style="742" hidden="1" customWidth="1"/>
    <col min="297" max="297" width="10.42578125" style="742" hidden="1" customWidth="1"/>
    <col min="298" max="298" width="11.140625" style="742" hidden="1" customWidth="1"/>
    <col min="299" max="299" width="12.140625" style="742" hidden="1" customWidth="1"/>
    <col min="300" max="300" width="11" style="742" hidden="1" customWidth="1"/>
    <col min="301" max="301" width="13.42578125" style="742" hidden="1" customWidth="1"/>
    <col min="302" max="302" width="12.85546875" style="742" hidden="1" customWidth="1"/>
    <col min="303" max="303" width="12.7109375" style="742" hidden="1" customWidth="1"/>
    <col min="304" max="304" width="12.5703125" style="742" hidden="1" customWidth="1"/>
    <col min="305" max="305" width="12.7109375" style="742" hidden="1" customWidth="1"/>
    <col min="306" max="308" width="9.140625" style="742" hidden="1" customWidth="1"/>
    <col min="309" max="309" width="17.5703125" style="742" hidden="1" customWidth="1"/>
    <col min="310" max="311" width="17.7109375" style="742" hidden="1" customWidth="1"/>
    <col min="312" max="314" width="14.85546875" style="742" hidden="1" customWidth="1"/>
    <col min="315" max="317" width="16.5703125" style="742" hidden="1" customWidth="1"/>
    <col min="318" max="318" width="10.28515625" style="742" hidden="1" customWidth="1"/>
    <col min="319" max="319" width="11.140625" style="742" hidden="1" customWidth="1"/>
    <col min="320" max="320" width="10.28515625" style="742" hidden="1" customWidth="1"/>
    <col min="321" max="323" width="10.5703125" style="742" hidden="1" customWidth="1"/>
    <col min="324" max="324" width="11.42578125" style="742" hidden="1" customWidth="1"/>
    <col min="325" max="325" width="11.85546875" style="742" hidden="1" customWidth="1"/>
    <col min="326" max="328" width="15.5703125" style="742" hidden="1" customWidth="1"/>
    <col min="329" max="329" width="14" style="742" hidden="1" customWidth="1"/>
    <col min="330" max="331" width="9.140625" style="742" hidden="1" customWidth="1"/>
    <col min="332" max="332" width="13.42578125" style="742" hidden="1" customWidth="1"/>
    <col min="333" max="333" width="15" style="742" hidden="1" customWidth="1"/>
    <col min="334" max="334" width="11.85546875" style="742" hidden="1" customWidth="1"/>
    <col min="335" max="335" width="10.85546875" style="742" hidden="1" customWidth="1"/>
    <col min="336" max="346" width="9.140625" style="742" hidden="1" customWidth="1"/>
    <col min="347" max="348" width="9.140625" style="742" customWidth="1"/>
    <col min="349" max="16384" width="9.140625" style="742"/>
  </cols>
  <sheetData>
    <row r="1" spans="1:346" ht="15" customHeight="1" x14ac:dyDescent="0.2">
      <c r="B1" s="1021" t="s">
        <v>730</v>
      </c>
      <c r="C1" s="1022">
        <f ca="1">NOW()</f>
        <v>44680.419855208333</v>
      </c>
      <c r="I1" s="11" t="s">
        <v>226</v>
      </c>
      <c r="J1" s="2192">
        <v>25000</v>
      </c>
      <c r="K1" s="165">
        <f>J1+IN1</f>
        <v>25000</v>
      </c>
      <c r="L1" s="242" t="str">
        <f>IF(J1&lt;9900,"Добавить бумагу"," ")</f>
        <v xml:space="preserve"> </v>
      </c>
      <c r="N1" s="22">
        <v>0</v>
      </c>
      <c r="U1" s="19"/>
      <c r="AC1" s="12"/>
      <c r="ID1" s="1509">
        <v>238</v>
      </c>
      <c r="IE1" s="783"/>
      <c r="IF1" s="1809" t="str">
        <f>E7</f>
        <v>рулонная</v>
      </c>
      <c r="IG1" s="1809"/>
      <c r="IH1" s="1810" t="str">
        <f>INDEX(IH2:IH16,MATCH(II1,Tehnologi,0))</f>
        <v>1-13</v>
      </c>
      <c r="II1" s="1810" t="str">
        <f>E9</f>
        <v>О.А. Коврова</v>
      </c>
      <c r="IJ1" s="1811"/>
      <c r="IK1" s="1812" t="str">
        <f>IF(L17+L20&gt;0,"цыфр.печать","офсет.печать")</f>
        <v>офсет.печать</v>
      </c>
      <c r="IL1" s="1813">
        <f>IF(IM1&gt;0,INDEX(IL2:IL38,MATCH(IM1,IM2:IM38,0)),0)</f>
        <v>1</v>
      </c>
      <c r="IM1" s="1814" t="str">
        <f>P7</f>
        <v>ГАЗЕТЫ РУЛОННЫЕ</v>
      </c>
      <c r="IN1" s="1815">
        <f>INDEX(IN2:IN38,MATCH(IM1,IM2:IM38,0))</f>
        <v>0</v>
      </c>
      <c r="IO1" s="1811">
        <f>INDEX(IO2:IO38,MATCH(IM1,IM2:IM38,0))</f>
        <v>1</v>
      </c>
      <c r="IP1" s="1816">
        <f>INDEX(IP2:IP8,MATCH(IQ1,IQ2:IQ8,0))</f>
        <v>1</v>
      </c>
      <c r="IQ1" s="1817" t="str">
        <f>J7</f>
        <v>ГАЗЕТЫ</v>
      </c>
      <c r="IR1" s="1880" t="str">
        <f>INDEX(IR2:IR8,MATCH(IQ1,IQ2:IQ8,0))</f>
        <v>ГАЗЕТЫ_отдел</v>
      </c>
      <c r="IS1" s="1818">
        <f>INDEX(IS2:IS4,MATCH(IT1,IT2:IT4,0))</f>
        <v>1</v>
      </c>
      <c r="IT1" s="1813" t="str">
        <f>J9</f>
        <v>ООО "Кировская областная типография"</v>
      </c>
      <c r="IU1" s="1813" t="str">
        <f>LOOKUP($IS1,$IS2:$IS5,IU2:IU5)</f>
        <v>Генеральный директор Журавлев А.В.</v>
      </c>
      <c r="IV1" s="1818"/>
      <c r="IW1" s="1819"/>
      <c r="IX1" s="1819"/>
      <c r="IY1" s="1819"/>
      <c r="IZ1" s="1819"/>
      <c r="JA1" s="1819"/>
      <c r="JB1" s="1819"/>
      <c r="JC1" s="1819"/>
      <c r="JD1" s="1819"/>
      <c r="JE1" s="1819"/>
      <c r="JF1" s="1819"/>
      <c r="JG1" s="1819"/>
      <c r="JH1" s="1819"/>
      <c r="JI1" s="1819"/>
      <c r="JJ1" s="1819"/>
      <c r="JK1" s="1819"/>
      <c r="JL1" s="1819"/>
      <c r="JM1" s="1819"/>
      <c r="JN1" s="1819"/>
      <c r="JO1" s="1819"/>
      <c r="JP1" s="1819"/>
      <c r="JQ1" s="1820">
        <v>1</v>
      </c>
      <c r="JR1" s="1820" t="str">
        <f>LOOKUP($JQ1,$JQ2:$JQ6,JR2:JR6)</f>
        <v>Осн.текст</v>
      </c>
      <c r="JS1" s="1819"/>
      <c r="JT1" s="1819"/>
      <c r="JU1" s="1819"/>
      <c r="JV1" s="1819"/>
      <c r="JW1" s="1819"/>
      <c r="JX1" s="1819"/>
      <c r="JY1" s="1819"/>
      <c r="JZ1" s="1819"/>
      <c r="KA1" s="1819"/>
      <c r="KB1" s="1819"/>
      <c r="KC1" s="1819"/>
      <c r="KD1" s="1819"/>
      <c r="KE1" s="1819"/>
      <c r="KF1" s="1819"/>
      <c r="KG1" s="1819"/>
      <c r="KH1" s="1819"/>
      <c r="KI1" s="1819"/>
      <c r="KJ1" s="1819"/>
      <c r="KK1" s="1819"/>
      <c r="KL1" s="1819"/>
      <c r="KM1" s="1819"/>
      <c r="KN1" s="1819"/>
      <c r="KO1" s="1819"/>
      <c r="KP1" s="1819"/>
      <c r="KQ1" s="1819"/>
      <c r="KR1" s="1819"/>
      <c r="KS1" s="1819"/>
      <c r="KT1" s="1819"/>
      <c r="KU1" s="1819"/>
      <c r="KV1" s="1819"/>
      <c r="KW1" s="1819"/>
      <c r="KX1" s="1819"/>
      <c r="KY1" s="1819"/>
      <c r="KZ1" s="1819"/>
      <c r="LA1" s="1819"/>
      <c r="LB1" s="1819"/>
      <c r="LC1" s="1819"/>
      <c r="LD1" s="1819"/>
      <c r="LE1" s="1819"/>
      <c r="LF1" s="1819"/>
      <c r="LG1" s="1819"/>
      <c r="LH1" s="1819"/>
      <c r="LI1" s="1819"/>
      <c r="LJ1" s="1819"/>
      <c r="LK1" s="1819"/>
      <c r="LL1" s="1819"/>
      <c r="LM1" s="1819"/>
      <c r="LN1" s="1819"/>
      <c r="LO1" s="1819"/>
      <c r="LP1" s="1819"/>
      <c r="LQ1" s="1819"/>
      <c r="LR1" s="1819"/>
      <c r="LS1" s="1819"/>
      <c r="LT1" s="1819"/>
      <c r="LU1" s="1819"/>
      <c r="LV1" s="1819"/>
      <c r="LW1" s="1819"/>
      <c r="LX1" s="1819"/>
      <c r="LY1" s="1819"/>
      <c r="LZ1" s="1819"/>
      <c r="MA1" s="1819"/>
      <c r="MB1" s="1819"/>
      <c r="MC1" s="1819"/>
      <c r="MD1" s="1819"/>
      <c r="ME1" s="1819"/>
      <c r="MF1" s="1819"/>
      <c r="MG1" s="1819"/>
      <c r="MH1" s="1819" t="s">
        <v>1386</v>
      </c>
    </row>
    <row r="2" spans="1:346" ht="15" customHeight="1" x14ac:dyDescent="0.2">
      <c r="A2" s="842">
        <v>2</v>
      </c>
      <c r="B2" s="979" t="s">
        <v>777</v>
      </c>
      <c r="C2" s="1020">
        <v>110</v>
      </c>
      <c r="E2" s="2"/>
      <c r="F2" s="2"/>
      <c r="I2" s="11" t="s">
        <v>58</v>
      </c>
      <c r="K2" s="2190">
        <v>4</v>
      </c>
      <c r="U2" s="19"/>
      <c r="AC2" s="12"/>
      <c r="IE2" s="789">
        <v>1</v>
      </c>
      <c r="IF2" s="786" t="s">
        <v>196</v>
      </c>
      <c r="IG2" s="786">
        <v>1</v>
      </c>
      <c r="IH2" s="1828" t="s">
        <v>456</v>
      </c>
      <c r="II2" s="1829" t="s">
        <v>865</v>
      </c>
      <c r="IJ2" s="786"/>
      <c r="IK2" s="790">
        <v>1</v>
      </c>
      <c r="IL2" s="1860">
        <v>1</v>
      </c>
      <c r="IM2" s="1860" t="s">
        <v>1300</v>
      </c>
      <c r="IN2" s="1860">
        <v>0</v>
      </c>
      <c r="IO2" s="1860">
        <v>1</v>
      </c>
      <c r="IP2" s="1860">
        <v>1</v>
      </c>
      <c r="IQ2" s="1867" t="s">
        <v>1252</v>
      </c>
      <c r="IR2" s="1868" t="s">
        <v>1260</v>
      </c>
      <c r="IS2" s="786">
        <v>1</v>
      </c>
      <c r="IT2" s="786" t="s">
        <v>161</v>
      </c>
      <c r="IU2" s="786" t="s">
        <v>608</v>
      </c>
      <c r="IV2" s="788"/>
      <c r="JQ2" s="786">
        <v>1</v>
      </c>
      <c r="JR2" s="637" t="s">
        <v>818</v>
      </c>
      <c r="JU2" s="1843" t="s">
        <v>1252</v>
      </c>
      <c r="JV2" s="1844" t="s">
        <v>966</v>
      </c>
      <c r="JW2" s="1845" t="s">
        <v>1253</v>
      </c>
      <c r="JX2" s="1846" t="s">
        <v>1254</v>
      </c>
      <c r="JY2" s="1847" t="s">
        <v>1255</v>
      </c>
      <c r="JZ2" s="1848" t="s">
        <v>1256</v>
      </c>
      <c r="KA2" s="1849" t="s">
        <v>1257</v>
      </c>
    </row>
    <row r="3" spans="1:346" ht="15" x14ac:dyDescent="0.2">
      <c r="B3" s="979" t="s">
        <v>778</v>
      </c>
      <c r="C3" s="1020">
        <v>100</v>
      </c>
      <c r="D3" s="2"/>
      <c r="E3" s="1"/>
      <c r="F3" s="154"/>
      <c r="H3" s="79"/>
      <c r="I3" s="11" t="s">
        <v>227</v>
      </c>
      <c r="K3" s="2191" t="s">
        <v>1596</v>
      </c>
      <c r="O3" s="80">
        <f>60</f>
        <v>60</v>
      </c>
      <c r="P3" s="81">
        <v>84</v>
      </c>
      <c r="U3" s="19"/>
      <c r="AC3" s="12"/>
      <c r="IE3" s="789">
        <v>2</v>
      </c>
      <c r="IF3" s="786" t="s">
        <v>197</v>
      </c>
      <c r="IG3" s="786">
        <v>2</v>
      </c>
      <c r="IH3" s="1828" t="s">
        <v>1192</v>
      </c>
      <c r="II3" s="1831" t="s">
        <v>1814</v>
      </c>
      <c r="IJ3" s="786"/>
      <c r="IK3" s="790">
        <v>2</v>
      </c>
      <c r="IL3" s="1860">
        <v>2</v>
      </c>
      <c r="IM3" s="1860" t="s">
        <v>1293</v>
      </c>
      <c r="IN3" s="1860">
        <v>0</v>
      </c>
      <c r="IO3" s="1860">
        <v>1</v>
      </c>
      <c r="IP3" s="1861">
        <v>2</v>
      </c>
      <c r="IQ3" s="1869" t="s">
        <v>966</v>
      </c>
      <c r="IR3" s="1870" t="s">
        <v>1261</v>
      </c>
      <c r="IS3" s="786">
        <v>2</v>
      </c>
      <c r="IT3" s="786" t="s">
        <v>459</v>
      </c>
      <c r="IU3" s="637" t="s">
        <v>1007</v>
      </c>
      <c r="IV3" s="788"/>
      <c r="JQ3" s="786">
        <v>2</v>
      </c>
      <c r="JR3" s="637" t="s">
        <v>400</v>
      </c>
      <c r="JU3" s="1850" t="s">
        <v>1293</v>
      </c>
      <c r="JV3" s="1851" t="s">
        <v>1301</v>
      </c>
      <c r="JW3" s="1852" t="s">
        <v>1295</v>
      </c>
      <c r="JX3" s="1853" t="s">
        <v>1296</v>
      </c>
      <c r="JY3" s="1854" t="s">
        <v>1297</v>
      </c>
      <c r="JZ3" s="1855" t="s">
        <v>1298</v>
      </c>
      <c r="KA3" s="1856" t="s">
        <v>1299</v>
      </c>
    </row>
    <row r="4" spans="1:346" x14ac:dyDescent="0.2">
      <c r="D4" s="2"/>
      <c r="E4" s="1"/>
      <c r="F4" s="154"/>
      <c r="H4" s="16"/>
      <c r="I4" s="11" t="s">
        <v>138</v>
      </c>
      <c r="K4" s="2191">
        <v>12</v>
      </c>
      <c r="M4" s="11" t="s">
        <v>198</v>
      </c>
      <c r="O4" s="84">
        <f>O3/2</f>
        <v>30</v>
      </c>
      <c r="P4" s="85">
        <f>P3/4</f>
        <v>21</v>
      </c>
      <c r="U4" s="19"/>
      <c r="AC4" s="12"/>
      <c r="IE4" s="792"/>
      <c r="IF4" s="788"/>
      <c r="IG4" s="786">
        <v>3</v>
      </c>
      <c r="IH4" s="1828"/>
      <c r="II4" s="1830"/>
      <c r="IJ4" s="786"/>
      <c r="IK4" s="790">
        <v>3</v>
      </c>
      <c r="IL4" s="1861">
        <v>3</v>
      </c>
      <c r="IM4" s="1909" t="s">
        <v>1301</v>
      </c>
      <c r="IN4" s="1861">
        <v>5</v>
      </c>
      <c r="IO4" s="1861">
        <v>2</v>
      </c>
      <c r="IP4" s="794">
        <v>3</v>
      </c>
      <c r="IQ4" s="1871" t="s">
        <v>1253</v>
      </c>
      <c r="IR4" s="792" t="s">
        <v>1262</v>
      </c>
      <c r="IS4" s="786">
        <v>3</v>
      </c>
      <c r="IT4" s="786"/>
      <c r="IU4" s="786"/>
      <c r="IV4" s="788"/>
      <c r="JQ4" s="786">
        <v>3</v>
      </c>
      <c r="JR4" s="637" t="s">
        <v>401</v>
      </c>
      <c r="JU4" s="1850" t="s">
        <v>1300</v>
      </c>
      <c r="JV4" s="1851" t="s">
        <v>1307</v>
      </c>
      <c r="JW4" s="1852" t="s">
        <v>1302</v>
      </c>
      <c r="JX4" s="1853" t="s">
        <v>1303</v>
      </c>
      <c r="JY4" s="1854" t="s">
        <v>1294</v>
      </c>
      <c r="JZ4" s="1855" t="s">
        <v>1305</v>
      </c>
      <c r="KA4" s="1856" t="s">
        <v>1306</v>
      </c>
    </row>
    <row r="5" spans="1:346" x14ac:dyDescent="0.2">
      <c r="D5" s="2"/>
      <c r="E5" s="1"/>
      <c r="F5" s="154"/>
      <c r="H5" s="16"/>
      <c r="I5" s="11" t="s">
        <v>139</v>
      </c>
      <c r="K5" s="9">
        <f>K4/K2</f>
        <v>3</v>
      </c>
      <c r="P5" s="82"/>
      <c r="T5" s="2033"/>
      <c r="U5" s="2034"/>
      <c r="V5" s="2033"/>
      <c r="W5" s="2033"/>
      <c r="X5" s="2033"/>
      <c r="Y5" s="2033"/>
      <c r="Z5" s="2033"/>
      <c r="AA5" s="2033"/>
      <c r="AB5" s="2033"/>
      <c r="AC5" s="2035"/>
      <c r="AD5" s="2033"/>
      <c r="AE5" s="2033"/>
      <c r="AF5" s="2033"/>
      <c r="AG5" s="2033"/>
      <c r="AH5" s="2033"/>
      <c r="AI5" s="2033"/>
      <c r="AJ5" s="2033"/>
      <c r="AK5" s="2033"/>
      <c r="IE5" s="792"/>
      <c r="IF5" s="788"/>
      <c r="IG5" s="786">
        <v>4</v>
      </c>
      <c r="IH5" s="1828"/>
      <c r="II5" s="1830"/>
      <c r="IJ5" s="786"/>
      <c r="IK5" s="790">
        <v>4</v>
      </c>
      <c r="IL5" s="1861">
        <v>4</v>
      </c>
      <c r="IM5" s="1909" t="s">
        <v>1307</v>
      </c>
      <c r="IN5" s="1861">
        <v>0</v>
      </c>
      <c r="IO5" s="1861">
        <v>2</v>
      </c>
      <c r="IP5" s="1862">
        <v>4</v>
      </c>
      <c r="IQ5" s="1522" t="s">
        <v>1254</v>
      </c>
      <c r="IR5" s="1872" t="s">
        <v>1263</v>
      </c>
      <c r="IS5" s="786">
        <v>4</v>
      </c>
      <c r="IT5" s="786"/>
      <c r="IU5" s="793"/>
      <c r="IV5" s="788"/>
      <c r="JQ5" s="788">
        <v>4</v>
      </c>
      <c r="JR5" s="11" t="s">
        <v>402</v>
      </c>
      <c r="JU5" s="1857"/>
      <c r="JV5" s="1851" t="s">
        <v>1312</v>
      </c>
      <c r="JW5" s="1852" t="s">
        <v>1308</v>
      </c>
      <c r="JX5" s="1853" t="s">
        <v>1309</v>
      </c>
      <c r="JY5" s="1854" t="s">
        <v>1304</v>
      </c>
      <c r="JZ5" s="1288"/>
      <c r="KA5" s="1856" t="s">
        <v>1311</v>
      </c>
    </row>
    <row r="6" spans="1:346" x14ac:dyDescent="0.2">
      <c r="A6" s="147"/>
      <c r="B6" s="148"/>
      <c r="C6" s="147"/>
      <c r="D6" s="2"/>
      <c r="E6" s="1"/>
      <c r="F6" s="154"/>
      <c r="H6" s="16"/>
      <c r="P6" s="82"/>
      <c r="T6" s="2033"/>
      <c r="U6" s="2034"/>
      <c r="V6" s="2033"/>
      <c r="W6" s="2033"/>
      <c r="X6" s="2033"/>
      <c r="Y6" s="2033"/>
      <c r="Z6" s="2033"/>
      <c r="AA6" s="2033"/>
      <c r="AB6" s="2033"/>
      <c r="AC6" s="2035"/>
      <c r="AD6" s="2033"/>
      <c r="AE6" s="2033"/>
      <c r="AF6" s="2033"/>
      <c r="AG6" s="2033"/>
      <c r="AH6" s="2033"/>
      <c r="AI6" s="2033"/>
      <c r="AJ6" s="2033"/>
      <c r="AK6" s="2033"/>
      <c r="IG6" s="786">
        <v>5</v>
      </c>
      <c r="IH6" s="1828"/>
      <c r="II6" s="1831"/>
      <c r="IJ6" s="786"/>
      <c r="IK6" s="790">
        <v>5</v>
      </c>
      <c r="IL6" s="1861">
        <v>5</v>
      </c>
      <c r="IM6" s="1909" t="s">
        <v>1312</v>
      </c>
      <c r="IN6" s="1861">
        <v>5</v>
      </c>
      <c r="IO6" s="1861">
        <v>2</v>
      </c>
      <c r="IP6" s="1863">
        <v>5</v>
      </c>
      <c r="IQ6" s="1873" t="s">
        <v>1255</v>
      </c>
      <c r="IR6" s="1872" t="s">
        <v>1263</v>
      </c>
      <c r="IS6" s="786"/>
      <c r="IT6" s="786"/>
      <c r="IU6" s="793"/>
      <c r="IV6" s="788"/>
      <c r="JQ6" s="742">
        <v>5</v>
      </c>
      <c r="JU6" s="1857"/>
      <c r="JV6" s="1851" t="s">
        <v>1317</v>
      </c>
      <c r="JW6" s="1852" t="s">
        <v>1313</v>
      </c>
      <c r="JX6" s="1853" t="s">
        <v>1314</v>
      </c>
      <c r="JY6" s="1854" t="s">
        <v>1310</v>
      </c>
      <c r="JZ6" s="1288"/>
      <c r="KA6" s="1856" t="s">
        <v>1316</v>
      </c>
    </row>
    <row r="7" spans="1:346" ht="18" customHeight="1" x14ac:dyDescent="0.2">
      <c r="D7" s="14" t="s">
        <v>448</v>
      </c>
      <c r="E7" s="2203" t="s">
        <v>197</v>
      </c>
      <c r="F7" s="2204"/>
      <c r="G7" s="2205"/>
      <c r="H7" s="197"/>
      <c r="I7" s="14" t="s">
        <v>1267</v>
      </c>
      <c r="J7" s="2203" t="s">
        <v>1252</v>
      </c>
      <c r="K7" s="2204"/>
      <c r="L7" s="2204"/>
      <c r="M7" s="2205"/>
      <c r="O7" s="1877" t="s">
        <v>1268</v>
      </c>
      <c r="P7" s="2203" t="s">
        <v>1300</v>
      </c>
      <c r="Q7" s="2204"/>
      <c r="R7" s="2204"/>
      <c r="S7" s="2205"/>
      <c r="T7" s="2033"/>
      <c r="U7" s="2034"/>
      <c r="V7" s="2033"/>
      <c r="W7" s="2033"/>
      <c r="X7" s="2033"/>
      <c r="Y7" s="2033"/>
      <c r="Z7" s="2033"/>
      <c r="AA7" s="2033"/>
      <c r="AB7" s="2033"/>
      <c r="AC7" s="2035"/>
      <c r="AD7" s="2033"/>
      <c r="AE7" s="2033"/>
      <c r="AF7" s="2033"/>
      <c r="AG7" s="2033"/>
      <c r="AH7" s="2033"/>
      <c r="AI7" s="2033"/>
      <c r="AJ7" s="2033"/>
      <c r="AK7" s="2033"/>
      <c r="IG7" s="788">
        <v>6</v>
      </c>
      <c r="IH7" s="1828"/>
      <c r="II7" s="1831"/>
      <c r="IJ7" s="1515"/>
      <c r="IK7" s="790">
        <v>6</v>
      </c>
      <c r="IL7" s="1861">
        <v>6</v>
      </c>
      <c r="IM7" s="1909" t="s">
        <v>1317</v>
      </c>
      <c r="IN7" s="1861">
        <v>5</v>
      </c>
      <c r="IO7" s="1861">
        <v>2</v>
      </c>
      <c r="IP7" s="1864">
        <v>6</v>
      </c>
      <c r="IQ7" s="1523" t="s">
        <v>1256</v>
      </c>
      <c r="IR7" s="1874" t="s">
        <v>1264</v>
      </c>
      <c r="IS7" s="786"/>
      <c r="IT7" s="786"/>
      <c r="IU7" s="793"/>
      <c r="IV7" s="788"/>
      <c r="JU7" s="1857"/>
      <c r="JV7" s="1851" t="s">
        <v>1320</v>
      </c>
      <c r="JW7" s="1910" t="s">
        <v>1385</v>
      </c>
      <c r="JX7" s="1853" t="s">
        <v>1318</v>
      </c>
      <c r="JY7" s="1854" t="s">
        <v>1315</v>
      </c>
      <c r="JZ7" s="1288"/>
      <c r="KA7" s="1232"/>
    </row>
    <row r="8" spans="1:346" x14ac:dyDescent="0.2">
      <c r="D8" s="2"/>
      <c r="E8" s="1"/>
      <c r="F8" s="154"/>
      <c r="H8" s="16"/>
      <c r="P8" s="82"/>
      <c r="Q8" s="82"/>
      <c r="R8" s="157"/>
      <c r="S8" s="156"/>
      <c r="T8" s="2033"/>
      <c r="U8" s="2034"/>
      <c r="V8" s="2033"/>
      <c r="W8" s="2033"/>
      <c r="X8" s="2033"/>
      <c r="Y8" s="2033"/>
      <c r="Z8" s="2033"/>
      <c r="AA8" s="2033"/>
      <c r="AB8" s="2033"/>
      <c r="AC8" s="2035"/>
      <c r="AD8" s="2033"/>
      <c r="AE8" s="2033"/>
      <c r="AF8" s="2033"/>
      <c r="AG8" s="2033"/>
      <c r="AH8" s="2033"/>
      <c r="AI8" s="2033"/>
      <c r="AJ8" s="2033"/>
      <c r="AK8" s="2033"/>
      <c r="IG8" s="788">
        <v>7</v>
      </c>
      <c r="IH8" s="1828"/>
      <c r="II8" s="1831"/>
      <c r="IJ8" s="1515"/>
      <c r="IK8" s="790">
        <v>7</v>
      </c>
      <c r="IL8" s="1861">
        <v>7</v>
      </c>
      <c r="IM8" s="1909" t="s">
        <v>1320</v>
      </c>
      <c r="IN8" s="1861">
        <v>5</v>
      </c>
      <c r="IO8" s="1861">
        <v>2</v>
      </c>
      <c r="IP8" s="1865">
        <v>7</v>
      </c>
      <c r="IQ8" s="1875" t="s">
        <v>1257</v>
      </c>
      <c r="IR8" s="1876" t="s">
        <v>1265</v>
      </c>
      <c r="IS8" s="786"/>
      <c r="IT8" s="786"/>
      <c r="IU8" s="793"/>
      <c r="IV8" s="788"/>
      <c r="JU8" s="1857"/>
      <c r="JV8" s="1288"/>
      <c r="JW8" s="1852" t="s">
        <v>1321</v>
      </c>
      <c r="JX8" s="1288"/>
      <c r="JY8" s="1854" t="s">
        <v>1319</v>
      </c>
      <c r="JZ8" s="1288"/>
      <c r="KA8" s="1232"/>
    </row>
    <row r="9" spans="1:346" ht="18" customHeight="1" x14ac:dyDescent="0.2">
      <c r="D9" s="202" t="s">
        <v>449</v>
      </c>
      <c r="E9" s="2206" t="s">
        <v>1814</v>
      </c>
      <c r="F9" s="2207"/>
      <c r="G9" s="2208"/>
      <c r="I9" s="1877" t="s">
        <v>458</v>
      </c>
      <c r="J9" s="2203" t="s">
        <v>161</v>
      </c>
      <c r="K9" s="2204"/>
      <c r="L9" s="2204"/>
      <c r="M9" s="2205"/>
      <c r="P9" s="82"/>
      <c r="Q9" s="82"/>
      <c r="R9" s="157"/>
      <c r="S9" s="156"/>
      <c r="T9" s="2033"/>
      <c r="U9" s="2034"/>
      <c r="V9" s="2033"/>
      <c r="W9" s="2033"/>
      <c r="X9" s="2033"/>
      <c r="Y9" s="2033"/>
      <c r="Z9" s="2033"/>
      <c r="AA9" s="2033"/>
      <c r="AB9" s="2033"/>
      <c r="AC9" s="2035"/>
      <c r="AD9" s="2033"/>
      <c r="AE9" s="2033"/>
      <c r="AF9" s="2033"/>
      <c r="AG9" s="2033"/>
      <c r="AH9" s="2033"/>
      <c r="AI9" s="2033"/>
      <c r="AJ9" s="2033"/>
      <c r="AK9" s="2033"/>
      <c r="IG9" s="788">
        <v>8</v>
      </c>
      <c r="IH9" s="1828"/>
      <c r="II9" s="1831"/>
      <c r="IJ9" s="1515"/>
      <c r="IK9" s="790">
        <v>8</v>
      </c>
      <c r="IL9" s="794">
        <v>8</v>
      </c>
      <c r="IM9" s="1910" t="s">
        <v>1295</v>
      </c>
      <c r="IN9" s="794">
        <v>3</v>
      </c>
      <c r="IO9" s="794">
        <v>3</v>
      </c>
      <c r="IQ9" s="786" t="s">
        <v>907</v>
      </c>
      <c r="IR9" s="788" t="s">
        <v>1266</v>
      </c>
      <c r="IS9" s="786"/>
      <c r="IT9" s="786"/>
      <c r="IU9" s="793"/>
      <c r="IV9" s="788"/>
      <c r="JU9" s="1857"/>
      <c r="JV9" s="1288"/>
      <c r="JW9" s="1852" t="s">
        <v>1323</v>
      </c>
      <c r="JX9" s="1288"/>
      <c r="JY9" s="1854" t="s">
        <v>1322</v>
      </c>
      <c r="JZ9" s="1288"/>
      <c r="KA9" s="1232"/>
    </row>
    <row r="10" spans="1:346" ht="18" customHeight="1" x14ac:dyDescent="0.2">
      <c r="D10" s="202" t="s">
        <v>1175</v>
      </c>
      <c r="E10" s="2200" t="s">
        <v>1814</v>
      </c>
      <c r="F10" s="2201"/>
      <c r="G10" s="2202"/>
      <c r="P10" s="82"/>
      <c r="Q10" s="82"/>
      <c r="R10" s="1878"/>
      <c r="S10" s="1879"/>
      <c r="T10" s="2036"/>
      <c r="U10" s="2033"/>
      <c r="V10" s="2036"/>
      <c r="W10" s="2033"/>
      <c r="X10" s="2036"/>
      <c r="Y10" s="2033"/>
      <c r="Z10" s="2036"/>
      <c r="AA10" s="2033"/>
      <c r="AB10" s="2036"/>
      <c r="AC10" s="2033"/>
      <c r="AD10" s="2036"/>
      <c r="AE10" s="2033"/>
      <c r="AF10" s="2036"/>
      <c r="AG10" s="2033"/>
      <c r="AH10" s="2036"/>
      <c r="AI10" s="2033"/>
      <c r="AJ10" s="2036"/>
      <c r="AK10" s="2033"/>
      <c r="AL10" s="5"/>
      <c r="AN10" s="5"/>
      <c r="AP10" s="5"/>
      <c r="AR10" s="5"/>
      <c r="AT10" s="5"/>
      <c r="AV10" s="5"/>
      <c r="AX10" s="5"/>
      <c r="AZ10" s="5"/>
      <c r="IG10" s="788">
        <v>9</v>
      </c>
      <c r="IH10" s="1828"/>
      <c r="II10" s="1831"/>
      <c r="IJ10" s="1515"/>
      <c r="IK10" s="790">
        <v>9</v>
      </c>
      <c r="IL10" s="794">
        <v>9</v>
      </c>
      <c r="IM10" s="1910" t="s">
        <v>1302</v>
      </c>
      <c r="IN10" s="794">
        <v>3</v>
      </c>
      <c r="IO10" s="794">
        <v>3</v>
      </c>
      <c r="IP10" s="637"/>
      <c r="IQ10" s="786"/>
      <c r="IR10" s="788"/>
      <c r="IS10" s="786"/>
      <c r="IT10" s="786"/>
      <c r="IU10" s="793"/>
      <c r="IV10" s="788"/>
      <c r="JU10" s="1857"/>
      <c r="JV10" s="1288"/>
      <c r="JW10" s="1852" t="s">
        <v>1325</v>
      </c>
      <c r="JX10" s="1288"/>
      <c r="JY10" s="1854" t="s">
        <v>1324</v>
      </c>
      <c r="JZ10" s="1288"/>
      <c r="KA10" s="1232"/>
    </row>
    <row r="11" spans="1:346" x14ac:dyDescent="0.2">
      <c r="A11" s="25"/>
      <c r="B11" s="862"/>
      <c r="C11" s="25"/>
      <c r="D11" s="862"/>
      <c r="E11" s="25"/>
      <c r="F11" s="862"/>
      <c r="G11" s="25"/>
      <c r="H11" s="862"/>
      <c r="I11" s="25"/>
      <c r="J11" s="862"/>
      <c r="K11" s="25"/>
      <c r="L11" s="862"/>
      <c r="M11" s="25"/>
      <c r="N11" s="862"/>
      <c r="O11" s="25"/>
      <c r="P11" s="862"/>
      <c r="Q11" s="25"/>
      <c r="R11" s="862"/>
      <c r="S11" s="860"/>
      <c r="T11" s="2037"/>
      <c r="U11" s="2248" t="s">
        <v>831</v>
      </c>
      <c r="V11" s="2248"/>
      <c r="W11" s="2248"/>
      <c r="X11" s="2248" t="s">
        <v>832</v>
      </c>
      <c r="Y11" s="2248"/>
      <c r="Z11" s="2248"/>
      <c r="AA11" s="2248" t="s">
        <v>833</v>
      </c>
      <c r="AB11" s="2248"/>
      <c r="AC11" s="2248"/>
      <c r="AD11" s="2248" t="s">
        <v>834</v>
      </c>
      <c r="AE11" s="2248"/>
      <c r="AF11" s="2248"/>
      <c r="AG11" s="842"/>
      <c r="AH11" s="842"/>
      <c r="AI11" s="2067"/>
      <c r="AJ11" s="1129"/>
      <c r="AK11" s="2038"/>
      <c r="AL11" s="1099"/>
      <c r="AM11" s="1098"/>
      <c r="AN11" s="1099"/>
      <c r="AO11" s="1098"/>
      <c r="AP11" s="1099"/>
      <c r="AQ11" s="1098"/>
      <c r="AR11" s="1099"/>
      <c r="AS11" s="1098"/>
      <c r="AT11" s="1099"/>
      <c r="AU11" s="1098"/>
      <c r="AV11" s="1099"/>
      <c r="AW11" s="1098"/>
      <c r="AX11" s="1099"/>
      <c r="AY11" s="1098"/>
      <c r="AZ11" s="1099"/>
      <c r="BA11" s="1098"/>
      <c r="BB11" s="1099"/>
      <c r="BC11" s="1098"/>
      <c r="BD11" s="1099"/>
      <c r="BE11" s="1098"/>
      <c r="BF11" s="1100"/>
      <c r="BG11" s="1101"/>
      <c r="BH11" s="1100"/>
      <c r="BI11" s="1098"/>
      <c r="BJ11" s="1098"/>
      <c r="BK11" s="1098"/>
      <c r="BL11" s="1098"/>
      <c r="BM11" s="1098"/>
      <c r="BN11" s="1098"/>
      <c r="BO11" s="1098"/>
      <c r="BP11" s="1098"/>
      <c r="BQ11" s="1098"/>
      <c r="BR11" s="1098"/>
      <c r="BS11" s="1098"/>
      <c r="BT11" s="25"/>
      <c r="BU11" s="25"/>
      <c r="BV11" s="25"/>
      <c r="BW11" s="25"/>
      <c r="IG11" s="788">
        <v>10</v>
      </c>
      <c r="IH11" s="1828"/>
      <c r="II11" s="1830"/>
      <c r="IJ11" s="1515"/>
      <c r="IK11" s="790">
        <v>10</v>
      </c>
      <c r="IL11" s="794">
        <v>10</v>
      </c>
      <c r="IM11" s="1910" t="s">
        <v>1308</v>
      </c>
      <c r="IN11" s="794">
        <v>3</v>
      </c>
      <c r="IO11" s="794">
        <v>3</v>
      </c>
      <c r="IP11" s="790"/>
      <c r="IQ11" s="786"/>
      <c r="IR11" s="788"/>
      <c r="IS11" s="786"/>
      <c r="IT11" s="786"/>
      <c r="IU11" s="793"/>
      <c r="IV11" s="788"/>
      <c r="JU11" s="1857"/>
      <c r="JV11" s="1288"/>
      <c r="JW11" s="1288"/>
      <c r="JX11" s="1288"/>
      <c r="JY11" s="1854" t="s">
        <v>1326</v>
      </c>
      <c r="JZ11" s="1288"/>
      <c r="KA11" s="1232"/>
    </row>
    <row r="12" spans="1:346" ht="25.5" x14ac:dyDescent="0.2">
      <c r="B12" s="3"/>
      <c r="C12" s="6" t="s">
        <v>48</v>
      </c>
      <c r="D12" s="1974" t="s">
        <v>435</v>
      </c>
      <c r="E12" s="86"/>
      <c r="F12" s="2249" t="s">
        <v>725</v>
      </c>
      <c r="G12" s="2250"/>
      <c r="H12" s="2249" t="s">
        <v>724</v>
      </c>
      <c r="I12" s="2250"/>
      <c r="J12" s="847" t="s">
        <v>722</v>
      </c>
      <c r="K12" s="58" t="s">
        <v>263</v>
      </c>
      <c r="L12" s="2251" t="s">
        <v>52</v>
      </c>
      <c r="M12" s="2251"/>
      <c r="N12" s="6" t="s">
        <v>270</v>
      </c>
      <c r="O12" s="6"/>
      <c r="P12" s="1122" t="s">
        <v>868</v>
      </c>
      <c r="Q12" s="1122" t="s">
        <v>869</v>
      </c>
      <c r="R12" s="1122" t="s">
        <v>870</v>
      </c>
      <c r="S12" s="86" t="s">
        <v>1368</v>
      </c>
      <c r="T12" s="2033"/>
      <c r="U12" s="2068" t="s">
        <v>835</v>
      </c>
      <c r="V12" s="2068" t="s">
        <v>836</v>
      </c>
      <c r="W12" s="2069" t="s">
        <v>838</v>
      </c>
      <c r="X12" s="2068" t="s">
        <v>835</v>
      </c>
      <c r="Y12" s="2068" t="s">
        <v>836</v>
      </c>
      <c r="Z12" s="2069" t="s">
        <v>722</v>
      </c>
      <c r="AA12" s="2068" t="s">
        <v>835</v>
      </c>
      <c r="AB12" s="2068" t="s">
        <v>836</v>
      </c>
      <c r="AC12" s="2069" t="s">
        <v>839</v>
      </c>
      <c r="AD12" s="2068" t="s">
        <v>835</v>
      </c>
      <c r="AE12" s="2068" t="s">
        <v>836</v>
      </c>
      <c r="AF12" s="2069" t="s">
        <v>840</v>
      </c>
      <c r="AG12" s="842"/>
      <c r="AH12" s="842"/>
      <c r="AI12" s="2068" t="s">
        <v>871</v>
      </c>
      <c r="AJ12" s="2069" t="s">
        <v>872</v>
      </c>
      <c r="AK12" s="2033"/>
      <c r="AL12" s="1097"/>
      <c r="AM12" s="1097"/>
      <c r="AN12" s="1097"/>
      <c r="AO12" s="1097"/>
      <c r="AP12" s="1097"/>
      <c r="AQ12" s="1097"/>
      <c r="AR12" s="1097"/>
      <c r="AS12" s="1097"/>
      <c r="AT12" s="1097"/>
      <c r="AU12" s="1097"/>
      <c r="AV12" s="1097"/>
      <c r="AW12" s="1097"/>
      <c r="AX12" s="1097"/>
      <c r="AY12" s="1097"/>
      <c r="AZ12" s="1097"/>
      <c r="BA12" s="1097"/>
      <c r="BB12" s="1097"/>
      <c r="BC12" s="1097"/>
      <c r="BD12" s="1097"/>
      <c r="BE12" s="1097"/>
      <c r="BF12" s="1097"/>
      <c r="BG12" s="1097"/>
      <c r="BH12" s="1097"/>
      <c r="BI12" s="1097"/>
      <c r="BJ12" s="1097"/>
      <c r="BK12" s="1097"/>
      <c r="BL12" s="1097"/>
      <c r="BM12" s="1097"/>
      <c r="BN12" s="1097"/>
      <c r="BO12" s="1097"/>
      <c r="BP12" s="1097"/>
      <c r="BQ12" s="1097"/>
      <c r="BR12" s="1097"/>
      <c r="BS12" s="1097"/>
      <c r="IE12" s="792"/>
      <c r="IF12" s="788"/>
      <c r="IG12" s="788">
        <v>11</v>
      </c>
      <c r="IH12" s="1828"/>
      <c r="II12" s="1831"/>
      <c r="IJ12" s="1515"/>
      <c r="IK12" s="790">
        <v>11</v>
      </c>
      <c r="IL12" s="794">
        <v>11</v>
      </c>
      <c r="IM12" s="1910" t="s">
        <v>1313</v>
      </c>
      <c r="IN12" s="794">
        <v>16</v>
      </c>
      <c r="IO12" s="794">
        <v>3</v>
      </c>
      <c r="IP12" s="786"/>
      <c r="IQ12" s="786"/>
      <c r="IR12" s="788"/>
      <c r="IS12" s="786"/>
      <c r="IT12" s="786"/>
      <c r="IU12" s="793"/>
      <c r="IV12" s="788"/>
      <c r="JU12" s="1857"/>
      <c r="JV12" s="1288"/>
      <c r="JW12" s="1288"/>
      <c r="JX12" s="1288"/>
      <c r="JY12" s="1854" t="s">
        <v>1327</v>
      </c>
      <c r="JZ12" s="1288"/>
      <c r="KA12" s="1232"/>
      <c r="KL12" s="5"/>
      <c r="KM12" s="796"/>
      <c r="KN12" s="796"/>
      <c r="KO12" s="796"/>
      <c r="KR12" s="5"/>
    </row>
    <row r="13" spans="1:346" hidden="1" x14ac:dyDescent="0.2">
      <c r="A13" s="11">
        <v>0</v>
      </c>
      <c r="B13" s="83">
        <v>0</v>
      </c>
      <c r="C13" s="88" t="s">
        <v>264</v>
      </c>
      <c r="D13" s="89"/>
      <c r="E13" s="89"/>
      <c r="F13" s="848"/>
      <c r="G13" s="848"/>
      <c r="H13" s="848"/>
      <c r="I13" s="848"/>
      <c r="J13" s="378"/>
      <c r="K13" s="90"/>
      <c r="L13" s="91"/>
      <c r="M13" s="92"/>
      <c r="N13" s="88"/>
      <c r="O13" s="88"/>
      <c r="P13" s="1123"/>
      <c r="Q13" s="1123"/>
      <c r="R13" s="1123"/>
      <c r="T13" s="2033"/>
      <c r="U13" s="741"/>
      <c r="V13" s="934"/>
      <c r="W13" s="842"/>
      <c r="X13" s="934"/>
      <c r="Y13" s="934"/>
      <c r="Z13" s="842"/>
      <c r="AA13" s="934"/>
      <c r="AB13" s="934"/>
      <c r="AC13" s="842"/>
      <c r="AD13" s="934"/>
      <c r="AE13" s="934"/>
      <c r="AF13" s="842"/>
      <c r="AG13" s="842"/>
      <c r="AH13" s="842"/>
      <c r="AI13" s="880"/>
      <c r="AJ13" s="880"/>
      <c r="AK13" s="2033"/>
      <c r="AL13" s="1097"/>
      <c r="AM13" s="1097"/>
      <c r="AN13" s="1097"/>
      <c r="AO13" s="1097"/>
      <c r="AP13" s="1097"/>
      <c r="AQ13" s="1097"/>
      <c r="AR13" s="1097"/>
      <c r="AS13" s="1097"/>
      <c r="AT13" s="1097"/>
      <c r="AU13" s="1097"/>
      <c r="AV13" s="1097"/>
      <c r="AW13" s="1097"/>
      <c r="AX13" s="1097"/>
      <c r="AY13" s="1097"/>
      <c r="AZ13" s="1097"/>
      <c r="BA13" s="1097"/>
      <c r="BB13" s="1097"/>
      <c r="BC13" s="1097"/>
      <c r="BD13" s="1097"/>
      <c r="BE13" s="1097"/>
      <c r="BF13" s="1097"/>
      <c r="BG13" s="1097"/>
      <c r="BH13" s="1097"/>
      <c r="BI13" s="1097"/>
      <c r="BJ13" s="1097"/>
      <c r="BK13" s="1097"/>
      <c r="BL13" s="1097"/>
      <c r="BM13" s="1097"/>
      <c r="BN13" s="1097"/>
      <c r="BO13" s="1097"/>
      <c r="BP13" s="1097"/>
      <c r="BQ13" s="1097"/>
      <c r="BR13" s="1097"/>
      <c r="BS13" s="1097"/>
      <c r="IE13" s="792"/>
      <c r="IF13" s="788"/>
      <c r="IG13" s="788">
        <v>12</v>
      </c>
      <c r="IH13" s="1828"/>
      <c r="II13" s="1831"/>
      <c r="IJ13" s="1515"/>
      <c r="IK13" s="790">
        <v>12</v>
      </c>
      <c r="IL13" s="794">
        <v>12</v>
      </c>
      <c r="IM13" s="1910" t="s">
        <v>1385</v>
      </c>
      <c r="IN13" s="794">
        <v>3</v>
      </c>
      <c r="IO13" s="794">
        <v>3</v>
      </c>
      <c r="IP13" s="786"/>
      <c r="IQ13" s="786"/>
      <c r="IR13" s="788"/>
      <c r="IS13" s="788"/>
      <c r="IT13" s="788"/>
      <c r="IU13" s="788"/>
      <c r="IV13" s="788"/>
      <c r="JU13" s="1857"/>
      <c r="JV13" s="1288"/>
      <c r="JW13" s="1288"/>
      <c r="JX13" s="1288"/>
      <c r="JY13" s="1854" t="s">
        <v>1328</v>
      </c>
      <c r="JZ13" s="1288"/>
      <c r="KA13" s="1232"/>
      <c r="KL13" s="796"/>
      <c r="KM13" s="796"/>
    </row>
    <row r="14" spans="1:346" hidden="1" x14ac:dyDescent="0.2">
      <c r="A14" s="11">
        <v>1</v>
      </c>
      <c r="B14" s="93"/>
      <c r="C14" s="1964" t="s">
        <v>426</v>
      </c>
      <c r="D14" s="94">
        <v>1</v>
      </c>
      <c r="E14" s="920"/>
      <c r="F14" s="929">
        <v>0</v>
      </c>
      <c r="G14" s="930"/>
      <c r="H14" s="929">
        <v>0</v>
      </c>
      <c r="I14" s="931"/>
      <c r="J14" s="932">
        <v>0</v>
      </c>
      <c r="K14" s="98">
        <v>0</v>
      </c>
      <c r="L14" s="98">
        <v>0</v>
      </c>
      <c r="M14" s="95"/>
      <c r="N14" s="98">
        <v>0</v>
      </c>
      <c r="O14" s="96" t="str">
        <f>C14</f>
        <v>Доминант</v>
      </c>
      <c r="P14" s="1124">
        <v>0</v>
      </c>
      <c r="Q14" s="1185">
        <v>0</v>
      </c>
      <c r="R14" s="1125">
        <v>0</v>
      </c>
      <c r="S14" s="385">
        <v>25</v>
      </c>
      <c r="T14" s="2033"/>
      <c r="U14" s="2070">
        <v>0</v>
      </c>
      <c r="V14" s="2070">
        <v>0</v>
      </c>
      <c r="W14" s="842">
        <v>0</v>
      </c>
      <c r="X14" s="2070">
        <v>0</v>
      </c>
      <c r="Y14" s="2070">
        <v>0</v>
      </c>
      <c r="Z14" s="842">
        <v>0</v>
      </c>
      <c r="AA14" s="2070">
        <v>0</v>
      </c>
      <c r="AB14" s="2070">
        <v>0</v>
      </c>
      <c r="AC14" s="842">
        <v>0</v>
      </c>
      <c r="AD14" s="2070">
        <v>0</v>
      </c>
      <c r="AE14" s="2070">
        <v>0</v>
      </c>
      <c r="AF14" s="842">
        <v>0</v>
      </c>
      <c r="AG14" s="842"/>
      <c r="AH14" s="842"/>
      <c r="AI14" s="2071">
        <v>0</v>
      </c>
      <c r="AJ14" s="2072">
        <v>0</v>
      </c>
      <c r="AK14" s="2033"/>
      <c r="AL14" s="1097"/>
      <c r="AM14" s="1097"/>
      <c r="AN14" s="1097"/>
      <c r="AO14" s="1097"/>
      <c r="AP14" s="1097"/>
      <c r="AQ14" s="1097"/>
      <c r="AR14" s="1097"/>
      <c r="AS14" s="1097"/>
      <c r="AT14" s="1097"/>
      <c r="AU14" s="1097"/>
      <c r="AV14" s="1097"/>
      <c r="AW14" s="1097"/>
      <c r="AX14" s="1097"/>
      <c r="AY14" s="1097"/>
      <c r="AZ14" s="1097"/>
      <c r="BA14" s="1097"/>
      <c r="BB14" s="1097"/>
      <c r="BC14" s="1097"/>
      <c r="BD14" s="1097"/>
      <c r="BE14" s="1097"/>
      <c r="BF14" s="1097"/>
      <c r="BG14" s="1097"/>
      <c r="BH14" s="1097"/>
      <c r="BI14" s="1097"/>
      <c r="BJ14" s="1097"/>
      <c r="BK14" s="1097"/>
      <c r="BL14" s="1097"/>
      <c r="BM14" s="1097"/>
      <c r="BN14" s="1097"/>
      <c r="BO14" s="1097"/>
      <c r="BP14" s="1097"/>
      <c r="BQ14" s="1097"/>
      <c r="BR14" s="1097"/>
      <c r="BS14" s="1097"/>
      <c r="IE14" s="792"/>
      <c r="IF14" s="788"/>
      <c r="IG14" s="788">
        <v>13</v>
      </c>
      <c r="IH14" s="2025"/>
      <c r="II14" s="788"/>
      <c r="IJ14" s="1515"/>
      <c r="IK14" s="790"/>
      <c r="IL14" s="794">
        <v>13</v>
      </c>
      <c r="IM14" s="1910" t="s">
        <v>1321</v>
      </c>
      <c r="IN14" s="794">
        <v>0</v>
      </c>
      <c r="IO14" s="794">
        <v>3</v>
      </c>
      <c r="IP14" s="786"/>
      <c r="IQ14" s="786"/>
      <c r="IR14" s="788"/>
      <c r="IS14" s="788"/>
      <c r="IT14" s="788"/>
      <c r="IU14" s="788"/>
      <c r="IV14" s="788"/>
      <c r="JU14" s="1857"/>
      <c r="JV14" s="1288"/>
      <c r="JW14" s="1288"/>
      <c r="JX14" s="1288"/>
      <c r="JY14" s="1288"/>
      <c r="JZ14" s="1288"/>
      <c r="KA14" s="1232"/>
      <c r="KL14" s="796"/>
      <c r="KM14" s="1177"/>
      <c r="KN14" s="1177"/>
      <c r="KO14" s="1177"/>
      <c r="KR14" s="1178"/>
    </row>
    <row r="15" spans="1:346" hidden="1" x14ac:dyDescent="0.2">
      <c r="A15" s="11">
        <v>2</v>
      </c>
      <c r="B15" s="93"/>
      <c r="C15" s="1320" t="s">
        <v>49</v>
      </c>
      <c r="D15" s="94">
        <v>1</v>
      </c>
      <c r="E15" s="920"/>
      <c r="F15" s="933">
        <v>0</v>
      </c>
      <c r="G15" s="934"/>
      <c r="H15" s="933">
        <v>0</v>
      </c>
      <c r="I15" s="935"/>
      <c r="J15" s="932">
        <v>0</v>
      </c>
      <c r="K15" s="98">
        <v>0</v>
      </c>
      <c r="L15" s="98">
        <v>0</v>
      </c>
      <c r="M15" s="88"/>
      <c r="N15" s="98">
        <v>0</v>
      </c>
      <c r="O15" s="96" t="str">
        <f t="shared" ref="O15:O25" si="0">C15</f>
        <v>Комори</v>
      </c>
      <c r="P15" s="1124">
        <v>0</v>
      </c>
      <c r="Q15" s="1185">
        <v>0</v>
      </c>
      <c r="R15" s="1126">
        <v>0</v>
      </c>
      <c r="S15" s="384">
        <v>25</v>
      </c>
      <c r="T15" s="2033"/>
      <c r="U15" s="2070">
        <v>0</v>
      </c>
      <c r="V15" s="2070">
        <v>0</v>
      </c>
      <c r="W15" s="842">
        <v>0</v>
      </c>
      <c r="X15" s="2070">
        <v>0</v>
      </c>
      <c r="Y15" s="2070">
        <v>0</v>
      </c>
      <c r="Z15" s="842">
        <v>0</v>
      </c>
      <c r="AA15" s="2070">
        <v>0</v>
      </c>
      <c r="AB15" s="2070">
        <v>0</v>
      </c>
      <c r="AC15" s="842">
        <v>0</v>
      </c>
      <c r="AD15" s="2070">
        <v>0</v>
      </c>
      <c r="AE15" s="2070">
        <v>0</v>
      </c>
      <c r="AF15" s="842">
        <v>0</v>
      </c>
      <c r="AG15" s="842"/>
      <c r="AH15" s="842"/>
      <c r="AI15" s="2071">
        <v>0</v>
      </c>
      <c r="AJ15" s="2072">
        <v>0</v>
      </c>
      <c r="AK15" s="2033"/>
      <c r="AL15" s="1097"/>
      <c r="AM15" s="1097"/>
      <c r="AN15" s="1097"/>
      <c r="AO15" s="1097"/>
      <c r="AP15" s="1097"/>
      <c r="AQ15" s="1097"/>
      <c r="AR15" s="1097"/>
      <c r="AS15" s="1097"/>
      <c r="AT15" s="1097"/>
      <c r="AU15" s="1097"/>
      <c r="AV15" s="1097"/>
      <c r="AW15" s="1097"/>
      <c r="AX15" s="1097"/>
      <c r="AY15" s="1097"/>
      <c r="AZ15" s="1097"/>
      <c r="BA15" s="1097"/>
      <c r="BB15" s="1097"/>
      <c r="BC15" s="1097"/>
      <c r="BD15" s="1097"/>
      <c r="BE15" s="1097"/>
      <c r="BF15" s="1097"/>
      <c r="BG15" s="1097"/>
      <c r="BH15" s="1097"/>
      <c r="BI15" s="1097"/>
      <c r="BJ15" s="1097"/>
      <c r="BK15" s="1097"/>
      <c r="BL15" s="1097"/>
      <c r="BM15" s="1097"/>
      <c r="BN15" s="1097"/>
      <c r="BO15" s="1097"/>
      <c r="BP15" s="1097"/>
      <c r="BQ15" s="1097"/>
      <c r="BR15" s="1097"/>
      <c r="BS15" s="1097"/>
      <c r="DB15" s="1414"/>
      <c r="DC15" s="1414"/>
      <c r="DD15" s="1414"/>
      <c r="DE15" s="1414"/>
      <c r="DF15" s="1414"/>
      <c r="DG15" s="1414"/>
      <c r="DH15" s="1414"/>
      <c r="DI15" s="1414"/>
      <c r="DJ15" s="1414"/>
      <c r="DK15" s="1414"/>
      <c r="DL15" s="1414"/>
      <c r="DM15" s="1414"/>
      <c r="DN15" s="1414"/>
      <c r="DO15" s="1414"/>
      <c r="DP15" s="1414"/>
      <c r="DQ15" s="1414"/>
      <c r="DR15" s="1414"/>
      <c r="DS15" s="1414"/>
      <c r="DT15" s="1414"/>
      <c r="DU15" s="1414"/>
      <c r="DV15" s="1414"/>
      <c r="DW15" s="1414"/>
      <c r="DX15" s="1414"/>
      <c r="IE15" s="792"/>
      <c r="IF15" s="788"/>
      <c r="IG15" s="788"/>
      <c r="IH15" s="788"/>
      <c r="II15" s="788"/>
      <c r="IJ15" s="788"/>
      <c r="IK15" s="790"/>
      <c r="IL15" s="794">
        <v>14</v>
      </c>
      <c r="IM15" s="1910" t="s">
        <v>1323</v>
      </c>
      <c r="IN15" s="794">
        <v>3</v>
      </c>
      <c r="IO15" s="794">
        <v>3</v>
      </c>
      <c r="IP15" s="786"/>
      <c r="IQ15" s="786"/>
      <c r="IR15" s="788"/>
      <c r="IS15" s="788"/>
      <c r="IT15" s="788"/>
      <c r="IU15" s="788"/>
      <c r="IV15" s="788"/>
      <c r="JU15" s="1857"/>
      <c r="JV15" s="1288"/>
      <c r="JW15" s="1288"/>
      <c r="JX15" s="1288"/>
      <c r="JY15" s="1288"/>
      <c r="JZ15" s="1288"/>
      <c r="KA15" s="1232"/>
      <c r="KL15" s="796"/>
      <c r="KM15" s="1177"/>
      <c r="KN15" s="1177"/>
      <c r="KO15" s="1177"/>
      <c r="KR15" s="1178"/>
    </row>
    <row r="16" spans="1:346" x14ac:dyDescent="0.2">
      <c r="A16" s="842">
        <v>3</v>
      </c>
      <c r="B16" s="93"/>
      <c r="C16" s="1986" t="s">
        <v>455</v>
      </c>
      <c r="D16" s="1975">
        <v>1</v>
      </c>
      <c r="E16" s="920"/>
      <c r="F16" s="933">
        <v>0</v>
      </c>
      <c r="G16" s="934"/>
      <c r="H16" s="933">
        <v>0</v>
      </c>
      <c r="I16" s="935"/>
      <c r="J16" s="932">
        <v>0</v>
      </c>
      <c r="K16" s="98">
        <v>0</v>
      </c>
      <c r="L16" s="98">
        <v>0</v>
      </c>
      <c r="M16" s="88"/>
      <c r="N16" s="98">
        <v>0</v>
      </c>
      <c r="O16" s="96" t="str">
        <f t="shared" si="0"/>
        <v>Ryobi</v>
      </c>
      <c r="P16" s="1124">
        <v>0</v>
      </c>
      <c r="Q16" s="1185">
        <v>0</v>
      </c>
      <c r="R16" s="1126">
        <v>0</v>
      </c>
      <c r="S16" s="384">
        <v>20</v>
      </c>
      <c r="T16" s="2033"/>
      <c r="U16" s="2070">
        <v>0</v>
      </c>
      <c r="V16" s="2073">
        <v>0</v>
      </c>
      <c r="W16" s="842">
        <v>0</v>
      </c>
      <c r="X16" s="2070">
        <v>0</v>
      </c>
      <c r="Y16" s="2074">
        <v>0</v>
      </c>
      <c r="Z16" s="842">
        <v>0</v>
      </c>
      <c r="AA16" s="2074">
        <v>0</v>
      </c>
      <c r="AB16" s="2074">
        <v>0</v>
      </c>
      <c r="AC16" s="842">
        <v>0</v>
      </c>
      <c r="AD16" s="2074">
        <v>0</v>
      </c>
      <c r="AE16" s="2070">
        <v>0</v>
      </c>
      <c r="AF16" s="842">
        <v>0</v>
      </c>
      <c r="AG16" s="842"/>
      <c r="AH16" s="842"/>
      <c r="AI16" s="2071">
        <v>0</v>
      </c>
      <c r="AJ16" s="2072">
        <v>0</v>
      </c>
      <c r="AK16" s="2033"/>
      <c r="AL16" s="1097"/>
      <c r="AM16" s="1097"/>
      <c r="AN16" s="1097"/>
      <c r="AO16" s="1097"/>
      <c r="AP16" s="1097"/>
      <c r="AQ16" s="1097"/>
      <c r="AR16" s="1097"/>
      <c r="AS16" s="1097"/>
      <c r="AT16" s="1097"/>
      <c r="AU16" s="1097"/>
      <c r="AV16" s="1097"/>
      <c r="AW16" s="1097"/>
      <c r="AX16" s="1097"/>
      <c r="AY16" s="1097"/>
      <c r="AZ16" s="1097"/>
      <c r="BA16" s="1097"/>
      <c r="BB16" s="1097"/>
      <c r="BC16" s="1097"/>
      <c r="BD16" s="1097"/>
      <c r="BE16" s="1097"/>
      <c r="BF16" s="1097"/>
      <c r="BG16" s="1097"/>
      <c r="BH16" s="1097"/>
      <c r="BI16" s="1097"/>
      <c r="BJ16" s="1097"/>
      <c r="BK16" s="1097"/>
      <c r="BL16" s="1097"/>
      <c r="BM16" s="1097"/>
      <c r="BN16" s="1097"/>
      <c r="BO16" s="1097"/>
      <c r="BP16" s="1097"/>
      <c r="BQ16" s="1097"/>
      <c r="BR16" s="1097"/>
      <c r="BS16" s="1097"/>
      <c r="IK16" s="790"/>
      <c r="IL16" s="794">
        <v>15</v>
      </c>
      <c r="IM16" s="1910" t="s">
        <v>1325</v>
      </c>
      <c r="IN16" s="794">
        <v>2</v>
      </c>
      <c r="IO16" s="794">
        <v>3</v>
      </c>
      <c r="IS16" s="795"/>
      <c r="IT16" s="795" t="e">
        <f>LOOKUP($IS16,$IS17:$IS22,IT17:IT22)</f>
        <v>#N/A</v>
      </c>
      <c r="JU16" s="1857"/>
      <c r="JV16" s="1288"/>
      <c r="JW16" s="1288"/>
      <c r="JX16" s="1288"/>
      <c r="JY16" s="1288"/>
      <c r="JZ16" s="1288"/>
      <c r="KA16" s="1232"/>
      <c r="KL16" s="796"/>
      <c r="KM16" s="1177"/>
      <c r="KN16" s="1177"/>
      <c r="KO16" s="1177"/>
      <c r="KR16" s="1178"/>
    </row>
    <row r="17" spans="1:337" ht="13.5" hidden="1" customHeight="1" thickBot="1" x14ac:dyDescent="0.25">
      <c r="A17" s="842">
        <v>4</v>
      </c>
      <c r="B17" s="93"/>
      <c r="C17" s="1964" t="s">
        <v>262</v>
      </c>
      <c r="D17" s="1975">
        <v>1</v>
      </c>
      <c r="E17" s="920"/>
      <c r="F17" s="933">
        <v>0</v>
      </c>
      <c r="G17" s="934"/>
      <c r="H17" s="933">
        <v>0</v>
      </c>
      <c r="I17" s="935"/>
      <c r="J17" s="932">
        <v>0</v>
      </c>
      <c r="K17" s="98">
        <v>0</v>
      </c>
      <c r="L17" s="98">
        <v>0</v>
      </c>
      <c r="M17" s="88"/>
      <c r="N17" s="98">
        <v>0</v>
      </c>
      <c r="O17" s="96" t="str">
        <f t="shared" si="0"/>
        <v>ПС</v>
      </c>
      <c r="P17" s="1124">
        <v>0</v>
      </c>
      <c r="Q17" s="1185">
        <v>0</v>
      </c>
      <c r="R17" s="1126">
        <v>0</v>
      </c>
      <c r="S17" s="384"/>
      <c r="T17" s="2033"/>
      <c r="U17" s="2070">
        <v>0</v>
      </c>
      <c r="V17" s="2070">
        <v>0</v>
      </c>
      <c r="W17" s="842">
        <v>0</v>
      </c>
      <c r="X17" s="2070">
        <v>0</v>
      </c>
      <c r="Y17" s="2074">
        <v>0</v>
      </c>
      <c r="Z17" s="842">
        <v>0</v>
      </c>
      <c r="AA17" s="2074">
        <v>0</v>
      </c>
      <c r="AB17" s="2074">
        <v>0</v>
      </c>
      <c r="AC17" s="842">
        <v>0</v>
      </c>
      <c r="AD17" s="2074">
        <v>0</v>
      </c>
      <c r="AE17" s="2070">
        <v>0</v>
      </c>
      <c r="AF17" s="842">
        <v>0</v>
      </c>
      <c r="AG17" s="842"/>
      <c r="AH17" s="842"/>
      <c r="AI17" s="2071">
        <v>0</v>
      </c>
      <c r="AJ17" s="2072">
        <v>0</v>
      </c>
      <c r="AK17" s="2033"/>
      <c r="AL17" s="1097"/>
      <c r="AM17" s="1097"/>
      <c r="AN17" s="1097"/>
      <c r="AO17" s="1097"/>
      <c r="AP17" s="1097"/>
      <c r="AQ17" s="1097"/>
      <c r="AR17" s="1097"/>
      <c r="AS17" s="1097"/>
      <c r="AT17" s="1097"/>
      <c r="AU17" s="1097"/>
      <c r="AV17" s="1097"/>
      <c r="AW17" s="1097"/>
      <c r="AX17" s="1097"/>
      <c r="AY17" s="1097"/>
      <c r="AZ17" s="1097"/>
      <c r="BA17" s="1097"/>
      <c r="BB17" s="1097"/>
      <c r="BC17" s="1097"/>
      <c r="BD17" s="1097"/>
      <c r="BE17" s="1097"/>
      <c r="BF17" s="1097"/>
      <c r="BG17" s="1097"/>
      <c r="BH17" s="1097"/>
      <c r="BI17" s="1097"/>
      <c r="BJ17" s="1097"/>
      <c r="BK17" s="1097"/>
      <c r="BL17" s="1097"/>
      <c r="BM17" s="1097"/>
      <c r="BN17" s="1097"/>
      <c r="BO17" s="1097"/>
      <c r="BP17" s="1097"/>
      <c r="BQ17" s="1097"/>
      <c r="BR17" s="1097"/>
      <c r="BS17" s="1097"/>
      <c r="IK17" s="790"/>
      <c r="IL17" s="1862">
        <v>16</v>
      </c>
      <c r="IM17" s="1911" t="s">
        <v>1296</v>
      </c>
      <c r="IN17" s="1862">
        <v>0</v>
      </c>
      <c r="IO17" s="1862">
        <v>4</v>
      </c>
      <c r="IS17" s="786">
        <v>1</v>
      </c>
      <c r="IT17" s="786" t="s">
        <v>642</v>
      </c>
      <c r="JU17" s="1857"/>
      <c r="JV17" s="1288"/>
      <c r="JW17" s="1288"/>
      <c r="JX17" s="1288"/>
      <c r="JY17" s="1288"/>
      <c r="JZ17" s="1288"/>
      <c r="KA17" s="1232"/>
      <c r="KL17" s="796"/>
      <c r="KM17" s="1177"/>
      <c r="KN17" s="1177"/>
      <c r="KO17" s="1177"/>
      <c r="KR17" s="1178"/>
    </row>
    <row r="18" spans="1:337" ht="12.75" hidden="1" customHeight="1" x14ac:dyDescent="0.2">
      <c r="A18" s="842">
        <v>5</v>
      </c>
      <c r="B18" s="93"/>
      <c r="C18" s="1964" t="s">
        <v>427</v>
      </c>
      <c r="D18" s="1975">
        <v>1</v>
      </c>
      <c r="E18" s="920"/>
      <c r="F18" s="933">
        <v>0</v>
      </c>
      <c r="G18" s="934"/>
      <c r="H18" s="933">
        <v>0</v>
      </c>
      <c r="I18" s="935"/>
      <c r="J18" s="932">
        <v>0</v>
      </c>
      <c r="K18" s="98">
        <v>0</v>
      </c>
      <c r="L18" s="98">
        <v>0</v>
      </c>
      <c r="M18" s="88"/>
      <c r="N18" s="98">
        <v>0</v>
      </c>
      <c r="O18" s="96" t="str">
        <f t="shared" si="0"/>
        <v>ПТ</v>
      </c>
      <c r="P18" s="1124">
        <v>0</v>
      </c>
      <c r="Q18" s="1185">
        <v>0</v>
      </c>
      <c r="R18" s="1126">
        <v>0</v>
      </c>
      <c r="S18" s="384"/>
      <c r="T18" s="2033"/>
      <c r="U18" s="2070">
        <v>0</v>
      </c>
      <c r="V18" s="2070">
        <v>0</v>
      </c>
      <c r="W18" s="842">
        <v>0</v>
      </c>
      <c r="X18" s="2070">
        <v>0</v>
      </c>
      <c r="Y18" s="2074">
        <v>0</v>
      </c>
      <c r="Z18" s="842">
        <v>0</v>
      </c>
      <c r="AA18" s="2074">
        <v>0</v>
      </c>
      <c r="AB18" s="2074">
        <v>0</v>
      </c>
      <c r="AC18" s="842">
        <v>0</v>
      </c>
      <c r="AD18" s="2074">
        <v>0</v>
      </c>
      <c r="AE18" s="2070">
        <v>0</v>
      </c>
      <c r="AF18" s="842">
        <v>0</v>
      </c>
      <c r="AG18" s="842"/>
      <c r="AH18" s="842"/>
      <c r="AI18" s="2071">
        <v>0</v>
      </c>
      <c r="AJ18" s="2072">
        <v>0</v>
      </c>
      <c r="AK18" s="2033"/>
      <c r="AL18" s="1097"/>
      <c r="AM18" s="1097"/>
      <c r="AN18" s="1097"/>
      <c r="AO18" s="1097"/>
      <c r="AP18" s="1097"/>
      <c r="AQ18" s="1097"/>
      <c r="AR18" s="1097"/>
      <c r="AS18" s="1097"/>
      <c r="AT18" s="1097"/>
      <c r="AU18" s="1097"/>
      <c r="AV18" s="1097"/>
      <c r="AW18" s="1097"/>
      <c r="AX18" s="1097"/>
      <c r="AY18" s="1097"/>
      <c r="AZ18" s="1097"/>
      <c r="BA18" s="1097"/>
      <c r="BB18" s="1097"/>
      <c r="BC18" s="1097"/>
      <c r="BD18" s="1097"/>
      <c r="BE18" s="1097"/>
      <c r="BF18" s="1097"/>
      <c r="BG18" s="1097"/>
      <c r="BH18" s="1097"/>
      <c r="BI18" s="1097"/>
      <c r="BJ18" s="1097"/>
      <c r="BK18" s="1097"/>
      <c r="BL18" s="1097"/>
      <c r="BM18" s="1097"/>
      <c r="BN18" s="1097"/>
      <c r="BO18" s="1097"/>
      <c r="BP18" s="1097"/>
      <c r="BQ18" s="1097"/>
      <c r="BR18" s="1097"/>
      <c r="BS18" s="1097"/>
      <c r="DC18" s="1395" t="s">
        <v>1052</v>
      </c>
      <c r="DD18" s="1396"/>
      <c r="DE18" s="1397"/>
      <c r="DF18" s="1396"/>
      <c r="DG18" s="1396"/>
      <c r="DH18" s="1396"/>
      <c r="DI18" s="1396"/>
      <c r="DJ18" s="1398"/>
      <c r="DK18" s="1395" t="s">
        <v>1053</v>
      </c>
      <c r="DL18" s="1396"/>
      <c r="DM18" s="1397"/>
      <c r="DN18" s="1396"/>
      <c r="DO18" s="1396"/>
      <c r="DP18" s="1396"/>
      <c r="DQ18" s="1396"/>
      <c r="DR18" s="1398"/>
      <c r="IL18" s="1862">
        <v>17</v>
      </c>
      <c r="IM18" s="1911" t="s">
        <v>1303</v>
      </c>
      <c r="IN18" s="1862">
        <v>1</v>
      </c>
      <c r="IO18" s="1862">
        <v>4</v>
      </c>
      <c r="IS18" s="786">
        <v>2</v>
      </c>
      <c r="IT18" s="786" t="s">
        <v>643</v>
      </c>
      <c r="JU18" s="1858"/>
      <c r="JV18" s="1859"/>
      <c r="JW18" s="1859"/>
      <c r="JX18" s="1859"/>
      <c r="JY18" s="1859"/>
      <c r="JZ18" s="1859"/>
      <c r="KA18" s="1233"/>
      <c r="KL18" s="796"/>
      <c r="KM18" s="1177"/>
      <c r="KN18" s="1177"/>
      <c r="KO18" s="1177"/>
      <c r="KR18" s="1178"/>
    </row>
    <row r="19" spans="1:337" ht="12.75" hidden="1" customHeight="1" x14ac:dyDescent="0.2">
      <c r="A19" s="842">
        <v>6</v>
      </c>
      <c r="B19" s="93"/>
      <c r="C19" s="1964" t="s">
        <v>266</v>
      </c>
      <c r="D19" s="1975">
        <v>1</v>
      </c>
      <c r="E19" s="920"/>
      <c r="F19" s="933">
        <v>0</v>
      </c>
      <c r="G19" s="934"/>
      <c r="H19" s="933">
        <v>0</v>
      </c>
      <c r="I19" s="935"/>
      <c r="J19" s="932">
        <v>0</v>
      </c>
      <c r="K19" s="98">
        <v>0</v>
      </c>
      <c r="L19" s="98">
        <v>0</v>
      </c>
      <c r="M19" s="88"/>
      <c r="N19" s="98">
        <v>0</v>
      </c>
      <c r="O19" s="96" t="str">
        <f t="shared" si="0"/>
        <v>Ромайор</v>
      </c>
      <c r="P19" s="1124">
        <v>0</v>
      </c>
      <c r="Q19" s="1185">
        <v>0</v>
      </c>
      <c r="R19" s="1126">
        <v>0</v>
      </c>
      <c r="S19" s="384">
        <v>15</v>
      </c>
      <c r="T19" s="2033"/>
      <c r="U19" s="2070">
        <v>0</v>
      </c>
      <c r="V19" s="2070">
        <v>0</v>
      </c>
      <c r="W19" s="842">
        <v>0</v>
      </c>
      <c r="X19" s="2070">
        <v>0</v>
      </c>
      <c r="Y19" s="2074">
        <v>0</v>
      </c>
      <c r="Z19" s="842">
        <v>0</v>
      </c>
      <c r="AA19" s="2074">
        <v>0</v>
      </c>
      <c r="AB19" s="2074">
        <v>0</v>
      </c>
      <c r="AC19" s="842">
        <v>0</v>
      </c>
      <c r="AD19" s="2074">
        <v>0</v>
      </c>
      <c r="AE19" s="2070">
        <v>0</v>
      </c>
      <c r="AF19" s="842">
        <v>0</v>
      </c>
      <c r="AG19" s="842"/>
      <c r="AH19" s="842"/>
      <c r="AI19" s="2071">
        <v>0</v>
      </c>
      <c r="AJ19" s="2072">
        <v>0</v>
      </c>
      <c r="AK19" s="2033"/>
      <c r="AL19" s="1097"/>
      <c r="AM19" s="1097"/>
      <c r="AN19" s="1097"/>
      <c r="AO19" s="1097"/>
      <c r="AP19" s="1097"/>
      <c r="AQ19" s="1097"/>
      <c r="AR19" s="1097"/>
      <c r="AS19" s="1097"/>
      <c r="AT19" s="1097"/>
      <c r="AU19" s="1097"/>
      <c r="AV19" s="1097"/>
      <c r="AW19" s="1097"/>
      <c r="AX19" s="1097"/>
      <c r="AY19" s="1097"/>
      <c r="AZ19" s="1097"/>
      <c r="BA19" s="1097"/>
      <c r="BB19" s="1097"/>
      <c r="BC19" s="1097"/>
      <c r="BD19" s="1097"/>
      <c r="BE19" s="1097"/>
      <c r="BF19" s="1097"/>
      <c r="BG19" s="1097"/>
      <c r="BH19" s="1097"/>
      <c r="BI19" s="1097"/>
      <c r="BJ19" s="1097"/>
      <c r="BK19" s="1097"/>
      <c r="BL19" s="1097"/>
      <c r="BM19" s="1097"/>
      <c r="BN19" s="1097"/>
      <c r="BO19" s="1097"/>
      <c r="BP19" s="1097"/>
      <c r="BQ19" s="1097"/>
      <c r="BR19" s="1097"/>
      <c r="BS19" s="1097"/>
      <c r="DC19" s="1399" t="s">
        <v>685</v>
      </c>
      <c r="DD19" s="2"/>
      <c r="DE19" s="2"/>
      <c r="DF19" s="2"/>
      <c r="DG19" s="1400" t="s">
        <v>684</v>
      </c>
      <c r="DH19" s="2"/>
      <c r="DI19" s="2"/>
      <c r="DJ19" s="1401"/>
      <c r="DK19" s="1399" t="s">
        <v>685</v>
      </c>
      <c r="DL19" s="2"/>
      <c r="DM19" s="2"/>
      <c r="DN19" s="2"/>
      <c r="DO19" s="1400" t="s">
        <v>684</v>
      </c>
      <c r="DP19" s="2"/>
      <c r="DQ19" s="2"/>
      <c r="DR19" s="1401"/>
      <c r="II19" s="742" t="s">
        <v>1182</v>
      </c>
      <c r="IL19" s="1862">
        <v>18</v>
      </c>
      <c r="IM19" s="1911" t="s">
        <v>1309</v>
      </c>
      <c r="IN19" s="1862">
        <v>1</v>
      </c>
      <c r="IO19" s="1862">
        <v>4</v>
      </c>
      <c r="IP19" s="791"/>
      <c r="IS19" s="786">
        <v>3</v>
      </c>
      <c r="IT19" s="786" t="s">
        <v>644</v>
      </c>
      <c r="KL19" s="796"/>
      <c r="KM19" s="1177"/>
      <c r="KN19" s="1177"/>
      <c r="KO19" s="1177"/>
      <c r="KR19" s="1178"/>
    </row>
    <row r="20" spans="1:337" x14ac:dyDescent="0.2">
      <c r="A20" s="842">
        <v>7</v>
      </c>
      <c r="B20" s="93"/>
      <c r="C20" s="378" t="s">
        <v>613</v>
      </c>
      <c r="D20" s="1975">
        <v>1</v>
      </c>
      <c r="E20" s="920"/>
      <c r="F20" s="933">
        <v>0</v>
      </c>
      <c r="G20" s="934"/>
      <c r="H20" s="933">
        <v>0</v>
      </c>
      <c r="I20" s="935"/>
      <c r="J20" s="932">
        <v>0</v>
      </c>
      <c r="K20" s="98">
        <v>0</v>
      </c>
      <c r="L20" s="98">
        <v>0</v>
      </c>
      <c r="M20" s="88"/>
      <c r="N20" s="98">
        <v>0</v>
      </c>
      <c r="O20" s="96" t="str">
        <f t="shared" si="0"/>
        <v>Трафарет</v>
      </c>
      <c r="P20" s="1124">
        <v>0</v>
      </c>
      <c r="Q20" s="1185">
        <v>0</v>
      </c>
      <c r="R20" s="1126">
        <v>0</v>
      </c>
      <c r="S20" s="384">
        <v>20</v>
      </c>
      <c r="T20" s="2033"/>
      <c r="U20" s="2070">
        <v>0</v>
      </c>
      <c r="V20" s="2070">
        <v>0</v>
      </c>
      <c r="W20" s="842">
        <v>0</v>
      </c>
      <c r="X20" s="2070">
        <v>0</v>
      </c>
      <c r="Y20" s="2074">
        <v>0</v>
      </c>
      <c r="Z20" s="842">
        <v>0</v>
      </c>
      <c r="AA20" s="2074">
        <v>0</v>
      </c>
      <c r="AB20" s="2074">
        <v>0</v>
      </c>
      <c r="AC20" s="842">
        <v>0</v>
      </c>
      <c r="AD20" s="2074">
        <v>0</v>
      </c>
      <c r="AE20" s="2070">
        <v>0</v>
      </c>
      <c r="AF20" s="842">
        <v>0</v>
      </c>
      <c r="AG20" s="842"/>
      <c r="AH20" s="842"/>
      <c r="AI20" s="2071">
        <v>0</v>
      </c>
      <c r="AJ20" s="2072">
        <v>0</v>
      </c>
      <c r="AK20" s="2033"/>
      <c r="AL20" s="1097"/>
      <c r="AM20" s="1097"/>
      <c r="AN20" s="1097"/>
      <c r="AO20" s="1097"/>
      <c r="AP20" s="1097"/>
      <c r="AQ20" s="1097"/>
      <c r="AR20" s="1097"/>
      <c r="AS20" s="1097"/>
      <c r="AT20" s="1097"/>
      <c r="AU20" s="1097"/>
      <c r="AV20" s="1097"/>
      <c r="AW20" s="1097"/>
      <c r="AX20" s="1097"/>
      <c r="AY20" s="1097"/>
      <c r="AZ20" s="1097"/>
      <c r="BA20" s="1097"/>
      <c r="BB20" s="1097"/>
      <c r="BC20" s="1097"/>
      <c r="BD20" s="1097"/>
      <c r="BE20" s="1097"/>
      <c r="BF20" s="1097"/>
      <c r="BG20" s="1097"/>
      <c r="BH20" s="1097"/>
      <c r="BI20" s="1097"/>
      <c r="BJ20" s="1097"/>
      <c r="BK20" s="1097"/>
      <c r="BL20" s="1097"/>
      <c r="BM20" s="1097"/>
      <c r="BN20" s="1097"/>
      <c r="BO20" s="1097"/>
      <c r="BP20" s="1097"/>
      <c r="BQ20" s="1097"/>
      <c r="BR20" s="1097"/>
      <c r="BS20" s="1097"/>
      <c r="DC20" s="1399" t="s">
        <v>1054</v>
      </c>
      <c r="DD20" s="1402" t="s">
        <v>1055</v>
      </c>
      <c r="DE20" s="1402" t="s">
        <v>1056</v>
      </c>
      <c r="DF20" s="1402" t="s">
        <v>1057</v>
      </c>
      <c r="DG20" s="1400" t="s">
        <v>1058</v>
      </c>
      <c r="DH20" s="1400" t="s">
        <v>1059</v>
      </c>
      <c r="DI20" s="1400" t="s">
        <v>1060</v>
      </c>
      <c r="DJ20" s="1403" t="s">
        <v>1057</v>
      </c>
      <c r="DK20" s="1399" t="s">
        <v>1054</v>
      </c>
      <c r="DL20" s="1402" t="s">
        <v>1055</v>
      </c>
      <c r="DM20" s="1402" t="s">
        <v>1056</v>
      </c>
      <c r="DN20" s="1402" t="s">
        <v>1057</v>
      </c>
      <c r="DO20" s="1400" t="s">
        <v>1058</v>
      </c>
      <c r="DP20" s="1400" t="s">
        <v>1059</v>
      </c>
      <c r="DQ20" s="1400" t="s">
        <v>1060</v>
      </c>
      <c r="DR20" s="1403" t="s">
        <v>1057</v>
      </c>
      <c r="IK20" s="790"/>
      <c r="IL20" s="1862">
        <v>19</v>
      </c>
      <c r="IM20" s="1911" t="s">
        <v>1314</v>
      </c>
      <c r="IN20" s="1862">
        <v>0</v>
      </c>
      <c r="IO20" s="1862">
        <v>4</v>
      </c>
      <c r="IP20" s="791"/>
      <c r="IS20" s="788">
        <v>4</v>
      </c>
      <c r="IT20" s="786" t="s">
        <v>645</v>
      </c>
      <c r="KL20" s="796"/>
      <c r="KM20" s="1177"/>
      <c r="KN20" s="1177"/>
      <c r="KO20" s="1177"/>
      <c r="KR20" s="1178"/>
    </row>
    <row r="21" spans="1:337" ht="15" x14ac:dyDescent="0.25">
      <c r="A21" s="842">
        <v>8</v>
      </c>
      <c r="B21" s="93"/>
      <c r="C21" s="1964" t="s">
        <v>747</v>
      </c>
      <c r="D21" s="1975">
        <v>1.1000000000000001</v>
      </c>
      <c r="E21" s="920"/>
      <c r="F21" s="933">
        <v>0</v>
      </c>
      <c r="G21" s="934"/>
      <c r="H21" s="933">
        <v>0</v>
      </c>
      <c r="I21" s="935"/>
      <c r="J21" s="932">
        <v>0</v>
      </c>
      <c r="K21" s="98">
        <v>0</v>
      </c>
      <c r="L21" s="98">
        <v>0</v>
      </c>
      <c r="M21" s="88"/>
      <c r="N21" s="98">
        <v>0</v>
      </c>
      <c r="O21" s="96" t="str">
        <f t="shared" si="0"/>
        <v>СтарЛайн</v>
      </c>
      <c r="P21" s="1124">
        <v>0</v>
      </c>
      <c r="Q21" s="1185">
        <v>0</v>
      </c>
      <c r="R21" s="1126">
        <v>0</v>
      </c>
      <c r="S21" s="384"/>
      <c r="T21" s="2039"/>
      <c r="U21" s="2070">
        <v>0</v>
      </c>
      <c r="V21" s="2070">
        <v>0</v>
      </c>
      <c r="W21" s="842">
        <v>0</v>
      </c>
      <c r="X21" s="2070">
        <v>0</v>
      </c>
      <c r="Y21" s="2074">
        <v>0</v>
      </c>
      <c r="Z21" s="842">
        <v>0</v>
      </c>
      <c r="AA21" s="2074">
        <v>0</v>
      </c>
      <c r="AB21" s="2074">
        <v>0</v>
      </c>
      <c r="AC21" s="842">
        <v>0</v>
      </c>
      <c r="AD21" s="2074">
        <v>0</v>
      </c>
      <c r="AE21" s="2070">
        <v>0</v>
      </c>
      <c r="AF21" s="842">
        <v>0</v>
      </c>
      <c r="AG21" s="842"/>
      <c r="AH21" s="842"/>
      <c r="AI21" s="2071">
        <v>0</v>
      </c>
      <c r="AJ21" s="2072">
        <v>0</v>
      </c>
      <c r="AK21" s="2033"/>
      <c r="AL21" s="1097"/>
      <c r="AM21" s="1097"/>
      <c r="AN21" s="1097"/>
      <c r="AO21" s="1097"/>
      <c r="AP21" s="1097"/>
      <c r="AQ21" s="1097"/>
      <c r="AR21" s="1097"/>
      <c r="AS21" s="1097"/>
      <c r="AT21" s="1097"/>
      <c r="AU21" s="1097"/>
      <c r="AV21" s="1097"/>
      <c r="AW21" s="1097"/>
      <c r="AX21" s="1097"/>
      <c r="AY21" s="1097"/>
      <c r="AZ21" s="1097"/>
      <c r="BA21" s="1097"/>
      <c r="BB21" s="1097"/>
      <c r="BC21" s="1097"/>
      <c r="BD21" s="1097"/>
      <c r="BE21" s="1097"/>
      <c r="BF21" s="1097"/>
      <c r="BG21" s="1097"/>
      <c r="BH21" s="1097"/>
      <c r="BI21" s="1097"/>
      <c r="BJ21" s="1097"/>
      <c r="BK21" s="1097"/>
      <c r="BL21" s="1097"/>
      <c r="BM21" s="1097"/>
      <c r="BN21" s="1097"/>
      <c r="BO21" s="1097"/>
      <c r="BP21" s="1097"/>
      <c r="BQ21" s="1097"/>
      <c r="BR21" s="1097"/>
      <c r="CM21" s="1306" t="s">
        <v>997</v>
      </c>
      <c r="DC21" s="1404" t="s">
        <v>1061</v>
      </c>
      <c r="DD21" s="6">
        <v>1</v>
      </c>
      <c r="DE21" s="6">
        <v>1.2</v>
      </c>
      <c r="DF21" s="6">
        <v>1.3</v>
      </c>
      <c r="DG21" s="1405">
        <v>1.1000000000000001</v>
      </c>
      <c r="DH21" s="6">
        <v>1</v>
      </c>
      <c r="DI21" s="6">
        <v>1.2</v>
      </c>
      <c r="DJ21" s="1406">
        <v>1.3</v>
      </c>
      <c r="DK21" s="1404" t="s">
        <v>1061</v>
      </c>
      <c r="DL21" s="6">
        <v>1</v>
      </c>
      <c r="DM21" s="6">
        <v>1.2</v>
      </c>
      <c r="DN21" s="6">
        <v>1.3</v>
      </c>
      <c r="DO21" s="1405">
        <v>1.1000000000000001</v>
      </c>
      <c r="DP21" s="6">
        <v>1</v>
      </c>
      <c r="DQ21" s="6">
        <v>1.2</v>
      </c>
      <c r="DR21" s="1406">
        <v>1.3</v>
      </c>
      <c r="IG21" s="1516"/>
      <c r="IH21" s="785" t="str">
        <f>INDEX(IH22:IH28,MATCH(II21,Menedgeri,0))</f>
        <v>1-13</v>
      </c>
      <c r="II21" s="785" t="str">
        <f>E10</f>
        <v>О.А. Коврова</v>
      </c>
      <c r="IK21" s="790"/>
      <c r="IL21" s="1862">
        <v>20</v>
      </c>
      <c r="IM21" s="1911" t="s">
        <v>1318</v>
      </c>
      <c r="IN21" s="1862">
        <v>1</v>
      </c>
      <c r="IO21" s="1862">
        <v>4</v>
      </c>
      <c r="IP21" s="791"/>
      <c r="IS21" s="742">
        <v>5</v>
      </c>
      <c r="IT21" s="786" t="s">
        <v>646</v>
      </c>
      <c r="JV21" s="11"/>
      <c r="KL21" s="796"/>
      <c r="KM21" s="1177"/>
      <c r="KN21" s="1177"/>
      <c r="KO21" s="1177"/>
      <c r="KR21" s="1178"/>
    </row>
    <row r="22" spans="1:337" x14ac:dyDescent="0.2">
      <c r="A22" s="842">
        <v>9</v>
      </c>
      <c r="B22" s="93"/>
      <c r="C22" s="1964" t="s">
        <v>707</v>
      </c>
      <c r="D22" s="1975">
        <v>1</v>
      </c>
      <c r="E22" s="920"/>
      <c r="F22" s="933">
        <v>0</v>
      </c>
      <c r="G22" s="934"/>
      <c r="H22" s="933">
        <v>0</v>
      </c>
      <c r="I22" s="935"/>
      <c r="J22" s="932">
        <v>0</v>
      </c>
      <c r="K22" s="98">
        <v>0</v>
      </c>
      <c r="L22" s="98">
        <v>0</v>
      </c>
      <c r="M22" s="88"/>
      <c r="N22" s="98">
        <v>0</v>
      </c>
      <c r="O22" s="96" t="str">
        <f t="shared" si="0"/>
        <v>ПОГ</v>
      </c>
      <c r="P22" s="1124">
        <v>0</v>
      </c>
      <c r="Q22" s="1185">
        <v>0</v>
      </c>
      <c r="R22" s="1126">
        <v>0</v>
      </c>
      <c r="S22" s="384"/>
      <c r="T22" s="2033"/>
      <c r="U22" s="2070">
        <v>0</v>
      </c>
      <c r="V22" s="2070">
        <v>0</v>
      </c>
      <c r="W22" s="842">
        <v>0</v>
      </c>
      <c r="X22" s="2070">
        <v>0</v>
      </c>
      <c r="Y22" s="2074">
        <v>0</v>
      </c>
      <c r="Z22" s="842">
        <v>0</v>
      </c>
      <c r="AA22" s="2074">
        <v>0</v>
      </c>
      <c r="AB22" s="2074">
        <v>0</v>
      </c>
      <c r="AC22" s="842">
        <v>0</v>
      </c>
      <c r="AD22" s="2074">
        <v>0</v>
      </c>
      <c r="AE22" s="2070">
        <v>0</v>
      </c>
      <c r="AF22" s="842">
        <v>0</v>
      </c>
      <c r="AG22" s="842"/>
      <c r="AH22" s="842"/>
      <c r="AI22" s="2071">
        <v>0</v>
      </c>
      <c r="AJ22" s="2072">
        <v>0</v>
      </c>
      <c r="AK22" s="2033"/>
      <c r="AL22" s="1097"/>
      <c r="AM22" s="1097"/>
      <c r="AN22" s="1097"/>
      <c r="AO22" s="1097"/>
      <c r="AP22" s="1097"/>
      <c r="AQ22" s="1097"/>
      <c r="AR22" s="1097"/>
      <c r="AS22" s="1097"/>
      <c r="AT22" s="1097"/>
      <c r="AU22" s="1097"/>
      <c r="AV22" s="1097"/>
      <c r="AW22" s="1097"/>
      <c r="AX22" s="1097"/>
      <c r="AY22" s="1097"/>
      <c r="AZ22" s="1097"/>
      <c r="BA22" s="1097"/>
      <c r="BB22" s="1097"/>
      <c r="BC22" s="1097"/>
      <c r="BD22" s="1097"/>
      <c r="BE22" s="1097"/>
      <c r="BF22" s="1097"/>
      <c r="BG22" s="1097"/>
      <c r="BH22" s="1097"/>
      <c r="BI22" s="1097"/>
      <c r="BJ22" s="1097"/>
      <c r="BK22" s="1097"/>
      <c r="BL22" s="1097"/>
      <c r="BM22" s="1097"/>
      <c r="BN22" s="1097"/>
      <c r="BO22" s="1097"/>
      <c r="BP22" s="1097"/>
      <c r="BQ22" s="1097"/>
      <c r="BR22" s="1097"/>
      <c r="BS22" s="1097"/>
      <c r="DC22" s="1404">
        <v>1</v>
      </c>
      <c r="DD22" s="1407">
        <v>0.12</v>
      </c>
      <c r="DE22" s="1407">
        <f>DD22*$DE$21</f>
        <v>0.14399999999999999</v>
      </c>
      <c r="DF22" s="1407">
        <f>DD22*$DF$21</f>
        <v>0.156</v>
      </c>
      <c r="DG22" s="1408">
        <f>DD22*$DG$21</f>
        <v>0.13200000000000001</v>
      </c>
      <c r="DH22" s="1407">
        <v>0.12</v>
      </c>
      <c r="DI22" s="1407">
        <f>DH22*$DI$21</f>
        <v>0.14399999999999999</v>
      </c>
      <c r="DJ22" s="1409">
        <f>DH22*$DJ$21</f>
        <v>0.156</v>
      </c>
      <c r="DK22" s="1404">
        <v>1</v>
      </c>
      <c r="DL22" s="1407">
        <v>8.5000000000000006E-2</v>
      </c>
      <c r="DM22" s="1407">
        <f>DL22*$DM$21</f>
        <v>0.10200000000000001</v>
      </c>
      <c r="DN22" s="1407">
        <f>DL22*$DN$21</f>
        <v>0.11050000000000001</v>
      </c>
      <c r="DO22" s="1408">
        <f>DL22*$DG$21</f>
        <v>9.3500000000000014E-2</v>
      </c>
      <c r="DP22" s="1407">
        <v>8.5000000000000006E-2</v>
      </c>
      <c r="DQ22" s="1407">
        <f>DP22*$DQ$21</f>
        <v>0.10200000000000001</v>
      </c>
      <c r="DR22" s="1409">
        <f>DP22*$DR$21</f>
        <v>0.11050000000000001</v>
      </c>
      <c r="IG22" s="1515">
        <v>1</v>
      </c>
      <c r="IH22" s="1828" t="s">
        <v>1180</v>
      </c>
      <c r="II22" s="1831" t="s">
        <v>1177</v>
      </c>
      <c r="IK22" s="790"/>
      <c r="IL22" s="1863">
        <v>21</v>
      </c>
      <c r="IM22" s="1912" t="s">
        <v>1297</v>
      </c>
      <c r="IN22" s="1863">
        <v>0</v>
      </c>
      <c r="IO22" s="1863">
        <v>5</v>
      </c>
      <c r="IP22" s="791"/>
      <c r="IS22" s="742">
        <v>6</v>
      </c>
      <c r="KL22" s="796"/>
      <c r="KM22" s="1177"/>
      <c r="KN22" s="1177"/>
      <c r="KO22" s="1177"/>
      <c r="KR22" s="1178"/>
    </row>
    <row r="23" spans="1:337" x14ac:dyDescent="0.2">
      <c r="A23" s="842">
        <v>10</v>
      </c>
      <c r="B23" s="93"/>
      <c r="C23" s="1964" t="s">
        <v>708</v>
      </c>
      <c r="D23" s="1975">
        <v>1</v>
      </c>
      <c r="E23" s="920"/>
      <c r="F23" s="933">
        <v>0</v>
      </c>
      <c r="G23" s="934"/>
      <c r="H23" s="933">
        <v>0</v>
      </c>
      <c r="I23" s="935"/>
      <c r="J23" s="932">
        <v>0</v>
      </c>
      <c r="K23" s="98">
        <v>0</v>
      </c>
      <c r="L23" s="98">
        <v>0</v>
      </c>
      <c r="M23" s="88"/>
      <c r="N23" s="98">
        <v>0</v>
      </c>
      <c r="O23" s="96" t="str">
        <f t="shared" si="0"/>
        <v>Циркон</v>
      </c>
      <c r="P23" s="1124">
        <v>0</v>
      </c>
      <c r="Q23" s="1185">
        <v>0</v>
      </c>
      <c r="R23" s="1126">
        <v>0</v>
      </c>
      <c r="S23" s="384"/>
      <c r="T23" s="2033"/>
      <c r="U23" s="2070">
        <v>0</v>
      </c>
      <c r="V23" s="2070">
        <v>0</v>
      </c>
      <c r="W23" s="842">
        <v>0</v>
      </c>
      <c r="X23" s="2070">
        <v>0</v>
      </c>
      <c r="Y23" s="2074">
        <v>0</v>
      </c>
      <c r="Z23" s="842">
        <v>0</v>
      </c>
      <c r="AA23" s="2074">
        <v>0</v>
      </c>
      <c r="AB23" s="2074">
        <v>0</v>
      </c>
      <c r="AC23" s="842">
        <v>0</v>
      </c>
      <c r="AD23" s="2074">
        <v>0</v>
      </c>
      <c r="AE23" s="2070">
        <v>0</v>
      </c>
      <c r="AF23" s="842">
        <v>0</v>
      </c>
      <c r="AG23" s="842"/>
      <c r="AH23" s="842"/>
      <c r="AI23" s="2071">
        <v>0</v>
      </c>
      <c r="AJ23" s="2072">
        <v>0</v>
      </c>
      <c r="AK23" s="2033"/>
      <c r="AL23" s="1097"/>
      <c r="AM23" s="1097"/>
      <c r="AN23" s="1097"/>
      <c r="AO23" s="1097"/>
      <c r="AP23" s="1097"/>
      <c r="AQ23" s="1097"/>
      <c r="AR23" s="1097"/>
      <c r="AS23" s="1097"/>
      <c r="AT23" s="1097"/>
      <c r="AU23" s="1097"/>
      <c r="AV23" s="1097"/>
      <c r="AW23" s="1097"/>
      <c r="AX23" s="1097"/>
      <c r="AY23" s="1097"/>
      <c r="AZ23" s="1097"/>
      <c r="BA23" s="1097"/>
      <c r="BB23" s="1097"/>
      <c r="BC23" s="1097"/>
      <c r="BD23" s="1097"/>
      <c r="BE23" s="1097"/>
      <c r="BF23" s="1097"/>
      <c r="BG23" s="1097"/>
      <c r="BH23" s="1097"/>
      <c r="BI23" s="1097"/>
      <c r="BJ23" s="1097"/>
      <c r="BK23" s="1097"/>
      <c r="BL23" s="1097"/>
      <c r="BM23" s="1097"/>
      <c r="BN23" s="1097"/>
      <c r="BO23" s="1097"/>
      <c r="BP23" s="1097"/>
      <c r="BQ23" s="1097"/>
      <c r="BR23" s="1097"/>
      <c r="BS23" s="1097"/>
      <c r="DC23" s="1404">
        <v>2</v>
      </c>
      <c r="DD23" s="1407">
        <v>0.17199999999999999</v>
      </c>
      <c r="DE23" s="1407">
        <f>DD23*$DE$21</f>
        <v>0.20639999999999997</v>
      </c>
      <c r="DF23" s="1407">
        <f>DD23*$DF$21</f>
        <v>0.22359999999999999</v>
      </c>
      <c r="DG23" s="1408">
        <f>DD23*$DG$21</f>
        <v>0.18920000000000001</v>
      </c>
      <c r="DH23" s="1407">
        <v>0.17199999999999999</v>
      </c>
      <c r="DI23" s="1407">
        <f>DH23*$DI$21</f>
        <v>0.20639999999999997</v>
      </c>
      <c r="DJ23" s="1409">
        <f>DH23*$DJ$21</f>
        <v>0.22359999999999999</v>
      </c>
      <c r="DK23" s="1404">
        <v>2</v>
      </c>
      <c r="DL23" s="1407">
        <v>0.125</v>
      </c>
      <c r="DM23" s="1407">
        <f t="shared" ref="DM23:DM24" si="1">DL23*$DM$21</f>
        <v>0.15</v>
      </c>
      <c r="DN23" s="1407">
        <f t="shared" ref="DN23:DN24" si="2">DL23*$DN$21</f>
        <v>0.16250000000000001</v>
      </c>
      <c r="DO23" s="1408">
        <f>DL23*$DG$21</f>
        <v>0.13750000000000001</v>
      </c>
      <c r="DP23" s="1407">
        <v>0.125</v>
      </c>
      <c r="DQ23" s="1407">
        <f>DP23*$DQ$21</f>
        <v>0.15</v>
      </c>
      <c r="DR23" s="1409">
        <f>DP23*$DR$21</f>
        <v>0.16250000000000001</v>
      </c>
      <c r="IG23" s="1515">
        <v>2</v>
      </c>
      <c r="IH23" s="1828" t="s">
        <v>1181</v>
      </c>
      <c r="II23" s="1831" t="s">
        <v>1178</v>
      </c>
      <c r="IK23" s="790"/>
      <c r="IL23" s="1863">
        <v>22</v>
      </c>
      <c r="IM23" s="1912" t="s">
        <v>1294</v>
      </c>
      <c r="IN23" s="1863">
        <v>5</v>
      </c>
      <c r="IO23" s="1863">
        <v>5</v>
      </c>
      <c r="IP23" s="791"/>
      <c r="KL23" s="796"/>
      <c r="KM23" s="1177"/>
      <c r="KN23" s="1177"/>
      <c r="KO23" s="1177"/>
      <c r="KR23" s="1178"/>
    </row>
    <row r="24" spans="1:337" ht="13.5" thickBot="1" x14ac:dyDescent="0.25">
      <c r="A24" s="842">
        <v>11</v>
      </c>
      <c r="B24" s="93"/>
      <c r="C24" s="1964" t="s">
        <v>709</v>
      </c>
      <c r="D24" s="1975">
        <v>1</v>
      </c>
      <c r="E24" s="920"/>
      <c r="F24" s="933">
        <v>0</v>
      </c>
      <c r="G24" s="934"/>
      <c r="H24" s="933">
        <v>0</v>
      </c>
      <c r="I24" s="935"/>
      <c r="J24" s="932">
        <v>0</v>
      </c>
      <c r="K24" s="98">
        <v>0</v>
      </c>
      <c r="L24" s="98">
        <v>0</v>
      </c>
      <c r="M24" s="88"/>
      <c r="N24" s="98">
        <v>0</v>
      </c>
      <c r="O24" s="96" t="str">
        <f t="shared" si="0"/>
        <v>РО</v>
      </c>
      <c r="P24" s="1124">
        <v>0</v>
      </c>
      <c r="Q24" s="1185">
        <v>0</v>
      </c>
      <c r="R24" s="1126">
        <v>0</v>
      </c>
      <c r="S24" s="384"/>
      <c r="T24" s="2033"/>
      <c r="U24" s="2070">
        <v>0</v>
      </c>
      <c r="V24" s="2070">
        <v>0</v>
      </c>
      <c r="W24" s="842">
        <v>0</v>
      </c>
      <c r="X24" s="2070">
        <v>0</v>
      </c>
      <c r="Y24" s="2070">
        <v>0</v>
      </c>
      <c r="Z24" s="842">
        <v>0</v>
      </c>
      <c r="AA24" s="2074">
        <v>0</v>
      </c>
      <c r="AB24" s="2074">
        <v>0</v>
      </c>
      <c r="AC24" s="842">
        <v>0</v>
      </c>
      <c r="AD24" s="2074">
        <v>0</v>
      </c>
      <c r="AE24" s="2070">
        <v>0</v>
      </c>
      <c r="AF24" s="842">
        <v>0</v>
      </c>
      <c r="AG24" s="842"/>
      <c r="AH24" s="842"/>
      <c r="AI24" s="2071">
        <v>0</v>
      </c>
      <c r="AJ24" s="2072">
        <v>0</v>
      </c>
      <c r="AK24" s="2038"/>
      <c r="AL24" s="1098"/>
      <c r="AM24" s="1098"/>
      <c r="AN24" s="1098"/>
      <c r="AO24" s="1098"/>
      <c r="AP24" s="1098"/>
      <c r="AQ24" s="1098"/>
      <c r="AR24" s="1098"/>
      <c r="AS24" s="1098"/>
      <c r="AT24" s="1098"/>
      <c r="AU24" s="1098"/>
      <c r="AV24" s="1098"/>
      <c r="AW24" s="1098"/>
      <c r="AX24" s="1098"/>
      <c r="AY24" s="1098"/>
      <c r="AZ24" s="1098"/>
      <c r="BA24" s="1098"/>
      <c r="BB24" s="1098"/>
      <c r="BC24" s="1098"/>
      <c r="BD24" s="1098"/>
      <c r="BE24" s="1098"/>
      <c r="BF24" s="1098"/>
      <c r="BG24" s="1098"/>
      <c r="BH24" s="1098"/>
      <c r="BI24" s="1098"/>
      <c r="BJ24" s="1098"/>
      <c r="BK24" s="1098"/>
      <c r="BL24" s="1098"/>
      <c r="BM24" s="1098"/>
      <c r="BN24" s="1098"/>
      <c r="BO24" s="1098"/>
      <c r="BP24" s="1098"/>
      <c r="BQ24" s="1098"/>
      <c r="BR24" s="1098"/>
      <c r="DC24" s="1410">
        <v>3</v>
      </c>
      <c r="DD24" s="1411">
        <v>0.18</v>
      </c>
      <c r="DE24" s="1411">
        <f>DD24*$DE$21</f>
        <v>0.216</v>
      </c>
      <c r="DF24" s="1411">
        <f>DD24*$DF$21</f>
        <v>0.23399999999999999</v>
      </c>
      <c r="DG24" s="1412">
        <f>DD24*$DG$21</f>
        <v>0.19800000000000001</v>
      </c>
      <c r="DH24" s="1411">
        <v>0.18</v>
      </c>
      <c r="DI24" s="1411">
        <f>DH24*$DI$21</f>
        <v>0.216</v>
      </c>
      <c r="DJ24" s="1413">
        <f>DH24*$DJ$21</f>
        <v>0.23399999999999999</v>
      </c>
      <c r="DK24" s="1410">
        <v>3</v>
      </c>
      <c r="DL24" s="1411">
        <v>0.13100000000000001</v>
      </c>
      <c r="DM24" s="1411">
        <f t="shared" si="1"/>
        <v>0.15720000000000001</v>
      </c>
      <c r="DN24" s="1411">
        <f t="shared" si="2"/>
        <v>0.17030000000000001</v>
      </c>
      <c r="DO24" s="1412">
        <f>DL24*$DG$21</f>
        <v>0.14410000000000001</v>
      </c>
      <c r="DP24" s="1411">
        <v>0.13100000000000001</v>
      </c>
      <c r="DQ24" s="1411">
        <f>DP24*$DQ$21</f>
        <v>0.15720000000000001</v>
      </c>
      <c r="DR24" s="1413">
        <f>DP24*$DR$21</f>
        <v>0.17030000000000001</v>
      </c>
      <c r="IG24" s="1515">
        <v>3</v>
      </c>
      <c r="IH24" s="1828" t="s">
        <v>1406</v>
      </c>
      <c r="II24" s="1830" t="s">
        <v>1407</v>
      </c>
      <c r="IK24" s="790"/>
      <c r="IL24" s="1863">
        <v>23</v>
      </c>
      <c r="IM24" s="1912" t="s">
        <v>1304</v>
      </c>
      <c r="IN24" s="1863">
        <v>2</v>
      </c>
      <c r="IO24" s="1863">
        <v>5</v>
      </c>
      <c r="IP24" s="791"/>
      <c r="KL24" s="796"/>
      <c r="KM24" s="1177"/>
      <c r="KN24" s="1177"/>
      <c r="KO24" s="1177"/>
      <c r="KR24" s="1178"/>
    </row>
    <row r="25" spans="1:337" x14ac:dyDescent="0.2">
      <c r="A25" s="842">
        <v>12</v>
      </c>
      <c r="B25" s="100">
        <v>1</v>
      </c>
      <c r="C25" s="1985" t="s">
        <v>843</v>
      </c>
      <c r="D25" s="1976">
        <v>1.1000000000000001</v>
      </c>
      <c r="E25" s="921"/>
      <c r="F25" s="936">
        <v>0</v>
      </c>
      <c r="G25" s="937"/>
      <c r="H25" s="936">
        <v>0</v>
      </c>
      <c r="I25" s="938"/>
      <c r="J25" s="932">
        <v>25000</v>
      </c>
      <c r="K25" s="98">
        <v>400000</v>
      </c>
      <c r="L25" s="98">
        <v>25000</v>
      </c>
      <c r="M25" s="99"/>
      <c r="N25" s="98">
        <v>16</v>
      </c>
      <c r="O25" s="96" t="str">
        <f t="shared" si="0"/>
        <v>СityLine</v>
      </c>
      <c r="P25" s="1127">
        <v>1.056</v>
      </c>
      <c r="Q25" s="1186">
        <v>705.98</v>
      </c>
      <c r="R25" s="1128">
        <v>105.14999999999999</v>
      </c>
      <c r="S25" s="386"/>
      <c r="T25" s="2033"/>
      <c r="U25" s="2070">
        <v>0</v>
      </c>
      <c r="V25" s="2070">
        <v>0</v>
      </c>
      <c r="W25" s="842">
        <v>0</v>
      </c>
      <c r="X25" s="2070">
        <v>0</v>
      </c>
      <c r="Y25" s="2070">
        <v>25000</v>
      </c>
      <c r="Z25" s="842">
        <v>25000</v>
      </c>
      <c r="AA25" s="2074">
        <v>0</v>
      </c>
      <c r="AB25" s="2074">
        <v>0</v>
      </c>
      <c r="AC25" s="842">
        <v>0</v>
      </c>
      <c r="AD25" s="2074">
        <v>0</v>
      </c>
      <c r="AE25" s="2070">
        <v>0</v>
      </c>
      <c r="AF25" s="842">
        <v>0</v>
      </c>
      <c r="AG25" s="842"/>
      <c r="AH25" s="842"/>
      <c r="AI25" s="2071">
        <v>58750</v>
      </c>
      <c r="AJ25" s="2072">
        <v>8750</v>
      </c>
      <c r="AK25" s="2033"/>
      <c r="AL25" s="1097"/>
      <c r="AM25" s="1097"/>
      <c r="AN25" s="1097"/>
      <c r="AO25" s="1097"/>
      <c r="AP25" s="1097"/>
      <c r="AQ25" s="1097"/>
      <c r="AR25" s="1097"/>
      <c r="AS25" s="1097"/>
      <c r="AT25" s="1097"/>
      <c r="AU25" s="1097"/>
      <c r="AV25" s="1097"/>
      <c r="AW25" s="1097"/>
      <c r="AX25" s="1097"/>
      <c r="AY25" s="1097"/>
      <c r="AZ25" s="1097"/>
      <c r="BA25" s="1097"/>
      <c r="BB25" s="1097"/>
      <c r="BC25" s="1097"/>
      <c r="BD25" s="1097"/>
      <c r="BE25" s="1097"/>
      <c r="BF25" s="1097"/>
      <c r="BG25" s="1097"/>
      <c r="BH25" s="1097"/>
      <c r="BI25" s="1097"/>
      <c r="BJ25" s="1097"/>
      <c r="BK25" s="1097"/>
      <c r="BL25" s="1097"/>
      <c r="BM25" s="1097"/>
      <c r="BN25" s="1097"/>
      <c r="BO25" s="1097"/>
      <c r="BP25" s="1097"/>
      <c r="BQ25" s="1097"/>
      <c r="BR25" s="1097"/>
      <c r="BS25" s="1097"/>
      <c r="DC25" s="1490">
        <v>1</v>
      </c>
      <c r="DD25" s="1491">
        <v>24.5</v>
      </c>
      <c r="DE25" s="1492">
        <f>DD25*DE21</f>
        <v>29.4</v>
      </c>
      <c r="DF25" s="1492">
        <f>DD25*DF21</f>
        <v>31.85</v>
      </c>
      <c r="DG25" s="1493">
        <f>DD25*DG21</f>
        <v>26.950000000000003</v>
      </c>
      <c r="DH25" s="1491">
        <f>DD25</f>
        <v>24.5</v>
      </c>
      <c r="DI25" s="1492">
        <f>DH25*DI21</f>
        <v>29.4</v>
      </c>
      <c r="DJ25" s="1492">
        <f>DH25*DJ21</f>
        <v>31.85</v>
      </c>
      <c r="DK25" s="1490">
        <v>1</v>
      </c>
      <c r="DL25" s="1491">
        <v>17.13</v>
      </c>
      <c r="DM25" s="1492">
        <f>DL25*DM21</f>
        <v>20.555999999999997</v>
      </c>
      <c r="DN25" s="1492">
        <f>DL25*DN21</f>
        <v>22.268999999999998</v>
      </c>
      <c r="DO25" s="1493">
        <f>DL25*DO21</f>
        <v>18.843</v>
      </c>
      <c r="DP25" s="1491">
        <f>DL25</f>
        <v>17.13</v>
      </c>
      <c r="DQ25" s="1492">
        <f>DP25*DQ21</f>
        <v>20.555999999999997</v>
      </c>
      <c r="DR25" s="1492">
        <f>DP25*DR21</f>
        <v>22.268999999999998</v>
      </c>
      <c r="IG25" s="1515">
        <v>4</v>
      </c>
      <c r="IH25" s="1828" t="s">
        <v>1017</v>
      </c>
      <c r="II25" s="1831" t="s">
        <v>1179</v>
      </c>
      <c r="IK25" s="790"/>
      <c r="IL25" s="1863">
        <v>24</v>
      </c>
      <c r="IM25" s="1912" t="s">
        <v>1310</v>
      </c>
      <c r="IN25" s="1863">
        <v>1</v>
      </c>
      <c r="IO25" s="1863">
        <v>5</v>
      </c>
      <c r="IP25" s="786"/>
      <c r="KF25"/>
      <c r="KL25" s="796"/>
      <c r="KM25" s="1177"/>
      <c r="KN25" s="1177"/>
      <c r="KO25" s="1177"/>
      <c r="KR25" s="1178"/>
    </row>
    <row r="26" spans="1:337" x14ac:dyDescent="0.2">
      <c r="B26" s="103">
        <f>MAX(B14:B25)+1</f>
        <v>2</v>
      </c>
      <c r="C26" s="88" t="s">
        <v>433</v>
      </c>
      <c r="D26" s="104"/>
      <c r="E26" s="104"/>
      <c r="F26" s="106"/>
      <c r="G26" s="106"/>
      <c r="H26" s="106"/>
      <c r="I26" s="106"/>
      <c r="J26" s="104"/>
      <c r="K26" s="104" t="s">
        <v>137</v>
      </c>
      <c r="L26" s="104" t="s">
        <v>137</v>
      </c>
      <c r="M26" s="105" t="s">
        <v>137</v>
      </c>
      <c r="N26" s="105" t="s">
        <v>137</v>
      </c>
      <c r="O26" s="105"/>
      <c r="P26" s="105"/>
      <c r="Q26" s="105"/>
      <c r="R26" s="105"/>
      <c r="S26" s="105"/>
      <c r="T26" s="1096"/>
      <c r="U26" s="1096"/>
      <c r="V26" s="1096"/>
      <c r="W26" s="1096"/>
      <c r="X26" s="1096"/>
      <c r="Y26" s="1096"/>
      <c r="Z26" s="1096"/>
      <c r="AA26" s="1096"/>
      <c r="AB26" s="1096"/>
      <c r="AC26" s="1096"/>
      <c r="AD26" s="1096"/>
      <c r="AE26" s="1096"/>
      <c r="AF26" s="1096"/>
      <c r="AG26" s="1096"/>
      <c r="AM26" s="1095">
        <v>39</v>
      </c>
      <c r="AN26" s="1095">
        <v>40</v>
      </c>
      <c r="AO26" s="1129">
        <v>41</v>
      </c>
      <c r="AP26" s="1129">
        <v>42</v>
      </c>
      <c r="AQ26" s="1129">
        <v>43</v>
      </c>
      <c r="AR26" s="1129">
        <v>44</v>
      </c>
      <c r="AS26" s="1095">
        <v>45</v>
      </c>
      <c r="AT26" s="1095">
        <v>46</v>
      </c>
      <c r="AU26" s="1095">
        <v>47</v>
      </c>
      <c r="AV26" s="1095">
        <v>48</v>
      </c>
      <c r="AW26" s="1095">
        <v>49</v>
      </c>
      <c r="AX26" s="1095">
        <v>50</v>
      </c>
      <c r="AY26" s="1095">
        <v>51</v>
      </c>
      <c r="BE26" s="2209" t="s">
        <v>837</v>
      </c>
      <c r="BF26" s="2246"/>
      <c r="BG26" s="2246"/>
      <c r="BH26" s="2246"/>
      <c r="BI26" s="2246"/>
      <c r="BJ26" s="2246"/>
      <c r="BK26" s="2246"/>
      <c r="BL26" s="2246"/>
      <c r="BM26" s="2246"/>
      <c r="BN26" s="2246"/>
      <c r="BO26" s="2246"/>
      <c r="BP26" s="2246"/>
      <c r="BQ26" s="2246"/>
      <c r="BR26" s="2246"/>
      <c r="BS26" s="1414"/>
      <c r="BT26" s="1414"/>
      <c r="BU26" s="1414"/>
      <c r="BV26" s="1414"/>
      <c r="BW26" s="1414"/>
      <c r="BX26" s="1414"/>
      <c r="BY26" s="1414"/>
      <c r="BZ26" s="2209" t="s">
        <v>837</v>
      </c>
      <c r="CA26" s="2209"/>
      <c r="CB26" s="2209"/>
      <c r="CC26" s="2209"/>
      <c r="CD26" s="2209"/>
      <c r="CE26" s="2209"/>
      <c r="CF26" s="2209"/>
      <c r="CG26" s="2209"/>
      <c r="CH26" s="2209"/>
      <c r="CI26" s="2209"/>
      <c r="CJ26" s="2209"/>
      <c r="CK26" s="2209"/>
      <c r="CL26" s="2209"/>
      <c r="CM26" s="2209"/>
      <c r="CN26" s="2209"/>
      <c r="CO26" s="2209"/>
      <c r="CP26" s="2209"/>
      <c r="CQ26" s="2209"/>
      <c r="CR26" s="2209"/>
      <c r="CS26" s="2209"/>
      <c r="CT26" s="2209"/>
      <c r="CU26" s="2209"/>
      <c r="CV26" s="2209"/>
      <c r="CW26" s="2209"/>
      <c r="CX26" s="2209"/>
      <c r="CY26" s="2209"/>
      <c r="CZ26" s="2209"/>
      <c r="DA26" s="2209"/>
      <c r="DC26" s="1494">
        <v>2</v>
      </c>
      <c r="DD26" s="1495">
        <v>35.659999999999997</v>
      </c>
      <c r="DE26" s="1496">
        <f>DD26*DE21</f>
        <v>42.791999999999994</v>
      </c>
      <c r="DF26" s="1496">
        <f>DD26*DF21</f>
        <v>46.357999999999997</v>
      </c>
      <c r="DG26" s="1497">
        <f>DD26*DG21</f>
        <v>39.225999999999999</v>
      </c>
      <c r="DH26" s="1495">
        <f>DD26</f>
        <v>35.659999999999997</v>
      </c>
      <c r="DI26" s="1496">
        <f>DH26*DI21</f>
        <v>42.791999999999994</v>
      </c>
      <c r="DJ26" s="1496">
        <f>DH26*DJ21</f>
        <v>46.357999999999997</v>
      </c>
      <c r="DK26" s="1494">
        <v>2</v>
      </c>
      <c r="DL26" s="1495">
        <v>25.19</v>
      </c>
      <c r="DM26" s="1496">
        <f>DL26*DM21</f>
        <v>30.228000000000002</v>
      </c>
      <c r="DN26" s="1496">
        <f>DL26*DN21</f>
        <v>32.747</v>
      </c>
      <c r="DO26" s="1498">
        <f>DL26*DO21</f>
        <v>27.709000000000003</v>
      </c>
      <c r="DP26" s="1495">
        <f>DL26</f>
        <v>25.19</v>
      </c>
      <c r="DQ26" s="1496">
        <f>DP26*DQ21</f>
        <v>30.228000000000002</v>
      </c>
      <c r="DR26" s="1496">
        <f>DP26*DR21</f>
        <v>32.747</v>
      </c>
      <c r="IG26" s="1515">
        <v>5</v>
      </c>
      <c r="IH26" s="1828" t="s">
        <v>1192</v>
      </c>
      <c r="II26" s="1831" t="s">
        <v>1814</v>
      </c>
      <c r="IK26" s="790"/>
      <c r="IL26" s="1863">
        <v>25</v>
      </c>
      <c r="IM26" s="1912" t="s">
        <v>1315</v>
      </c>
      <c r="IN26" s="1863">
        <v>2</v>
      </c>
      <c r="IO26" s="1863">
        <v>5</v>
      </c>
      <c r="IP26" s="791"/>
      <c r="LV26" s="11"/>
      <c r="LY26" s="11"/>
    </row>
    <row r="27" spans="1:337" ht="13.5" thickBot="1" x14ac:dyDescent="0.25">
      <c r="B27" s="13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Q27" s="215" t="s">
        <v>261</v>
      </c>
      <c r="R27" s="214"/>
      <c r="S27" s="216">
        <v>1</v>
      </c>
      <c r="AJ27" s="11" t="s">
        <v>850</v>
      </c>
      <c r="CA27" s="2214" t="s">
        <v>831</v>
      </c>
      <c r="CB27" s="2214"/>
      <c r="CC27" s="2214"/>
      <c r="CD27" s="2214" t="s">
        <v>832</v>
      </c>
      <c r="CE27" s="2214"/>
      <c r="CF27" s="2214"/>
      <c r="CG27" s="2214" t="s">
        <v>833</v>
      </c>
      <c r="CH27" s="2214"/>
      <c r="CI27" s="2214"/>
      <c r="CJ27" s="2214" t="s">
        <v>834</v>
      </c>
      <c r="CK27" s="2214"/>
      <c r="CL27" s="2214"/>
      <c r="CS27" s="11" t="s">
        <v>712</v>
      </c>
      <c r="DA27" s="11" t="s">
        <v>270</v>
      </c>
      <c r="DC27" s="1494">
        <v>3</v>
      </c>
      <c r="DD27" s="1495">
        <v>38.07</v>
      </c>
      <c r="DE27" s="1496">
        <f>DD27*DE21</f>
        <v>45.683999999999997</v>
      </c>
      <c r="DF27" s="1496">
        <f>DD27*DF21</f>
        <v>49.491</v>
      </c>
      <c r="DG27" s="1497">
        <f>DD27*DG21</f>
        <v>41.877000000000002</v>
      </c>
      <c r="DH27" s="1495">
        <f>DD27</f>
        <v>38.07</v>
      </c>
      <c r="DI27" s="1496">
        <f>DH27*DI21</f>
        <v>45.683999999999997</v>
      </c>
      <c r="DJ27" s="1496">
        <f>DH27*DJ21</f>
        <v>49.491</v>
      </c>
      <c r="DK27" s="1494">
        <v>3</v>
      </c>
      <c r="DL27" s="1495">
        <v>26.4</v>
      </c>
      <c r="DM27" s="1496">
        <f>DL27*DM21</f>
        <v>31.679999999999996</v>
      </c>
      <c r="DN27" s="1496">
        <f>DL27*DN21</f>
        <v>34.32</v>
      </c>
      <c r="DO27" s="1498">
        <f>DL27*DO21</f>
        <v>29.04</v>
      </c>
      <c r="DP27" s="1495">
        <f>DL27</f>
        <v>26.4</v>
      </c>
      <c r="DQ27" s="1496">
        <f>DP27*DQ21</f>
        <v>31.679999999999996</v>
      </c>
      <c r="DR27" s="1499">
        <f>DP27*DR21</f>
        <v>34.32</v>
      </c>
      <c r="IG27" s="742">
        <v>6</v>
      </c>
      <c r="IH27" s="1828" t="s">
        <v>866</v>
      </c>
      <c r="II27" s="1831" t="s">
        <v>1408</v>
      </c>
      <c r="IK27" s="790"/>
      <c r="IL27" s="1863">
        <v>26</v>
      </c>
      <c r="IM27" s="1912" t="s">
        <v>1319</v>
      </c>
      <c r="IN27" s="1863">
        <v>3</v>
      </c>
      <c r="IO27" s="1863">
        <v>5</v>
      </c>
      <c r="IP27" s="791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 s="2210" t="s">
        <v>873</v>
      </c>
      <c r="KU27" s="2211"/>
      <c r="KV27" s="2212"/>
      <c r="KW27" s="2210" t="s">
        <v>874</v>
      </c>
      <c r="KX27" s="2211"/>
      <c r="KY27" s="2211"/>
      <c r="KZ27" s="2211"/>
      <c r="LA27" s="2211"/>
      <c r="LB27" s="2211"/>
      <c r="LC27" s="2211"/>
      <c r="LD27" s="2211"/>
      <c r="LE27" s="2212"/>
      <c r="LF27" s="2213" t="s">
        <v>875</v>
      </c>
      <c r="LG27" s="2213"/>
      <c r="LH27" s="2213"/>
      <c r="LI27" s="2213"/>
      <c r="LJ27" s="2213"/>
      <c r="LK27" s="2213"/>
      <c r="LL27" s="2213"/>
      <c r="LM27" s="2213"/>
      <c r="LN27" s="2210" t="s">
        <v>876</v>
      </c>
      <c r="LO27" s="2211"/>
      <c r="LP27" s="2211"/>
      <c r="LQ27" s="2212"/>
      <c r="LR27"/>
      <c r="LS27"/>
      <c r="LT27"/>
      <c r="LU27"/>
      <c r="LV27" s="11"/>
      <c r="LY27" s="11"/>
    </row>
    <row r="28" spans="1:337" ht="52.5" customHeight="1" thickBot="1" x14ac:dyDescent="0.25">
      <c r="A28" s="842" t="s">
        <v>210</v>
      </c>
      <c r="B28" s="3" t="s">
        <v>383</v>
      </c>
      <c r="C28" s="107" t="s">
        <v>384</v>
      </c>
      <c r="D28" s="108" t="s">
        <v>385</v>
      </c>
      <c r="E28" s="107" t="s">
        <v>415</v>
      </c>
      <c r="F28" s="109" t="s">
        <v>233</v>
      </c>
      <c r="G28" s="559" t="s">
        <v>147</v>
      </c>
      <c r="H28" s="110" t="s">
        <v>232</v>
      </c>
      <c r="I28" s="73" t="s">
        <v>65</v>
      </c>
      <c r="J28" s="74" t="s">
        <v>66</v>
      </c>
      <c r="K28" s="75"/>
      <c r="L28" s="76" t="s">
        <v>366</v>
      </c>
      <c r="M28" s="133" t="s">
        <v>369</v>
      </c>
      <c r="N28" s="134" t="s">
        <v>138</v>
      </c>
      <c r="O28" s="135" t="s">
        <v>231</v>
      </c>
      <c r="P28" s="7" t="s">
        <v>221</v>
      </c>
      <c r="Q28" s="7" t="s">
        <v>391</v>
      </c>
      <c r="R28" s="3" t="s">
        <v>450</v>
      </c>
      <c r="S28" s="87" t="s">
        <v>208</v>
      </c>
      <c r="T28" s="87" t="s">
        <v>209</v>
      </c>
      <c r="U28" s="87" t="s">
        <v>181</v>
      </c>
      <c r="V28" s="111" t="s">
        <v>386</v>
      </c>
      <c r="W28" s="111" t="s">
        <v>387</v>
      </c>
      <c r="X28" s="1192" t="s">
        <v>937</v>
      </c>
      <c r="Y28" s="113"/>
      <c r="Z28" s="60" t="s">
        <v>364</v>
      </c>
      <c r="AA28" s="56" t="s">
        <v>365</v>
      </c>
      <c r="AB28" s="51" t="s">
        <v>403</v>
      </c>
      <c r="AC28" s="51" t="s">
        <v>404</v>
      </c>
      <c r="AD28" s="6" t="s">
        <v>200</v>
      </c>
      <c r="AE28" s="6" t="s">
        <v>201</v>
      </c>
      <c r="AF28" s="86" t="s">
        <v>234</v>
      </c>
      <c r="AG28" s="86" t="s">
        <v>238</v>
      </c>
      <c r="AH28" s="86" t="s">
        <v>241</v>
      </c>
      <c r="AI28" s="6" t="s">
        <v>441</v>
      </c>
      <c r="AJ28" s="193" t="s">
        <v>153</v>
      </c>
      <c r="AK28" s="194" t="s">
        <v>203</v>
      </c>
      <c r="AL28" s="3" t="s">
        <v>819</v>
      </c>
      <c r="AM28" s="6"/>
      <c r="AN28" s="112" t="s">
        <v>48</v>
      </c>
      <c r="AO28" s="1202" t="s">
        <v>932</v>
      </c>
      <c r="AP28" s="1202" t="s">
        <v>934</v>
      </c>
      <c r="AQ28" s="1202" t="s">
        <v>933</v>
      </c>
      <c r="AR28" s="1202" t="s">
        <v>935</v>
      </c>
      <c r="AS28" s="727"/>
      <c r="AT28" s="727"/>
      <c r="AU28" s="727"/>
      <c r="AV28" s="727"/>
      <c r="AW28" s="727"/>
      <c r="AX28" s="727"/>
      <c r="AZ28" s="2244" t="s">
        <v>770</v>
      </c>
      <c r="BA28" s="2245"/>
      <c r="BB28" s="1260" t="s">
        <v>958</v>
      </c>
      <c r="BC28" s="6" t="s">
        <v>201</v>
      </c>
      <c r="BE28" s="839" t="s">
        <v>723</v>
      </c>
      <c r="BF28" s="839" t="s">
        <v>720</v>
      </c>
      <c r="BG28" s="839" t="s">
        <v>721</v>
      </c>
      <c r="BH28" s="839" t="s">
        <v>722</v>
      </c>
      <c r="BM28" s="744" t="s">
        <v>647</v>
      </c>
      <c r="BN28" s="744" t="s">
        <v>648</v>
      </c>
      <c r="BO28" s="744" t="s">
        <v>649</v>
      </c>
      <c r="BP28" s="744" t="s">
        <v>650</v>
      </c>
      <c r="BQ28" s="744" t="s">
        <v>651</v>
      </c>
      <c r="BR28" s="744" t="s">
        <v>48</v>
      </c>
      <c r="BZ28" s="1047"/>
      <c r="CA28" s="1029" t="s">
        <v>835</v>
      </c>
      <c r="CB28" s="1029" t="s">
        <v>836</v>
      </c>
      <c r="CC28" s="1068" t="s">
        <v>838</v>
      </c>
      <c r="CD28" s="135" t="s">
        <v>835</v>
      </c>
      <c r="CE28" s="1029" t="s">
        <v>836</v>
      </c>
      <c r="CF28" s="1068" t="s">
        <v>722</v>
      </c>
      <c r="CG28" s="135" t="s">
        <v>835</v>
      </c>
      <c r="CH28" s="1029" t="s">
        <v>836</v>
      </c>
      <c r="CI28" s="1068" t="s">
        <v>839</v>
      </c>
      <c r="CJ28" s="135" t="s">
        <v>835</v>
      </c>
      <c r="CK28" s="1029" t="s">
        <v>836</v>
      </c>
      <c r="CL28" s="1192" t="s">
        <v>840</v>
      </c>
      <c r="CM28" s="1307" t="s">
        <v>998</v>
      </c>
      <c r="CN28" s="1307" t="s">
        <v>999</v>
      </c>
      <c r="CO28" s="1307" t="s">
        <v>993</v>
      </c>
      <c r="CP28" s="1307" t="s">
        <v>994</v>
      </c>
      <c r="CQ28" s="1307" t="s">
        <v>995</v>
      </c>
      <c r="CR28" s="1307" t="s">
        <v>993</v>
      </c>
      <c r="CS28" s="1308" t="s">
        <v>1005</v>
      </c>
      <c r="CU28" s="1307" t="s">
        <v>998</v>
      </c>
      <c r="CV28" s="1307" t="s">
        <v>999</v>
      </c>
      <c r="CW28" s="1307" t="s">
        <v>993</v>
      </c>
      <c r="CX28" s="1307" t="s">
        <v>994</v>
      </c>
      <c r="CY28" s="1307" t="s">
        <v>995</v>
      </c>
      <c r="CZ28" s="1307" t="s">
        <v>993</v>
      </c>
      <c r="DA28" s="1308" t="s">
        <v>1006</v>
      </c>
      <c r="DC28" s="112" t="s">
        <v>1069</v>
      </c>
      <c r="DD28" s="1425" t="s">
        <v>1062</v>
      </c>
      <c r="DE28" s="1425" t="s">
        <v>65</v>
      </c>
      <c r="DF28" s="1425" t="s">
        <v>48</v>
      </c>
      <c r="DG28" s="1425" t="s">
        <v>1063</v>
      </c>
      <c r="DH28" s="1426" t="s">
        <v>1064</v>
      </c>
      <c r="DI28" s="1426" t="s">
        <v>1065</v>
      </c>
      <c r="DJ28" s="1427" t="s">
        <v>1066</v>
      </c>
      <c r="DK28" s="1428" t="s">
        <v>1067</v>
      </c>
      <c r="DM28" s="1415" t="s">
        <v>1064</v>
      </c>
      <c r="DN28" s="1415" t="s">
        <v>1068</v>
      </c>
      <c r="DO28" s="727" t="s">
        <v>1066</v>
      </c>
      <c r="DP28" s="1142" t="s">
        <v>1067</v>
      </c>
      <c r="DQ28" s="1142"/>
      <c r="DR28" s="86" t="s">
        <v>1165</v>
      </c>
      <c r="DS28" s="86" t="s">
        <v>1165</v>
      </c>
      <c r="DT28" s="86" t="s">
        <v>1166</v>
      </c>
      <c r="DV28" s="86" t="s">
        <v>1167</v>
      </c>
      <c r="DW28" s="86" t="s">
        <v>1167</v>
      </c>
      <c r="DX28" s="86" t="s">
        <v>1168</v>
      </c>
      <c r="IG28" s="742">
        <v>7</v>
      </c>
      <c r="IH28" s="1828"/>
      <c r="II28" s="1831"/>
      <c r="IK28" s="790"/>
      <c r="IL28" s="1863">
        <v>27</v>
      </c>
      <c r="IM28" s="1912" t="s">
        <v>1322</v>
      </c>
      <c r="IN28" s="1863">
        <v>2</v>
      </c>
      <c r="IO28" s="1863">
        <v>5</v>
      </c>
      <c r="IP28" s="791"/>
      <c r="KB28" s="1142" t="s">
        <v>908</v>
      </c>
      <c r="KC28" s="727" t="s">
        <v>251</v>
      </c>
      <c r="KD28" s="1102" t="s">
        <v>877</v>
      </c>
      <c r="KE28" s="1103" t="s">
        <v>72</v>
      </c>
      <c r="KF28" s="1104" t="s">
        <v>260</v>
      </c>
      <c r="KG28" s="1104" t="s">
        <v>878</v>
      </c>
      <c r="KH28" s="1105" t="s">
        <v>735</v>
      </c>
      <c r="KI28" s="1106" t="s">
        <v>879</v>
      </c>
      <c r="KJ28" s="1107" t="s">
        <v>880</v>
      </c>
      <c r="KK28" s="1108" t="s">
        <v>881</v>
      </c>
      <c r="KL28" s="1106" t="s">
        <v>882</v>
      </c>
      <c r="KM28" s="1109" t="s">
        <v>65</v>
      </c>
      <c r="KN28" s="1107" t="s">
        <v>883</v>
      </c>
      <c r="KO28" s="1106" t="s">
        <v>902</v>
      </c>
      <c r="KP28" s="1107" t="s">
        <v>226</v>
      </c>
      <c r="KQ28" s="1107" t="s">
        <v>884</v>
      </c>
      <c r="KR28" s="1107" t="s">
        <v>885</v>
      </c>
      <c r="KS28" s="1110" t="s">
        <v>886</v>
      </c>
      <c r="KT28" s="1111" t="s">
        <v>887</v>
      </c>
      <c r="KU28" s="1111" t="s">
        <v>888</v>
      </c>
      <c r="KV28" s="1112" t="s">
        <v>889</v>
      </c>
      <c r="KW28" s="1276" t="s">
        <v>973</v>
      </c>
      <c r="KX28" s="1277" t="s">
        <v>974</v>
      </c>
      <c r="KY28" s="1277" t="s">
        <v>975</v>
      </c>
      <c r="KZ28" s="1278" t="s">
        <v>976</v>
      </c>
      <c r="LA28" s="1279" t="s">
        <v>977</v>
      </c>
      <c r="LB28" s="1279" t="s">
        <v>978</v>
      </c>
      <c r="LC28" s="1280" t="s">
        <v>979</v>
      </c>
      <c r="LD28" s="1281" t="s">
        <v>980</v>
      </c>
      <c r="LE28" s="1281" t="s">
        <v>981</v>
      </c>
      <c r="LF28" s="1282" t="s">
        <v>893</v>
      </c>
      <c r="LG28" s="1283" t="s">
        <v>982</v>
      </c>
      <c r="LH28" s="1283" t="s">
        <v>951</v>
      </c>
      <c r="LI28" s="1284" t="s">
        <v>894</v>
      </c>
      <c r="LJ28" s="1285" t="s">
        <v>954</v>
      </c>
      <c r="LK28" s="1285" t="s">
        <v>955</v>
      </c>
      <c r="LL28" s="1253" t="s">
        <v>936</v>
      </c>
      <c r="LM28" s="1253" t="s">
        <v>903</v>
      </c>
      <c r="LN28" s="1254" t="s">
        <v>896</v>
      </c>
      <c r="LO28" s="1254" t="s">
        <v>956</v>
      </c>
      <c r="LP28" s="1254" t="s">
        <v>957</v>
      </c>
      <c r="LQ28" s="1256" t="s">
        <v>897</v>
      </c>
      <c r="LR28" s="1257" t="s">
        <v>898</v>
      </c>
      <c r="LS28" s="1257" t="s">
        <v>899</v>
      </c>
      <c r="LT28" s="1259" t="s">
        <v>900</v>
      </c>
      <c r="LU28" s="1114" t="s">
        <v>901</v>
      </c>
      <c r="LV28" s="1106" t="s">
        <v>904</v>
      </c>
      <c r="LW28" s="2" t="s">
        <v>904</v>
      </c>
      <c r="LX28" s="1291" t="s">
        <v>983</v>
      </c>
    </row>
    <row r="29" spans="1:337" hidden="1" x14ac:dyDescent="0.2">
      <c r="B29" s="13">
        <v>0</v>
      </c>
      <c r="C29" s="106"/>
      <c r="D29" s="106"/>
      <c r="E29" s="106">
        <v>0</v>
      </c>
      <c r="F29" s="106"/>
      <c r="G29" s="106"/>
      <c r="H29" s="106"/>
      <c r="I29" s="55"/>
      <c r="J29" s="52"/>
      <c r="K29" s="52"/>
      <c r="L29" s="52"/>
      <c r="P29" s="114"/>
      <c r="Q29" s="114"/>
      <c r="X29" s="96"/>
      <c r="Y29" s="97"/>
      <c r="Z29" s="53"/>
      <c r="AA29" s="54"/>
      <c r="AB29" s="55"/>
      <c r="AC29" s="55"/>
      <c r="AO29" s="96"/>
      <c r="AP29" s="2"/>
      <c r="AQ29" s="2"/>
      <c r="AR29" s="97"/>
      <c r="BB29" s="96"/>
      <c r="BC29" s="97"/>
      <c r="BE29" s="5">
        <v>0</v>
      </c>
      <c r="BF29" s="5"/>
      <c r="BG29" s="5"/>
      <c r="BH29" s="5"/>
      <c r="BM29" s="745">
        <v>0</v>
      </c>
      <c r="BN29" s="745"/>
      <c r="BO29" s="745"/>
      <c r="BP29" s="745"/>
      <c r="BQ29" s="745"/>
      <c r="CM29" s="6"/>
      <c r="CN29" s="6"/>
      <c r="CO29" s="6"/>
      <c r="CP29" s="6"/>
      <c r="CQ29" s="6"/>
      <c r="CR29" s="6"/>
      <c r="CS29" s="6"/>
      <c r="DC29" s="96"/>
      <c r="DD29" s="2"/>
      <c r="DE29" s="2"/>
      <c r="DF29" s="2"/>
      <c r="DG29" s="2"/>
      <c r="DH29" s="2"/>
      <c r="DI29" s="2"/>
      <c r="DJ29" s="2"/>
      <c r="DK29" s="97"/>
      <c r="DT29" s="95"/>
      <c r="IG29" s="742">
        <v>8</v>
      </c>
      <c r="IH29" s="1872"/>
      <c r="II29" s="1872"/>
      <c r="IK29" s="790"/>
      <c r="IL29" s="1863">
        <v>28</v>
      </c>
      <c r="IM29" s="1912" t="s">
        <v>1324</v>
      </c>
      <c r="IN29" s="1863">
        <v>1</v>
      </c>
      <c r="IO29" s="1863">
        <v>5</v>
      </c>
      <c r="IP29" s="791"/>
      <c r="KC29" s="796">
        <v>0</v>
      </c>
      <c r="LR29" s="1258"/>
      <c r="LS29" s="1258"/>
      <c r="LV29" s="1117"/>
      <c r="LW29" s="1288"/>
      <c r="LX29" s="1288"/>
    </row>
    <row r="30" spans="1:337" ht="15.75" customHeight="1" x14ac:dyDescent="0.2">
      <c r="A30" s="1184">
        <f>IF(B30&gt;0,A29+1,A29)</f>
        <v>1</v>
      </c>
      <c r="B30" s="2193">
        <v>4</v>
      </c>
      <c r="C30" s="106" t="str">
        <f>IF(B30&gt;0,VLOOKUP($B30,Мат!$A$190:$N$314,2)," ")</f>
        <v>газетная                              все форматы</v>
      </c>
      <c r="D30" s="106"/>
      <c r="E30" s="117">
        <v>1</v>
      </c>
      <c r="F30" s="2194">
        <v>2</v>
      </c>
      <c r="G30" s="942">
        <v>1.5</v>
      </c>
      <c r="H30" s="942">
        <v>8</v>
      </c>
      <c r="I30" s="2194">
        <v>42</v>
      </c>
      <c r="J30" s="943">
        <v>66</v>
      </c>
      <c r="K30" s="2194">
        <v>57.8</v>
      </c>
      <c r="L30" s="942">
        <v>8</v>
      </c>
      <c r="M30" s="943">
        <v>1</v>
      </c>
      <c r="N30" s="943">
        <v>8</v>
      </c>
      <c r="O30" s="189">
        <f t="shared" ref="O30:O41" si="3">IF(N30&gt;0,CEILING(L30/M30/POWER(2,CEILING(LOG(N30,2),1)),1),1)</f>
        <v>1</v>
      </c>
      <c r="P30" s="943">
        <v>8</v>
      </c>
      <c r="Q30" s="943">
        <v>8</v>
      </c>
      <c r="R30" s="943">
        <v>1</v>
      </c>
      <c r="S30" s="198">
        <f>MAX(P30*T30,P30)*$S$27</f>
        <v>8</v>
      </c>
      <c r="T30" s="190">
        <f>IF(L30&gt;0,CEILING(N30/L30*M30,1),1)</f>
        <v>1</v>
      </c>
      <c r="U30" s="1073">
        <f>IF(G30=1,Z30*Q30*M30/T30/G30,0)+IF(G30=1.5,Z30*Q30*M30/T30/(G30-0.5),0)+IF(G30=2,Z30*Q30*M30/T30/G30,0)+IF(G30=2.5,Z30*Q30*M30/T30/(G30-0.5),0)+IF(G30=3,Z30*Q30*M30/T30/G30,0)+IF(G30=3.5,Z30*Q30*M30/T30/(G30-0.5),0)+IF(G30=4,Z30*Q30*M30/T30/G30,0)</f>
        <v>200000</v>
      </c>
      <c r="V30" s="1074">
        <f>U30*T30</f>
        <v>200000</v>
      </c>
      <c r="W30" s="1073">
        <f>IF(G30=1,Z30*M30*R30/INT(G30),0)+IF(G30=1.5,Z30*M30*R30/INT(G30-0.5),0)+IF(G30=2,Z30*M30*R30/INT(G30),0)+IF(G30=2.5,Z30*M30*R30/INT(G30-0.5),0)+IF(G30=3,Z30*M30*R30/INT(G30),0)+IF(G30=3.5,Z30*M30*R30/INT(G30-0.5),0)++IF(G30=4,Z30*M30*R30/INT(G30),0)</f>
        <v>25000</v>
      </c>
      <c r="X30" s="1312">
        <f ca="1">IF(AND(B30&gt;0,R30=0),ROUND(IF(B45&lt;8,VLOOKUP(Z29/T29*M29,INDIRECT(BR29),$F29+1)+DA29,VLOOKUP(Z29/T29,INDIRECT(BR29),H29+8*(AG29-1))+CS29),2),ROUND(IF(B45&lt;8,VLOOKUP(Z30/T30*M30,INDIRECT(BR30),$F30+1)+DA30,VLOOKUP(Z30/T30,INDIRECT(BR30),H30+8*(AG30-1))+CS30),2))</f>
        <v>17.5</v>
      </c>
      <c r="Y30" s="191">
        <f>LOOKUP($E30,$B$13:$B$26,S$13:S$26)</f>
        <v>0</v>
      </c>
      <c r="Z30" s="1075">
        <f>IF(G30=1.5,IF(L30&gt;0,IF(T30=AH30,CEILING($K$1/M30*T30/O30*INT(G30-0.5)+0.9999999,1)-1,CEILING($K$1*N30/L30/T30*INT(G30-0.5),1)*T30),0),IF(L30&gt;0,IF(T30=AH30,CEILING($K$1/M30*T30/O30*INT(G30)+0.9999999,1)-1,CEILING($K$1*N30/L30/T30*INT(G30),1)*T30),0))</f>
        <v>25000</v>
      </c>
      <c r="AA30" s="1073">
        <f ca="1">IF(B30&gt;0,CEILING(IF(B45&lt;8,T30*CEILING((P30*Y30+U30*X30/100)/M30,1),CEILING(Z30*AF30*X30/100,1))+N45*Z30,1),0)</f>
        <v>4375</v>
      </c>
      <c r="AB30" s="1074">
        <f ca="1">IF(B29=B30,Z30+AA30+AB29,Z30+AA30)</f>
        <v>29375</v>
      </c>
      <c r="AC30" s="1076">
        <f ca="1">AB30*I30*J30*K30/10000000</f>
        <v>470.65095000000002</v>
      </c>
      <c r="AD30" s="1077">
        <f t="shared" ref="AD30:AD41" ca="1" si="4">IF(AE30="лист",AB30,AC30)</f>
        <v>470.65095000000002</v>
      </c>
      <c r="AE30" s="188" t="str">
        <f>VLOOKUP($B30,Мат!$A$191:$N$314,5)</f>
        <v>кг</v>
      </c>
      <c r="AF30" s="19">
        <f>IF(MOD(G30,1),1,1)</f>
        <v>1</v>
      </c>
      <c r="AG30" s="1300">
        <f t="shared" ref="AG30:AG41" si="5">IF(AND(B30&gt;0,R30=0),AG29,IF(G30=1,G30,0)+IF(G30=1.5,(G30+0.5),0)+IF(G30=2,G30,0)+IF(G30=2.5,(G30+0.5),0)+IF(G30=3,G30,0)+IF(G30=3.5,(G30+0.5),0)+IF(G30=4,G30,0))</f>
        <v>2</v>
      </c>
      <c r="AH30" s="19">
        <f>IF(L30&gt;0,CEILING(N30/L30*M30,1),1)</f>
        <v>1</v>
      </c>
      <c r="AI30" s="189">
        <f>IF(Q30&gt;0,P30*R30/Q30,1)</f>
        <v>1</v>
      </c>
      <c r="AJ30" s="376">
        <f t="shared" ref="AJ30:AJ41" ca="1" si="6">IF(B29=B30,AJ29+((AB30-AB29)*2),AB30*2)</f>
        <v>58750</v>
      </c>
      <c r="AK30" s="376">
        <f t="shared" ref="AK30:AK41" ca="1" si="7">IF(G30=1,IF(B29=B30,AK29+((AB30-AB29)/INT(G30))/T30*(S30-INT(G30)*2*T30),(AB30/INT(G30))/T30*(S30-INT(G30)*2*T30)),0)+IF(G30=1.5,IF(B29=B30,AK29+((AB30-AB29)/INT(G30-0.5))/T30*(S30-INT(G30-0.5)*2*T30),(AB30/INT(G30-0.5))/T30*(S30-INT(G30-0.5)*2*T30)),0)+IF(G30=2,IF(B29=B30,AK29+((AB30-AB29)/INT(G30))/T30*(S30-INT(G30)*2*T30),(AB30/INT(G30))/T30*(S30-INT(G30)*2*T30)),0)+IF(G30=2.5,IF(B29=B30,AK29+((AB30-AB29)/INT(G30-0.5))/T30*(S30-INT(G30-0.5)*2*T30),(AB30/INT(G30-0.5))/T30*(S30-INT(G30-0.5)*2*T30)),0)+IF(G30=3,IF(B29=B30,AK29+((AB30-AB29)/INT(G30))/T30*(S30-INT(G30)*2*T30),(AB30/INT(G30))/T30*(S30-INT(G30)*2*T30)),0)+IF(G30=3.5,IF(B29=B30,AK29+((AB30-AB29)/INT(G30-0.5))/T30*(S30-INT(G30-0.5)*2*T30),(AB30/INT(G30-0.5))/T30*(S30-INT(G30-0.5)*2*T30)),0)+IF(G30=4,IF(B29=B30,AK29+((AB30-AB29)/INT(G30))/T30*(S30-INT(G30)*2*T30),(AB30/INT(G30))/T30*(S30-INT(G30)*2*T30)),0)</f>
        <v>176250</v>
      </c>
      <c r="AL30" s="11">
        <v>1</v>
      </c>
      <c r="AM30" s="11" t="str">
        <f>LOOKUP($AL30,$JQ$2:$JQ$6,$JR$2:$JR$6)</f>
        <v>Осн.текст</v>
      </c>
      <c r="AN30" s="11" t="str">
        <f>IF(E30&gt;0,LOOKUP($E30,$B$14:$B$26,$C$14:$C$26),"")</f>
        <v>СityLine</v>
      </c>
      <c r="AO30" s="1201">
        <f ca="1">ROUND((Z30+AA30)*I30*J30*K30/10000000,2)</f>
        <v>470.65</v>
      </c>
      <c r="AP30" s="1201">
        <f ca="1">IF(B30&gt;0,ROUND(Z30*AF30*X30/100*I30*J30*K30/10000000,2),0)</f>
        <v>70.099999999999994</v>
      </c>
      <c r="AQ30" s="1206">
        <f ca="1">AO30-AP30</f>
        <v>400.54999999999995</v>
      </c>
      <c r="AR30" s="1313">
        <f t="shared" ref="AR30:AR41" ca="1" si="8">ROUND(IF(B30&gt;0,AP30/AQ30,0),3)</f>
        <v>0.17499999999999999</v>
      </c>
      <c r="AZ30" s="1203">
        <f>IF($G30=1,$P30*$T30*0.066,0)+IF($G30=1.5,$P30*$T30*0.066,0)+IF($G30=2,$P30*$T30*0.056,0)+IF($G30=2.5,$P30*$T30*0.056,0)+IF($G30=3,$P30*$T30*0.052,0)+IF($G30=3.5,$P30*$T30*0.052,0)+IF($G30=4,$P30*$T30*0.052,0)</f>
        <v>0.52800000000000002</v>
      </c>
      <c r="BA30" s="1230" t="str">
        <f>CONCATENATE(TRUNC(AZ30,0),":",INT((AZ30-(TRUNC(AZ30,0)))*60),":","00")</f>
        <v>0:31:00</v>
      </c>
      <c r="BB30" s="1273">
        <f ca="1">J30*K30*(Z30+AA30)/10000</f>
        <v>11205.974999999999</v>
      </c>
      <c r="BC30" s="1232" t="s">
        <v>169</v>
      </c>
      <c r="BE30" s="5">
        <f>LOOKUP($E30,$B$13:$B$26,$A$13:$A$26)</f>
        <v>12</v>
      </c>
      <c r="BF30" s="919">
        <f>IF(AND(R30&gt;0,H30&gt;0,H30&lt;=2,G30&lt;1.5),W30,0)</f>
        <v>0</v>
      </c>
      <c r="BG30" s="376">
        <f>IF(AND(H30&gt;2,G30=1),W30,0)</f>
        <v>0</v>
      </c>
      <c r="BH30" s="376">
        <f>IF(G30&gt;1,W30,0)</f>
        <v>25000</v>
      </c>
      <c r="BM30" s="745">
        <v>6</v>
      </c>
      <c r="BN30" s="745" t="str">
        <f>IF(AND(BM30&gt;0,BM30&lt;6),VLOOKUP($BM30,$IS$17:$IT$23,2)," ")</f>
        <v xml:space="preserve"> </v>
      </c>
      <c r="BO30" s="745">
        <f>I30</f>
        <v>42</v>
      </c>
      <c r="BP30" s="745">
        <f ca="1">AB30</f>
        <v>29375</v>
      </c>
      <c r="BQ30" s="745">
        <f>IF(AND(BO30&gt;0,BO30&lt;=90),90,0)+IF(AND(BO30&gt;90,BO30&lt;=130),130,0)+IF(AND(BO30&gt;130,BO30&lt;=160),160,0)+IF(AND(BO30&gt;160,BO30&lt;=200),200,0)+IF(BO30&gt;200,201,0)</f>
        <v>90</v>
      </c>
      <c r="BR30" s="1429" t="str">
        <f>LOOKUP($E30,$B$14:$B$26,$C$14:$C$26)</f>
        <v>СityLine</v>
      </c>
      <c r="CA30" s="1069">
        <f>IF(AND(H30&lt;=2,G30&lt;1.5),W30,0)</f>
        <v>0</v>
      </c>
      <c r="CB30" s="1069">
        <f>IF(AND(H30&gt;2,G30&lt;1.5),W30,0)</f>
        <v>0</v>
      </c>
      <c r="CC30" s="1069">
        <f>IF(G30&lt;1.5,W30,0)</f>
        <v>0</v>
      </c>
      <c r="CD30" s="1069">
        <f>IF(AND(H30&lt;=2,G30&gt;1,G30&lt;2.4),W30,0)</f>
        <v>0</v>
      </c>
      <c r="CE30" s="1069">
        <f>IF(AND(H30&gt;2,G30&gt;1,G30&lt;2.4),W30,0)</f>
        <v>25000</v>
      </c>
      <c r="CF30" s="1069">
        <f>IF(AND(G30&gt;1,G30&lt;2.4),W30,0)</f>
        <v>25000</v>
      </c>
      <c r="CG30" s="1069">
        <f>IF(AND(H30&lt;=2,G30&gt;=2.5,G30&lt;3.4),W30,0)</f>
        <v>0</v>
      </c>
      <c r="CH30" s="1069">
        <f>IF(AND(H30&gt;2,G30&gt;=2.5,G30&lt;3.4),W30,0)</f>
        <v>0</v>
      </c>
      <c r="CI30" s="1069">
        <f>IF(AND(G30&gt;=2.5,G30&lt;3.4),W30,0)</f>
        <v>0</v>
      </c>
      <c r="CJ30" s="1069">
        <f>IF(AND(H30&lt;=2,G30&gt;=3.5,G30&lt;4.5),W30,0)</f>
        <v>0</v>
      </c>
      <c r="CK30" s="1069">
        <f>IF(AND(H30&gt;2,G30&gt;=3.5,G30&lt;4.5),W30,0)</f>
        <v>0</v>
      </c>
      <c r="CL30" s="1069">
        <f>IF(AND(G30&gt;=3.5,G30&lt;4.5),W30,0)</f>
        <v>0</v>
      </c>
      <c r="CM30" s="6">
        <f ca="1">VLOOKUP(Z30/T30/INT(G30)*INT(G30),INDIRECT(BR30),H30+8*(AG30-1))</f>
        <v>17.5</v>
      </c>
      <c r="CN30" s="6">
        <f ca="1">IF(CO30=150001,CM30,INDEX(INDIRECT(BR30),MATCH(Z30/T30/INT(G30)*INT(G30),INDEX(INDIRECT(BR30),0,1))+1,H30+8*(AG30-1)))</f>
        <v>14.5</v>
      </c>
      <c r="CO30" s="6">
        <f ca="1">VLOOKUP(Z30/T30/INT(G30)*INT(G30),INDIRECT(BR30),1)</f>
        <v>25000</v>
      </c>
      <c r="CP30" s="6">
        <f ca="1">IF(CO30=150001,150000,INDEX(INDIRECT(BR30),MATCH(Z30/T30/INT(G30)*INT(G30),INDEX(INDIRECT(BR30),0,1))+1,1))</f>
        <v>30000</v>
      </c>
      <c r="CQ30" s="6">
        <f>Z30/T30/INT(G30)*INT(G30)</f>
        <v>25000</v>
      </c>
      <c r="CR30" s="6">
        <f ca="1">VLOOKUP(Z30/T30/INT(G30)*INT(G30),INDIRECT(BR30),1)</f>
        <v>25000</v>
      </c>
      <c r="CS30" s="1309">
        <f ca="1">ROUND((CM30-CN30)/(CO30-CP30)*(CQ30-CR30),3)</f>
        <v>0</v>
      </c>
      <c r="CT30" s="1311">
        <f ca="1">VLOOKUP(Z30/T30/INT(G30)*INT(G30),INDIRECT(BR30),H30+8*(AG30-1))+((VLOOKUP(Z30/T30/INT(G30)*INT(G30),INDIRECT(BR30),H30+8*(AG30-1))-IF(CO30=150001,CM30,INDEX(INDIRECT(BR30),MATCH(Z30/T30/INT(G30)*INT(G30),INDEX(INDIRECT(BR30),0,1))+1,H30+8*(AG30-1))))/(VLOOKUP(Z30/T30/INT(G30)*INT(G30),INDIRECT(BR30),1)-IF(CO30=150001,150000,INDEX(INDIRECT(BR30),MATCH(Z30/T30/INT(G30)*INT(G30),INDEX(INDIRECT(BR30),0,1))+1,1)))*(Z30/T30/INT(G30)*INT(G30)-VLOOKUP(Z30/T30/INT(G30)*INT(G30),INDIRECT(BR30),1)))</f>
        <v>17.5</v>
      </c>
      <c r="CU30" s="6">
        <f ca="1">VLOOKUP(Z30/T30*M30,INDIRECT(BR30),$F30+1)</f>
        <v>10.3</v>
      </c>
      <c r="CV30" s="6">
        <f ca="1">INDEX(INDIRECT(BR30),MATCH(Z30/T30*M30,INDEX(INDIRECT(BR30),0,1))+1,$F30+1)</f>
        <v>9.5</v>
      </c>
      <c r="CW30" s="6">
        <f ca="1">VLOOKUP(Z30/T30*M30,INDIRECT(BR30),1)</f>
        <v>25000</v>
      </c>
      <c r="CX30" s="6">
        <f ca="1">INDEX(INDIRECT(BR30),MATCH(Z30/T30*M30,INDEX(INDIRECT(BR30),0,1))+1,1)</f>
        <v>30000</v>
      </c>
      <c r="CY30" s="6">
        <f>Z30/T30*M30</f>
        <v>25000</v>
      </c>
      <c r="CZ30" s="6">
        <f ca="1">VLOOKUP(Z30/T30*M30,INDIRECT(BR30),1)</f>
        <v>25000</v>
      </c>
      <c r="DA30" s="1309">
        <f ca="1">ROUND((CU30-CV30)/(CW30-CX30)*(CY30-CZ30),3)</f>
        <v>0</v>
      </c>
      <c r="DC30" s="1418" t="str">
        <f>IF(B30&gt;0,R45,0)</f>
        <v>газетная</v>
      </c>
      <c r="DD30" s="2">
        <f>F30</f>
        <v>2</v>
      </c>
      <c r="DE30" s="1419">
        <f t="shared" ref="DE30:DE41" si="9">I30</f>
        <v>42</v>
      </c>
      <c r="DF30" s="2" t="str">
        <f>IF(B30&gt;0,BR30,0)</f>
        <v>СityLine</v>
      </c>
      <c r="DG30" s="1420">
        <f t="shared" ref="DG30:DG41" si="10">W30</f>
        <v>25000</v>
      </c>
      <c r="DH30" s="1421">
        <f>IF(E30&gt;0,IF(OR($DC30="меловка",$DC30="этикеточная"),ROUND(IF($DE30&lt;=90,LOOKUP($DD30,$DC$22:$DC$24,$DE$22:$DE$24),0)+IF(AND($DE30&gt;90,$DE30&lt;=200),LOOKUP($DD30,$DC$22:$DC$24,$DD$22:$DD$24),0)+IF($DE30&gt;200,LOOKUP($DD30,$DC$22:$DC$24,$DF$22:$DF$24),0),3),"0")+IF(OR($DC30="офсетная",$DC30="газетная"),ROUND(IF($DE30&lt;=70,LOOKUP($DD30,$DC$22:$DC$24,$DI$22:$DI$24),0)+IF(AND($DE30&gt;70,$DE30&lt;=200),LOOKUP($DD30,$DC$22:$DC$24,$DH$22:$DH$24),0)+IF($DE30&gt;200,LOOKUP($DD30,$DC$22:$DC$24,$DJ$22:$DJ$24),0),3),"0")+IF($DC30="картон",ROUND(IF($DE30&lt;=90,LOOKUP($DD30,$DC$22:$DC$24,$DD$22:$DD$24),0)+IF(AND($DE30&gt;90,$DE30&lt;=200),LOOKUP($DD30,$DC$22:$DC$24,$DD$22:$DD$24),0)+IF($DE30&gt;200,LOOKUP($DD30,$DC$22:$DC$24,$DF$22:$DF$24),0),3),"0"),0)</f>
        <v>0.20599999999999999</v>
      </c>
      <c r="DI30" s="1422">
        <f>IF($DF30="Komori_540",ROUND($DG30*DH30/1000,3),0)</f>
        <v>0</v>
      </c>
      <c r="DJ30" s="1421">
        <f>IF($DG30&gt;0,ROUND(IF($CY30&lt;500,LOOKUP($DD30,$DC$22:$DC$24,$DG$22:$DG$24),"0"),3),"")</f>
        <v>0</v>
      </c>
      <c r="DK30" s="1423">
        <f>IF($DF30="Komori_540",ROUND($DG30*DJ30/1000,3),0)</f>
        <v>0</v>
      </c>
      <c r="DM30" s="1421">
        <f>IF(E30&gt;0,IF(OR($DC30="меловка",$DC30="этикеточная"),ROUND(IF($DE30&lt;=90,LOOKUP($DD30,$DK$22:$DK$24,$DM$22:$DM$24),0)+IF(AND($DE30&gt;90,$DE30&lt;=200),LOOKUP($DD30,$DK$22:$DK$24,$DL$22:$DL$24),0)+IF($DE30&gt;200,LOOKUP($DD30,$DK$22:$DK$24,$DN$22:$DN$24),0),3),"0")+IF(OR($DC30="офсетная",$DC30="газетная"),ROUND(IF($DE30&lt;=70,LOOKUP($DD30,$DK$22:$DK$24,$DQ$22:$DQ$24),0)+IF(AND($DE30&gt;70,$DE30&lt;=200),LOOKUP($DD30,$DK$22:$DK$24,$DP$22:$DP$24),0)+IF($DE30&gt;200,LOOKUP($DD30,$DK$22:$DK$24,$DR$22:$DR$24),0),3),"0")+IF($DC30="картон",ROUND(IF($DE30&lt;=90,LOOKUP($DD30,$DK$22:$DK$24,$DL$22:$DL$24),0)+IF(AND($DE30&gt;90,$DE30&lt;=200),LOOKUP($DD30,$DK$22:$DK$24,$DL$22:$DL$24),0)+IF($DE30&gt;200,LOOKUP($DD30,$DK$22:$DK$24,$DN$22:$DN$24),0),3),"0"),0)</f>
        <v>0.15</v>
      </c>
      <c r="DN30" s="132">
        <f>IF($DF30="Ryobi",ROUND($DG30*DM30/1000,3),0)</f>
        <v>0</v>
      </c>
      <c r="DO30" s="1417">
        <f>IF($DG30&gt;0,ROUND(IF($DG30&lt;500,LOOKUP($DD30,$DK$22:$DK$24,$DO$22:$DO$24),"0"),3),"")</f>
        <v>0</v>
      </c>
      <c r="DP30" s="132">
        <f>IF($DF30="Ryobi",ROUND($DG30*DO30/1000,3),0)</f>
        <v>0</v>
      </c>
      <c r="DR30" s="566">
        <f>IF($DF30="Komori_540",IF(OR($DC30="меловка",$DC30="этикеточная"),ROUND(IF($DE30&lt;=90,LOOKUP($DD30,$DC$25:$DC$27,$DE$25:$DE$27),0)+IF(AND($DE30&gt;90,$DE30&lt;=200),LOOKUP($DD30,$DC$25:$DC$27,$DD$25:$DD$27),0)+IF($DE30&gt;200,LOOKUP($DD30,$DC$25:$DC$27,$DF$25:$DF$27),0),3),"0")+IF(OR($DC30="офсетная",$DC30="газетная"),ROUND(IF($DE30&lt;=70,LOOKUP($DD30,$DC$25:$DC$27,$DI$25:$DI$27),0)+IF(AND($DE30&gt;70,$DE30&lt;=200),LOOKUP($DD30,$DC$25:$DC$27,$DH$25:$DH$27),0)+IF($DE30&gt;200,LOOKUP($DD30,$DC$25:$DC$27,$DJ$25:$DJ$27),0),3),"0")+IF($DC30="картон",ROUND(IF($DE30&lt;=90,LOOKUP($DD30,$DC$25:$DC$27,$DD$25:$DD$27),0)+IF(AND($DE30&gt;90,$DE30&lt;=200),LOOKUP($DD30,$DC$25:$DC$27,$DD$25:$DD$27),0)+IF($DE30&gt;200,LOOKUP($DD30,$DC$25:$DC$27,$DF$25:$DF$27),0),3),"0"),0)</f>
        <v>0</v>
      </c>
      <c r="DS30" s="566">
        <f>IF($DF30="Komori_540",IF($DG30&gt;0,ROUND(IF($DG30&lt;500,LOOKUP($DD30,$DC$25:$DC$27,$DG$25:$DG$27)-LOOKUP($DD30,$DC$25:$DC$27,$DD$25:$DD$27),"0"),3),"0"),0)</f>
        <v>0</v>
      </c>
      <c r="DT30" s="1502">
        <f>DG30*(DR30+DS30)/1000</f>
        <v>0</v>
      </c>
      <c r="DU30" s="1503"/>
      <c r="DV30" s="566">
        <f>IF($DF30="Ryobi",IF(OR($DC30="меловка",$DC30="этикеточная"),ROUND(IF($DE30&lt;=90,LOOKUP($DD30,$DK$25:$DK$27,$DM$25:$DM$27),0)+IF(AND($DE30&gt;90,$DE30&lt;=200),LOOKUP($DD30,$DK$25:$DK$27,$DL$25:$DL$27),0)+IF($DE30&gt;200,LOOKUP($DD30,$DK$25:$DK$27,$DN$25:$DN$27),0),3),"0")+IF(OR($DC30="офсетная",$DC30="газетная"),ROUND(IF($DE30&lt;=70,LOOKUP($DD30,$DK$25:$DK$27,$DQ$25:$DQ$27),0)+IF(AND($DE30&gt;70,$DE30&lt;=200),LOOKUP($DD30,$DK$25:$DK$27,$DP$25:$DP$27),0)+IF($DE30&gt;200,LOOKUP($DD30,$DK$25:$DK$27,$DR$25:$DR$27),0),3),"0")+IF($DC30="картон",ROUND(IF($DE30&lt;=90,LOOKUP($DD30,$DK$25:$DK$27,$DL$25:$DL$27),0)+IF(AND($DE30&gt;90,$DE30&lt;=200),LOOKUP($DD30,$DK$25:$DK$27,$DL$25:$DL$27),0)+IF($DE30&gt;200,LOOKUP($DD30,$DK$25:$DK$27,$DN$25:$DN$27),0),3),"0"),0)</f>
        <v>0</v>
      </c>
      <c r="DW30" s="566">
        <f>IF($DF30="Ryobi",IF($DG30&gt;0,ROUND(IF($DG30&lt;500,LOOKUP($DD30,$DK$25:$DK$27,$DO$25:$DO$27)-LOOKUP($DD30,$DK$25:$DK$27,$DL$25:$DL$27),"0"),3),"0"),0)</f>
        <v>0</v>
      </c>
      <c r="DX30" s="1502">
        <f>DG30*(DV30+DW30)/1000</f>
        <v>0</v>
      </c>
      <c r="IK30" s="790"/>
      <c r="IL30" s="1863">
        <v>29</v>
      </c>
      <c r="IM30" s="1912" t="s">
        <v>1326</v>
      </c>
      <c r="IN30" s="1863">
        <v>1</v>
      </c>
      <c r="IO30" s="1863">
        <v>5</v>
      </c>
      <c r="IP30" s="791"/>
      <c r="KB30" s="742">
        <f>IF(AND($KF30="газетная",$KM30=42),Мат!$P$194,0)+IF(AND($KF30="газетная",$KM30=45),Мат!$P$195,0)+IF(AND($KF30="газетная",$KM30=48.8),Мат!$P$196,0)+IF(AND($KF30="офсетная",$KM30=58),Мат!$P$192,0)+IF(AND($KF30="офсетная",$KM30=60),Мат!$P$198,0)</f>
        <v>32.25</v>
      </c>
      <c r="KC30" s="1198">
        <f>B30</f>
        <v>4</v>
      </c>
      <c r="KD30" s="1325" t="str">
        <f>IF(OR(KF30="газетная",KF30="офсетная",KF30="писчая"),Кальк!$E$10,"del")</f>
        <v>202210367</v>
      </c>
      <c r="KE30" s="1117"/>
      <c r="KF30" s="1325" t="str">
        <f t="shared" ref="KF30:KF41" si="11">IF(ISERR(FIND("газетная",$C30)),IF(ISERR(FIND("офсетная",$C30)),IF(ISERR(FIND("писчая",$C30)),0,"писчая"),"офсетная"),"газетная")</f>
        <v>газетная</v>
      </c>
      <c r="KG30" s="1325" t="str">
        <f>IF(KF30&gt;0,Заказ!$D$8,0)</f>
        <v>Про город К-Чепецк № 13 от 02.04.2022</v>
      </c>
      <c r="KH30" s="1117"/>
      <c r="KI30" s="1323" t="str">
        <f t="shared" ref="KI30:KI41" si="12">IF(KF30&gt;0,BR30,0)</f>
        <v>СityLine</v>
      </c>
      <c r="KJ30" s="1117"/>
      <c r="KK30" s="1324">
        <f t="shared" ref="KK30:KK41" si="13">IF(KF30&gt;0,J30,0)</f>
        <v>66</v>
      </c>
      <c r="KL30" s="1323">
        <f t="shared" ref="KL30:KL41" si="14">IF(KF30&gt;0,K30,0)</f>
        <v>57.8</v>
      </c>
      <c r="KM30" s="1323">
        <f t="shared" ref="KM30:KM41" si="15">IF(KF30&gt;0,I30,0)</f>
        <v>42</v>
      </c>
      <c r="KN30" s="1323">
        <f t="shared" ref="KN30:KN41" si="16">IF(KF30&gt;0,N30,0)</f>
        <v>8</v>
      </c>
      <c r="KO30" s="1326">
        <f t="shared" ref="KO30:KO41" si="17">IF(KF30&gt;0,H30,0)</f>
        <v>8</v>
      </c>
      <c r="KP30" s="1119">
        <f>Заказ!C11</f>
        <v>25000</v>
      </c>
      <c r="KQ30" s="1315">
        <f>W30</f>
        <v>25000</v>
      </c>
      <c r="KR30" s="1327">
        <f t="shared" ref="KR30:KR41" si="18">IF(KF30&gt;0,S30,0)</f>
        <v>8</v>
      </c>
      <c r="KS30" s="1287" t="str">
        <f>CONCATENATE(TRUNC(AZ30,0),":",INT((AZ30-(TRUNC(AZ30,0)))*60),":","00")</f>
        <v>0:31:00</v>
      </c>
      <c r="KT30" s="8" t="str">
        <f>Трудозатраты!J36</f>
        <v>2:28:00</v>
      </c>
      <c r="KU30" s="1117"/>
      <c r="KV30" s="1120">
        <f>KT30-KU30</f>
        <v>0.10277777777777779</v>
      </c>
      <c r="KW30" s="1189">
        <f ca="1">AO30</f>
        <v>470.65</v>
      </c>
      <c r="KX30" s="1314">
        <f ca="1">ROUND(W30+(W30*AR30),0)</f>
        <v>29375</v>
      </c>
      <c r="KY30" s="1275">
        <f ca="1">ROUND(BB30,0)</f>
        <v>11206</v>
      </c>
      <c r="KZ30" s="1119"/>
      <c r="LA30" s="1119"/>
      <c r="LB30" s="1119"/>
      <c r="LC30" s="1255"/>
      <c r="LD30" s="1255"/>
      <c r="LE30" s="1255"/>
      <c r="LF30" s="1189">
        <f ca="1">AP30</f>
        <v>70.099999999999994</v>
      </c>
      <c r="LG30" s="1314">
        <f ca="1">ROUND(W30*AR30,0)</f>
        <v>4375</v>
      </c>
      <c r="LH30" s="1275">
        <f ca="1">ROUND(IF(LF30&gt;0,(LF30*10000000/(J30*K30*I30))*J30*K30/10000,0),0)</f>
        <v>1669</v>
      </c>
      <c r="LI30" s="1119"/>
      <c r="LJ30" s="1119"/>
      <c r="LK30" s="1119"/>
      <c r="LL30" s="1121">
        <f ca="1">AR30</f>
        <v>0.17499999999999999</v>
      </c>
      <c r="LM30" s="1117"/>
      <c r="LN30" s="1119"/>
      <c r="LO30" s="1119"/>
      <c r="LP30" s="1119"/>
      <c r="LQ30" s="1119"/>
      <c r="LR30" s="1255"/>
      <c r="LS30" s="1255"/>
      <c r="LT30" s="1119"/>
      <c r="LU30" s="1117"/>
      <c r="LV30" s="1286" t="str">
        <f t="shared" ref="LV30:LV41" ca="1" si="19">IF(LW30&gt;0,"тип","зак")</f>
        <v>тип</v>
      </c>
      <c r="LW30" s="1289">
        <f ca="1">IF(B30&gt;0,LOOKUP($B30,Мат!$A$191:$A$312,Мат!$R$191:$R$312),"")</f>
        <v>555</v>
      </c>
      <c r="LX30" s="1290">
        <f>AG30</f>
        <v>2</v>
      </c>
    </row>
    <row r="31" spans="1:337" ht="15.75" customHeight="1" x14ac:dyDescent="0.2">
      <c r="A31" s="1184">
        <f t="shared" ref="A31:A42" si="20">IF(AND(B30&gt;0,B31&lt;&gt;B30),A30+1,A30)</f>
        <v>2</v>
      </c>
      <c r="B31" s="116">
        <v>5</v>
      </c>
      <c r="C31" s="106" t="str">
        <f>IF(B31&gt;0,VLOOKUP($B31,Мат!$A$190:$N$314,2)," ")</f>
        <v>газетная.                             все форматы</v>
      </c>
      <c r="D31" s="106"/>
      <c r="E31" s="117">
        <v>1</v>
      </c>
      <c r="F31" s="942">
        <v>2</v>
      </c>
      <c r="G31" s="942">
        <v>1.5</v>
      </c>
      <c r="H31" s="942">
        <v>8</v>
      </c>
      <c r="I31" s="942">
        <v>42</v>
      </c>
      <c r="J31" s="943">
        <v>33</v>
      </c>
      <c r="K31" s="942">
        <v>57.8</v>
      </c>
      <c r="L31" s="942">
        <v>4</v>
      </c>
      <c r="M31" s="943">
        <v>1</v>
      </c>
      <c r="N31" s="943">
        <v>4</v>
      </c>
      <c r="O31" s="922">
        <f t="shared" ref="O31:O33" si="21">IF(N31&gt;0,CEILING(L31/M31/POWER(2,CEILING(LOG(N31,2),1)),1),1)</f>
        <v>1</v>
      </c>
      <c r="P31" s="944">
        <v>8</v>
      </c>
      <c r="Q31" s="944">
        <v>8</v>
      </c>
      <c r="R31" s="944">
        <v>0</v>
      </c>
      <c r="S31" s="924">
        <f>MAX(P31*T31,P31)*$S$27</f>
        <v>8</v>
      </c>
      <c r="T31" s="925">
        <f t="shared" ref="T31:T33" si="22">IF(L31&gt;0,CEILING(N31/L31*M31,1),1)</f>
        <v>1</v>
      </c>
      <c r="U31" s="1073">
        <f t="shared" ref="U31:U41" si="23">IF(G31=1,Z31*Q31*M31/T31/G31,0)+IF(G31=1.5,Z31*Q31*M31/T31/(G31-0.5),0)+IF(G31=2,Z31*Q31*M31/T31/G31,0)+IF(G31=2.5,Z31*Q31*M31/T31/(G31-0.5),0)+IF(G31=3,Z31*Q31*M31/T31/G31,0)+IF(G31=3.5,Z31*Q31*M31/T31/(G31-0.5),0)+IF(G31=4,Z31*Q31*M31/T31/G31,0)</f>
        <v>200000</v>
      </c>
      <c r="V31" s="1073">
        <f>U31*T31</f>
        <v>200000</v>
      </c>
      <c r="W31" s="1073">
        <f t="shared" ref="W31:W41" si="24">IF(G31=1,Z31*M31*R31/INT(G31),0)+IF(G31=1.5,Z31*M31*R31/INT(G31-0.5),0)+IF(G31=2,Z31*M31*R31/INT(G31),0)+IF(G31=2.5,Z31*M31*R31/INT(G31-0.5),0)+IF(G31=3,Z31*M31*R31/INT(G31),0)+IF(G31=3.5,Z31*M31*R31/INT(G31-0.5),0)++IF(G31=4,Z31*M31*R31/INT(G31),0)</f>
        <v>0</v>
      </c>
      <c r="X31" s="1312">
        <f ca="1">IF(AND(B31&gt;0,R31=0),ROUND(IF(B46&lt;8,VLOOKUP(Z30/T30*M30,INDIRECT(BR30),$F30+1)+DA30,VLOOKUP(Z30/T30,INDIRECT(BR30),H30+8*(AG30-1))+CS30),2),ROUND(IF(B46&lt;8,VLOOKUP(Z31/T31*M31,INDIRECT(BR31),$F31+1)+DA31,VLOOKUP(Z31/T31,INDIRECT(BR31),H31+8*(AG31-1))+CS31),2))</f>
        <v>17.5</v>
      </c>
      <c r="Y31" s="926">
        <f t="shared" ref="Y31:Y33" si="25">LOOKUP($E31,$B$13:$B$26,S$13:S$26)</f>
        <v>0</v>
      </c>
      <c r="Z31" s="1075">
        <f>IF(G31=1.5,IF(L31&gt;0,IF(T31=AH31,CEILING($K$1/M31*T31/O31*INT(G31-0.5)+0.9999999,1)-1,CEILING($K$1*N31/L31/T31*INT(G31-0.5),1)*T31),0),IF(L31&gt;0,IF(T31=AH31,CEILING($K$1/M31*T31/O31*INT(G31)+0.9999999,1)-1,CEILING($K$1*N31/L31/T31*INT(G31),1)*T31),0))</f>
        <v>25000</v>
      </c>
      <c r="AA31" s="1073">
        <f t="shared" ref="AA31:AA41" ca="1" si="26">IF(B31&gt;0,CEILING(IF(B46&lt;8,T31*CEILING((P31*Y31+U31*X31/100)/M31,1),CEILING(Z31*AF31*X31/100,1))+N46*Z31,1),0)</f>
        <v>4375</v>
      </c>
      <c r="AB31" s="1073">
        <f ca="1">IF(B30=B31,Z31+AA31+AB30,Z31+AA31)</f>
        <v>29375</v>
      </c>
      <c r="AC31" s="1076">
        <f ca="1">AB31*I31*J31*K31/10000000</f>
        <v>235.32547500000001</v>
      </c>
      <c r="AD31" s="1077">
        <f t="shared" ca="1" si="4"/>
        <v>235.32547500000001</v>
      </c>
      <c r="AE31" s="188" t="str">
        <f>VLOOKUP($B31,Мат!$A$191:$N$314,5)</f>
        <v>кг</v>
      </c>
      <c r="AF31" s="19">
        <f t="shared" ref="AF31:AF41" si="27">IF(MOD(G31,1),1,1)</f>
        <v>1</v>
      </c>
      <c r="AG31" s="1300">
        <f t="shared" si="5"/>
        <v>2</v>
      </c>
      <c r="AH31" s="19">
        <f t="shared" ref="AH31:AH33" si="28">IF(L31&gt;0,CEILING(N31/L31*M31,1),1)</f>
        <v>1</v>
      </c>
      <c r="AI31" s="189">
        <f>IF(Q31&gt;0,P31*R31/Q31,1)</f>
        <v>0</v>
      </c>
      <c r="AJ31" s="376">
        <f t="shared" ca="1" si="6"/>
        <v>58750</v>
      </c>
      <c r="AK31" s="376">
        <f t="shared" ca="1" si="7"/>
        <v>176250</v>
      </c>
      <c r="AL31" s="11">
        <v>1</v>
      </c>
      <c r="AM31" s="11" t="str">
        <f t="shared" ref="AM31:AM41" si="29">LOOKUP($AL31,$JQ$2:$JQ$6,$JR$2:$JR$6)</f>
        <v>Осн.текст</v>
      </c>
      <c r="AN31" s="11" t="str">
        <f t="shared" ref="AN31:AN41" si="30">IF(E31&gt;0,LOOKUP($E31,$B$14:$B$26,$C$14:$C$26),"")</f>
        <v>СityLine</v>
      </c>
      <c r="AO31" s="1201">
        <f t="shared" ref="AO31:AO41" ca="1" si="31">ROUND((Z31+AA31)*I31*J31*K31/10000000,2)</f>
        <v>235.33</v>
      </c>
      <c r="AP31" s="1201">
        <f t="shared" ref="AP31:AP41" ca="1" si="32">IF(B31&gt;0,ROUND(Z31*AF31*X31/100*I31*J31*K31/10000000,2),0)</f>
        <v>35.049999999999997</v>
      </c>
      <c r="AQ31" s="1206">
        <f t="shared" ref="AQ31:AQ41" ca="1" si="33">AO31-AP31</f>
        <v>200.28000000000003</v>
      </c>
      <c r="AR31" s="1313">
        <f t="shared" ca="1" si="8"/>
        <v>0.17499999999999999</v>
      </c>
      <c r="AZ31" s="1204">
        <f t="shared" ref="AZ31:AZ41" si="34">IF($G31=1,$P31*$T31*0.066,0)+IF($G31=1.5,$P31*$T31*0.066,0)+IF($G31=2,$P31*$T31*0.056,0)+IF($G31=2.5,$P31*$T31*0.056,0)+IF($G31=3,$P31*$T31*0.052,0)+IF($G31=3.5,$P31*$T31*0.052,0)+IF($G31=4,$P31*$T31*0.052,0)</f>
        <v>0.52800000000000002</v>
      </c>
      <c r="BA31" s="1231" t="str">
        <f t="shared" ref="BA31:BA41" si="35">CONCATENATE(TRUNC(AZ31,0),":",INT((AZ31-(TRUNC(AZ31,0)))*60),":","00")</f>
        <v>0:31:00</v>
      </c>
      <c r="BB31" s="1273">
        <f t="shared" ref="BB31:BB41" ca="1" si="36">J31*K31*(Z31+AA31)/10000</f>
        <v>5602.9874999999993</v>
      </c>
      <c r="BC31" s="1232" t="s">
        <v>169</v>
      </c>
      <c r="BE31" s="5">
        <f t="shared" ref="BE31:BE33" si="37">LOOKUP($E31,$B$13:$B$26,$A$13:$A$26)</f>
        <v>12</v>
      </c>
      <c r="BF31" s="919">
        <f t="shared" ref="BF31:BF33" si="38">IF(AND(R31&gt;0,H31&gt;0,H31&lt;=2,G31&lt;1.5),W31,0)</f>
        <v>0</v>
      </c>
      <c r="BG31" s="376">
        <f t="shared" ref="BG31:BG33" si="39">IF(AND(H31&gt;2,G31=1),W31,0)</f>
        <v>0</v>
      </c>
      <c r="BH31" s="376">
        <f t="shared" ref="BH31:BH33" si="40">IF(G31&gt;1,W31,0)</f>
        <v>0</v>
      </c>
      <c r="BM31" s="745">
        <v>6</v>
      </c>
      <c r="BN31" s="745" t="str">
        <f t="shared" ref="BN31:BN33" si="41">IF(AND(BM31&gt;0,BM31&lt;6),VLOOKUP($BM31,$IS$17:$IT$23,2)," ")</f>
        <v xml:space="preserve"> </v>
      </c>
      <c r="BO31" s="745">
        <f t="shared" ref="BO31:BO33" si="42">I31</f>
        <v>42</v>
      </c>
      <c r="BP31" s="745">
        <f t="shared" ref="BP31:BP33" ca="1" si="43">AB31</f>
        <v>29375</v>
      </c>
      <c r="BQ31" s="745">
        <f>IF(AND(BO31&gt;0,BO31&lt;=90),90,0)+IF(AND(BO31&gt;90,BO31&lt;=130),130,0)+IF(AND(BO31&gt;130,BO31&lt;=160),160,0)+IF(AND(BO31&gt;160,BO31&lt;=200),200,0)+IF(BO31&gt;200,201,0)</f>
        <v>90</v>
      </c>
      <c r="BR31" s="1429" t="str">
        <f t="shared" ref="BR31:BR41" si="44">LOOKUP($E31,$B$14:$B$26,$C$14:$C$26)</f>
        <v>СityLine</v>
      </c>
      <c r="CA31" s="1069">
        <f t="shared" ref="CA31:CA41" si="45">IF(AND(H31&lt;=2,G31&lt;1.5),W31,0)</f>
        <v>0</v>
      </c>
      <c r="CB31" s="1069">
        <f t="shared" ref="CB31:CB41" si="46">IF(AND(H31&gt;2,G31&lt;1.5),W31,0)</f>
        <v>0</v>
      </c>
      <c r="CC31" s="1069">
        <f t="shared" ref="CC31:CC41" si="47">IF(G31&lt;1.5,W31,0)</f>
        <v>0</v>
      </c>
      <c r="CD31" s="1069">
        <f t="shared" ref="CD31:CD41" si="48">IF(AND(H31&lt;=2,G31&gt;1,G31&lt;2.4),W31,0)</f>
        <v>0</v>
      </c>
      <c r="CE31" s="1069">
        <f t="shared" ref="CE31:CE41" si="49">IF(AND(H31&gt;2,G31&gt;1,G31&lt;2.4),W31,0)</f>
        <v>0</v>
      </c>
      <c r="CF31" s="1069">
        <f t="shared" ref="CF31:CF41" si="50">IF(AND(G31&gt;1,G31&lt;2.4),W31,0)</f>
        <v>0</v>
      </c>
      <c r="CG31" s="1069">
        <f t="shared" ref="CG31:CG41" si="51">IF(AND(H31&lt;=2,G31&gt;=2.5,G31&lt;3.4),W31,0)</f>
        <v>0</v>
      </c>
      <c r="CH31" s="1069">
        <f t="shared" ref="CH31:CH41" si="52">IF(AND(H31&gt;2,G31&gt;=2.5,G31&lt;3.4),W31,0)</f>
        <v>0</v>
      </c>
      <c r="CI31" s="1069">
        <f t="shared" ref="CI31:CI41" si="53">IF(AND(G31&gt;=2.5,G31&lt;3.4),W31,0)</f>
        <v>0</v>
      </c>
      <c r="CJ31" s="1069">
        <f t="shared" ref="CJ31:CJ41" si="54">IF(AND(H31&lt;=2,G31&gt;=3.5,G31&lt;4.5),W31,0)</f>
        <v>0</v>
      </c>
      <c r="CK31" s="1069">
        <f t="shared" ref="CK31:CK41" si="55">IF(AND(H31&gt;2,G31&gt;=3.5,G31&lt;4.5),W31,0)</f>
        <v>0</v>
      </c>
      <c r="CL31" s="1069">
        <f t="shared" ref="CL31:CL41" si="56">IF(AND(G31&gt;=3.5,G31&lt;4.5),W31,0)</f>
        <v>0</v>
      </c>
      <c r="CM31" s="6">
        <f ca="1">IF(AND(B31&gt;0,R31=0),VLOOKUP(Z30/T30/INT(G30)*INT(G30),INDIRECT(BR30),H30+8*(AG30-1)),VLOOKUP(Z31/T31/INT(G31)*INT(G31),INDIRECT(BR31),H31+8*(AG31-1)))</f>
        <v>17.5</v>
      </c>
      <c r="CN31" s="6">
        <f ca="1">IF(CO31=150001,CM31,IF(AND(B31&gt;0,R31=0),INDEX(INDIRECT(BR30),MATCH(Z30/T30/INT(G30)*INT(G30),INDEX(INDIRECT(BR30),0,1))+1,H30+8*(AG30-1)),INDEX(INDIRECT(BR31),MATCH(Z31/T31/INT(G31)*INT(G31),INDEX(INDIRECT(BR31),0,1))+1,H31+8*(AG31-1))))</f>
        <v>14.5</v>
      </c>
      <c r="CO31" s="6">
        <f ca="1">IF(AND(B31&gt;0,R31=0),VLOOKUP(Z30/T30/INT(G30)*INT(G30),INDIRECT(BR30),1),VLOOKUP(Z31/T31/INT(G31)*INT(G31),INDIRECT(BR31),1))</f>
        <v>25000</v>
      </c>
      <c r="CP31" s="6">
        <f ca="1">IF(CO30=150001,150000,IF(AND(B31&gt;0,R31=0),INDEX(INDIRECT(BR30),MATCH(Z30/T31/INT(G30)*INT(G30),INDEX(INDIRECT(BR30),0,1))+1,1),INDEX(INDIRECT(BR31),MATCH(Z31/T31/INT(G31)*INT(G31),INDEX(INDIRECT(BR31),0,1))+1,1)))</f>
        <v>30000</v>
      </c>
      <c r="CQ31" s="6">
        <f>IF(AND(B31&gt;0,R31=0),Z30/T30/INT(G30)*INT(G30),Z31/T31/INT(G31)*INT(G31))</f>
        <v>25000</v>
      </c>
      <c r="CR31" s="6">
        <f ca="1">IF(AND(B31&gt;0,R31=0),VLOOKUP(Z30/T30/INT(G30)*INT(G30),INDIRECT(BR30),1),VLOOKUP(Z31/T31/INT(G31)*INT(G31),INDIRECT(BR31),1))</f>
        <v>25000</v>
      </c>
      <c r="CS31" s="1309">
        <f ca="1">ROUND((CM31-CN31)/(CO31-CP31)*(CQ31-CR31),3)</f>
        <v>0</v>
      </c>
      <c r="CT31" s="1310">
        <f ca="1">IF(AND(B31&gt;0,R31=0),VLOOKUP(Z30/T30/INT(G30)*INT(G30),INDIRECT(BR30),H30+8*(AG30-1))+((VLOOKUP(Z30/T30/INT(G30)*INT(G30),INDIRECT(BR30),H30+8*(AG30-1))-IF(CO30=150001,CM30,INDEX(INDIRECT(BR30),MATCH(Z30/T30/INT(G30)*INT(G30),INDEX(INDIRECT(BR30),0,1))+1,H30+8*(AG30-1))))/(VLOOKUP(Z30/T30/INT(G30)*INT(G30),INDIRECT(BR30),1)-IF(CO30=150001,150000,INDEX(INDIRECT(BR30),MATCH(Z30/T30/INT(G30)*INT(G30),INDEX(INDIRECT(BR30),0,1))+1,1)))*(Z30/T30/INT(G30)*INT(G30)-VLOOKUP(Z30/T30/INT(G30)*INT(G30),INDIRECT(BR30),1))),VLOOKUP(Z31/T31/INT(G31)*INT(G31),INDIRECT(BR31),H31+8*(AG31-1))+((VLOOKUP(Z31/T31/INT(G31)*INT(G31),INDIRECT(BR31),H31+8*(AG31-1))-IF(CO31=150001,CM31,INDEX(INDIRECT(BR31),MATCH(Z31/T31/INT(G31)*INT(G31),INDEX(INDIRECT(BR31),0,1))+1,H31+8*(AG31-1))))/(VLOOKUP(Z31/T31/INT(G31)*INT(G31),INDIRECT(BR31),1)-IF(CO31=150001,150000,INDEX(INDIRECT(BR31),MATCH(Z31/T31/INT(G31)*INT(G31),INDEX(INDIRECT(BR31),0,1))+1,1)))*(Z31/T31/INT(G31)*INT(G31)-VLOOKUP(Z31/T31/INT(G31)*INT(G31),INDIRECT(BR31),1))))</f>
        <v>17.5</v>
      </c>
      <c r="CU31" s="6">
        <f t="shared" ref="CU31:CU41" ca="1" si="57">VLOOKUP(Z31/T31*M31,INDIRECT(BR31),$F31+1)</f>
        <v>10.3</v>
      </c>
      <c r="CV31" s="6">
        <f t="shared" ref="CV31:CV41" ca="1" si="58">INDEX(INDIRECT(BR31),MATCH(Z31/T31*M31,INDEX(INDIRECT(BR31),0,1))+1,$F31+1)</f>
        <v>9.5</v>
      </c>
      <c r="CW31" s="6">
        <f t="shared" ref="CW31:CW41" ca="1" si="59">VLOOKUP(Z31/T31*M31,INDIRECT(BR31),1)</f>
        <v>25000</v>
      </c>
      <c r="CX31" s="6">
        <f t="shared" ref="CX31:CX41" ca="1" si="60">INDEX(INDIRECT(BR31),MATCH(Z31/T31*M31,INDEX(INDIRECT(BR31),0,1))+1,1)</f>
        <v>30000</v>
      </c>
      <c r="CY31" s="6">
        <f t="shared" ref="CY31:CY41" si="61">Z31/T31*M31</f>
        <v>25000</v>
      </c>
      <c r="CZ31" s="6">
        <f t="shared" ref="CZ31:CZ41" ca="1" si="62">VLOOKUP(Z31/T31*M31,INDIRECT(BR31),1)</f>
        <v>25000</v>
      </c>
      <c r="DA31" s="1309">
        <f t="shared" ref="DA31:DA41" ca="1" si="63">ROUND((CU31-CV31)/(CW31-CX31)*(CY31-CZ31),3)</f>
        <v>0</v>
      </c>
      <c r="DC31" s="1418" t="str">
        <f t="shared" ref="DC31:DC41" si="64">IF(B31&gt;0,R46,0)</f>
        <v>газетная</v>
      </c>
      <c r="DD31" s="2">
        <f t="shared" ref="DD31:DD41" si="65">F31</f>
        <v>2</v>
      </c>
      <c r="DE31" s="1419">
        <f t="shared" si="9"/>
        <v>42</v>
      </c>
      <c r="DF31" s="2" t="str">
        <f t="shared" ref="DF31:DF41" si="66">IF(B31&gt;0,BR31,0)</f>
        <v>СityLine</v>
      </c>
      <c r="DG31" s="1420">
        <f t="shared" si="10"/>
        <v>0</v>
      </c>
      <c r="DH31" s="1421">
        <f t="shared" ref="DH31:DH41" si="67">IF(E31&gt;0,IF(OR($DC31="меловка",$DC31="этикеточная"),ROUND(IF($DE31&lt;=90,LOOKUP($DD31,$DC$22:$DC$24,$DE$22:$DE$24),0)+IF(AND($DE31&gt;90,$DE31&lt;=200),LOOKUP($DD31,$DC$22:$DC$24,$DD$22:$DD$24),0)+IF($DE31&gt;200,LOOKUP($DD31,$DC$22:$DC$24,$DF$22:$DF$24),0),3),"0")+IF(OR($DC31="офсетная",$DC31="газетная"),ROUND(IF($DE31&lt;=70,LOOKUP($DD31,$DC$22:$DC$24,$DI$22:$DI$24),0)+IF(AND($DE31&gt;70,$DE31&lt;=200),LOOKUP($DD31,$DC$22:$DC$24,$DH$22:$DH$24),0)+IF($DE31&gt;200,LOOKUP($DD31,$DC$22:$DC$24,$DJ$22:$DJ$24),0),3),"0")+IF($DC31="картон",ROUND(IF($DE31&lt;=90,LOOKUP($DD31,$DC$22:$DC$24,$DD$22:$DD$24),0)+IF(AND($DE31&gt;90,$DE31&lt;=200),LOOKUP($DD31,$DC$22:$DC$24,$DD$22:$DD$24),0)+IF($DE31&gt;200,LOOKUP($DD31,$DC$22:$DC$24,$DF$22:$DF$24),0),3),"0"),0)</f>
        <v>0.20599999999999999</v>
      </c>
      <c r="DI31" s="1422">
        <f t="shared" ref="DI31:DI41" si="68">IF($DF31="Komori_540",ROUND($DG31*DH31/1000,3),0)</f>
        <v>0</v>
      </c>
      <c r="DJ31" s="1421" t="str">
        <f t="shared" ref="DJ31:DJ41" si="69">IF($DG31&gt;0,ROUND(IF($CY31&lt;500,LOOKUP($DD31,$DC$22:$DC$24,$DG$22:$DG$24),"0"),3),"")</f>
        <v/>
      </c>
      <c r="DK31" s="1423">
        <f t="shared" ref="DK31:DK41" si="70">IF($DF31="Komori_540",ROUND($DG31*DJ31/1000,3),0)</f>
        <v>0</v>
      </c>
      <c r="DM31" s="1421">
        <f t="shared" ref="DM31:DM41" si="71">IF(E31&gt;0,IF(OR($DC31="меловка",$DC31="этикеточная"),ROUND(IF($DE31&lt;=90,LOOKUP($DD31,$DK$22:$DK$24,$DM$22:$DM$24),0)+IF(AND($DE31&gt;90,$DE31&lt;=200),LOOKUP($DD31,$DK$22:$DK$24,$DL$22:$DL$24),0)+IF($DE31&gt;200,LOOKUP($DD31,$DK$22:$DK$24,$DN$22:$DN$24),0),3),"0")+IF(OR($DC31="офсетная",$DC31="газетная"),ROUND(IF($DE31&lt;=70,LOOKUP($DD31,$DK$22:$DK$24,$DQ$22:$DQ$24),0)+IF(AND($DE31&gt;70,$DE31&lt;=200),LOOKUP($DD31,$DK$22:$DK$24,$DP$22:$DP$24),0)+IF($DE31&gt;200,LOOKUP($DD31,$DK$22:$DK$24,$DR$22:$DR$24),0),3),"0")+IF($DC31="картон",ROUND(IF($DE31&lt;=90,LOOKUP($DD31,$DK$22:$DK$24,$DL$22:$DL$24),0)+IF(AND($DE31&gt;90,$DE31&lt;=200),LOOKUP($DD31,$DK$22:$DK$24,$DL$22:$DL$24),0)+IF($DE31&gt;200,LOOKUP($DD31,$DK$22:$DK$24,$DN$22:$DN$24),0),3),"0"),0)</f>
        <v>0.15</v>
      </c>
      <c r="DN31" s="132">
        <f t="shared" ref="DN31:DN41" si="72">IF($DF31="Ryobi",ROUND($DG31*DM31/1000,3),0)</f>
        <v>0</v>
      </c>
      <c r="DO31" s="1417" t="str">
        <f t="shared" ref="DO31:DO41" si="73">IF($DG31&gt;0,ROUND(IF($DG31&lt;500,LOOKUP($DD31,$DK$22:$DK$24,$DO$22:$DO$24),"0"),3),"")</f>
        <v/>
      </c>
      <c r="DP31" s="132">
        <f t="shared" ref="DP31:DP41" si="74">IF($DF31="Ryobi",ROUND($DG31*DO31/1000,3),0)</f>
        <v>0</v>
      </c>
      <c r="DR31" s="566">
        <f t="shared" ref="DR31:DR41" si="75">IF($DF31="Komori_540",IF(OR($DC31="меловка",$DC31="этикеточная"),ROUND(IF($DE31&lt;=90,LOOKUP($DD31,$DC$25:$DC$27,$DE$25:$DE$27),0)+IF(AND($DE31&gt;90,$DE31&lt;=200),LOOKUP($DD31,$DC$25:$DC$27,$DD$25:$DD$27),0)+IF($DE31&gt;200,LOOKUP($DD31,$DC$25:$DC$27,$DF$25:$DF$27),0),3),"0")+IF(OR($DC31="офсетная",$DC31="газетная"),ROUND(IF($DE31&lt;=70,LOOKUP($DD31,$DC$25:$DC$27,$DI$25:$DI$27),0)+IF(AND($DE31&gt;70,$DE31&lt;=200),LOOKUP($DD31,$DC$25:$DC$27,$DH$25:$DH$27),0)+IF($DE31&gt;200,LOOKUP($DD31,$DC$25:$DC$27,$DJ$25:$DJ$27),0),3),"0")+IF($DC31="картон",ROUND(IF($DE31&lt;=90,LOOKUP($DD31,$DC$25:$DC$27,$DD$25:$DD$27),0)+IF(AND($DE31&gt;90,$DE31&lt;=200),LOOKUP($DD31,$DC$25:$DC$27,$DD$25:$DD$27),0)+IF($DE31&gt;200,LOOKUP($DD31,$DC$25:$DC$27,$DF$25:$DF$27),0),3),"0"),0)</f>
        <v>0</v>
      </c>
      <c r="DS31" s="566">
        <f t="shared" ref="DS31:DS41" si="76">IF($DF31="Komori_540",IF($DG31&gt;0,ROUND(IF($DG31&lt;500,LOOKUP($DD31,$DC$25:$DC$27,$DG$25:$DG$27)-LOOKUP($DD31,$DC$25:$DC$27,$DD$25:$DD$27),"0"),3),"0"),0)</f>
        <v>0</v>
      </c>
      <c r="DT31" s="1502">
        <f t="shared" ref="DT31:DT41" si="77">DG31*(DR31+DS31)/1000</f>
        <v>0</v>
      </c>
      <c r="DU31" s="1503"/>
      <c r="DV31" s="566">
        <f t="shared" ref="DV31:DV41" si="78">IF($DF31="Ryobi",IF(OR($DC31="меловка",$DC31="этикеточная"),ROUND(IF($DE31&lt;=90,LOOKUP($DD31,$DK$25:$DK$27,$DM$25:$DM$27),0)+IF(AND($DE31&gt;90,$DE31&lt;=200),LOOKUP($DD31,$DK$25:$DK$27,$DL$25:$DL$27),0)+IF($DE31&gt;200,LOOKUP($DD31,$DK$25:$DK$27,$DN$25:$DN$27),0),3),"0")+IF(OR($DC31="офсетная",$DC31="газетная"),ROUND(IF($DE31&lt;=70,LOOKUP($DD31,$DK$25:$DK$27,$DQ$25:$DQ$27),0)+IF(AND($DE31&gt;70,$DE31&lt;=200),LOOKUP($DD31,$DK$25:$DK$27,$DP$25:$DP$27),0)+IF($DE31&gt;200,LOOKUP($DD31,$DK$25:$DK$27,$DR$25:$DR$27),0),3),"0")+IF($DC31="картон",ROUND(IF($DE31&lt;=90,LOOKUP($DD31,$DK$25:$DK$27,$DL$25:$DL$27),0)+IF(AND($DE31&gt;90,$DE31&lt;=200),LOOKUP($DD31,$DK$25:$DK$27,$DL$25:$DL$27),0)+IF($DE31&gt;200,LOOKUP($DD31,$DK$25:$DK$27,$DN$25:$DN$27),0),3),"0"),0)</f>
        <v>0</v>
      </c>
      <c r="DW31" s="566">
        <f t="shared" ref="DW31:DW41" si="79">IF($DF31="Ryobi",IF($DG31&gt;0,ROUND(IF($DG31&lt;500,LOOKUP($DD31,$DK$25:$DK$27,$DO$25:$DO$27)-LOOKUP($DD31,$DK$25:$DK$27,$DL$25:$DL$27),"0"),3),"0"),0)</f>
        <v>0</v>
      </c>
      <c r="DX31" s="1502">
        <f t="shared" ref="DX31:DX41" si="80">DG31*(DV31+DW31)/1000</f>
        <v>0</v>
      </c>
      <c r="IK31" s="790"/>
      <c r="IL31" s="1863">
        <v>30</v>
      </c>
      <c r="IM31" s="1912" t="s">
        <v>1327</v>
      </c>
      <c r="IN31" s="1863">
        <v>2</v>
      </c>
      <c r="IO31" s="1863">
        <v>5</v>
      </c>
      <c r="IP31" s="791"/>
      <c r="IT31" s="795"/>
      <c r="IU31" s="787"/>
      <c r="KB31" s="742">
        <f>IF(AND($KF31="газетная",$KM31=42),Мат!$P$194,0)+IF(AND($KF31="газетная",$KM31=45),Мат!$P$195,0)+IF(AND($KF31="газетная",$KM31=48.8),Мат!$P$196,0)+IF(AND($KF31="офсетная",$KM31=58),Мат!$P$192,0)+IF(AND($KF31="офсетная",$KM31=60),Мат!$P$198,0)</f>
        <v>32.25</v>
      </c>
      <c r="KC31" s="1198">
        <f t="shared" ref="KC31:KC41" si="81">B31</f>
        <v>5</v>
      </c>
      <c r="KD31" s="1325" t="str">
        <f>IF(OR(KF31="газетная",KF31="офсетная",KF31="писчая"),Кальк!$E$10,"del")</f>
        <v>202210367</v>
      </c>
      <c r="KE31" s="1117"/>
      <c r="KF31" s="1325" t="str">
        <f t="shared" si="11"/>
        <v>газетная</v>
      </c>
      <c r="KG31" s="1325" t="str">
        <f>IF(KF31&gt;0,Заказ!$D$8,0)</f>
        <v>Про город К-Чепецк № 13 от 02.04.2022</v>
      </c>
      <c r="KH31" s="1117"/>
      <c r="KI31" s="1323" t="str">
        <f t="shared" si="12"/>
        <v>СityLine</v>
      </c>
      <c r="KJ31" s="1117"/>
      <c r="KK31" s="1324">
        <f t="shared" si="13"/>
        <v>33</v>
      </c>
      <c r="KL31" s="1323">
        <f t="shared" si="14"/>
        <v>57.8</v>
      </c>
      <c r="KM31" s="1323">
        <f t="shared" si="15"/>
        <v>42</v>
      </c>
      <c r="KN31" s="1323">
        <f t="shared" si="16"/>
        <v>4</v>
      </c>
      <c r="KO31" s="1326">
        <f t="shared" si="17"/>
        <v>8</v>
      </c>
      <c r="KP31" s="1119">
        <f>IF(KN31&gt;0,$KP$30,0)</f>
        <v>25000</v>
      </c>
      <c r="KQ31" s="1315">
        <f>IF(IF(W31=0,W30,W31)=0,KQ30,IF(W31=0,W30,W31))</f>
        <v>25000</v>
      </c>
      <c r="KR31" s="1327">
        <f t="shared" si="18"/>
        <v>8</v>
      </c>
      <c r="KS31" s="1287" t="str">
        <f t="shared" ref="KS31:KS41" si="82">CONCATENATE(TRUNC(AZ31,0),":",INT((AZ31-(TRUNC(AZ31,0)))*60),":","00")</f>
        <v>0:31:00</v>
      </c>
      <c r="KT31" s="566"/>
      <c r="KU31" s="1117"/>
      <c r="KV31" s="1117"/>
      <c r="KW31" s="1189">
        <f t="shared" ref="KW31:KW41" ca="1" si="83">AO31</f>
        <v>235.33</v>
      </c>
      <c r="KX31" s="1314">
        <f ca="1">ROUND(IF(IF(W31=0,W30+(W30*AR30),W31+(W31*AR31))=0,KX30,IF(W31=0,W30+(W30*AR30),W31+(W31*AR31))),0)</f>
        <v>29375</v>
      </c>
      <c r="KY31" s="1275">
        <f t="shared" ref="KY31:KY41" ca="1" si="84">ROUND(BB31,0)</f>
        <v>5603</v>
      </c>
      <c r="KZ31" s="1119"/>
      <c r="LA31" s="1119"/>
      <c r="LB31" s="1119"/>
      <c r="LC31" s="1255"/>
      <c r="LD31" s="1255"/>
      <c r="LE31" s="1255"/>
      <c r="LF31" s="1189">
        <f t="shared" ref="LF31:LF41" ca="1" si="85">AP31</f>
        <v>35.049999999999997</v>
      </c>
      <c r="LG31" s="1314">
        <f ca="1">ROUND(IF(IF(W31=0,W30*AR30,W31*AR31)=0,LG30,IF(W31=0,W30*AR30,W31*AR31)),0)</f>
        <v>4375</v>
      </c>
      <c r="LH31" s="1275">
        <f t="shared" ref="LH31:LH41" ca="1" si="86">ROUND(IF(LF31&gt;0,(LF31*10000000/(J31*K31*I31))*J31*K31/10000,0),0)</f>
        <v>835</v>
      </c>
      <c r="LI31" s="1119"/>
      <c r="LJ31" s="1119"/>
      <c r="LK31" s="1119"/>
      <c r="LL31" s="1121">
        <f t="shared" ref="LL31:LL41" ca="1" si="87">AR31</f>
        <v>0.17499999999999999</v>
      </c>
      <c r="LM31" s="1117"/>
      <c r="LN31" s="1119"/>
      <c r="LO31" s="1119"/>
      <c r="LP31" s="1119"/>
      <c r="LQ31" s="1119"/>
      <c r="LR31" s="1255"/>
      <c r="LS31" s="1255"/>
      <c r="LT31" s="1119"/>
      <c r="LU31" s="1117"/>
      <c r="LV31" s="1286" t="str">
        <f t="shared" ca="1" si="19"/>
        <v>тип</v>
      </c>
      <c r="LW31" s="1289">
        <f ca="1">IF(B31&gt;0,LOOKUP($B31,Мат!$A$191:$A$312,Мат!$R$191:$R$312),"")</f>
        <v>555</v>
      </c>
      <c r="LX31" s="1290">
        <f t="shared" ref="LX31:LX41" si="88">AG31</f>
        <v>2</v>
      </c>
    </row>
    <row r="32" spans="1:337" ht="15.75" customHeight="1" x14ac:dyDescent="0.2">
      <c r="A32" s="1184">
        <f t="shared" si="20"/>
        <v>3</v>
      </c>
      <c r="B32" s="116"/>
      <c r="C32" s="106" t="str">
        <f>IF(B32&gt;0,VLOOKUP($B32,Мат!$A$190:$N$314,2)," ")</f>
        <v xml:space="preserve"> </v>
      </c>
      <c r="D32" s="106"/>
      <c r="E32" s="117"/>
      <c r="F32" s="942"/>
      <c r="G32" s="942">
        <v>1</v>
      </c>
      <c r="H32" s="942"/>
      <c r="I32" s="942"/>
      <c r="J32" s="943"/>
      <c r="K32" s="942"/>
      <c r="L32" s="942"/>
      <c r="M32" s="943">
        <v>1</v>
      </c>
      <c r="N32" s="943"/>
      <c r="O32" s="922">
        <f t="shared" si="21"/>
        <v>1</v>
      </c>
      <c r="P32" s="944"/>
      <c r="Q32" s="944"/>
      <c r="R32" s="944"/>
      <c r="S32" s="924">
        <f t="shared" ref="S32:S33" si="89">MAX(P32*T32,P32)*$S$27</f>
        <v>0</v>
      </c>
      <c r="T32" s="925">
        <f t="shared" si="22"/>
        <v>1</v>
      </c>
      <c r="U32" s="1073">
        <f t="shared" si="23"/>
        <v>0</v>
      </c>
      <c r="V32" s="1073">
        <f t="shared" ref="V32:V33" si="90">U32*T32</f>
        <v>0</v>
      </c>
      <c r="W32" s="1073">
        <f t="shared" si="24"/>
        <v>0</v>
      </c>
      <c r="X32" s="1312" t="e">
        <f ca="1">IF(AND(B32&gt;0,R32=0),ROUND(IF(B47&lt;8,VLOOKUP(Z31/T31*M31,INDIRECT(BR31),$F31+1)+DA31,VLOOKUP(Z31/T31,INDIRECT(BR31),H31+8*(AG31-1))+CS31),2),ROUND(IF(B47&lt;8,VLOOKUP(Z32/T32*M32,INDIRECT(BR32),$F32+1)+DA32,VLOOKUP(Z32/T32,INDIRECT(BR32),H32+8*(AG32-1))+CS32),2))</f>
        <v>#N/A</v>
      </c>
      <c r="Y32" s="926">
        <f t="shared" si="25"/>
        <v>0</v>
      </c>
      <c r="Z32" s="1075">
        <f t="shared" ref="Z32:Z41" si="91">IF(G32=1.5,IF(L32&gt;0,IF(T32=AH32,CEILING($K$1/M32*T32/O32*INT(G32-0.5)+0.9999999,1)-1,CEILING($K$1*N32/L32/T32*INT(G32-0.5),1)*T32),0),IF(L32&gt;0,IF(T32=AH32,CEILING($K$1/M32*T32/O32*INT(G32)+0.9999999,1)-1,CEILING($K$1*N32/L32/T32*INT(G32),1)*T32),0))</f>
        <v>0</v>
      </c>
      <c r="AA32" s="1073">
        <f t="shared" si="26"/>
        <v>0</v>
      </c>
      <c r="AB32" s="1073">
        <f>IF(B31=B32,Z32+AA32+AB31,Z32+AA32)</f>
        <v>0</v>
      </c>
      <c r="AC32" s="1076">
        <f t="shared" ref="AC32:AC41" si="92">AB32*I32*J32*K32/10000000</f>
        <v>0</v>
      </c>
      <c r="AD32" s="1077" t="e">
        <f t="shared" si="4"/>
        <v>#N/A</v>
      </c>
      <c r="AE32" s="188" t="e">
        <f>VLOOKUP($B32,Мат!$A$191:$N$314,5)</f>
        <v>#N/A</v>
      </c>
      <c r="AF32" s="19">
        <f t="shared" si="27"/>
        <v>1</v>
      </c>
      <c r="AG32" s="1300">
        <f t="shared" si="5"/>
        <v>1</v>
      </c>
      <c r="AH32" s="19">
        <f t="shared" si="28"/>
        <v>1</v>
      </c>
      <c r="AI32" s="189">
        <f t="shared" ref="AI32:AI33" si="93">IF(Q32&gt;0,P32*R32/Q32,1)</f>
        <v>1</v>
      </c>
      <c r="AJ32" s="376">
        <f t="shared" si="6"/>
        <v>0</v>
      </c>
      <c r="AK32" s="376">
        <f t="shared" si="7"/>
        <v>0</v>
      </c>
      <c r="AL32" s="11">
        <v>5</v>
      </c>
      <c r="AM32" s="11">
        <f t="shared" si="29"/>
        <v>0</v>
      </c>
      <c r="AN32" s="11" t="str">
        <f t="shared" si="30"/>
        <v/>
      </c>
      <c r="AO32" s="1201">
        <f t="shared" si="31"/>
        <v>0</v>
      </c>
      <c r="AP32" s="1201">
        <f t="shared" si="32"/>
        <v>0</v>
      </c>
      <c r="AQ32" s="1206">
        <f t="shared" si="33"/>
        <v>0</v>
      </c>
      <c r="AR32" s="1313">
        <f t="shared" si="8"/>
        <v>0</v>
      </c>
      <c r="AZ32" s="1204">
        <f t="shared" si="34"/>
        <v>0</v>
      </c>
      <c r="BA32" s="1231" t="str">
        <f t="shared" si="35"/>
        <v>0:0:00</v>
      </c>
      <c r="BB32" s="1273">
        <f t="shared" si="36"/>
        <v>0</v>
      </c>
      <c r="BC32" s="1232" t="s">
        <v>169</v>
      </c>
      <c r="BE32" s="5">
        <f t="shared" si="37"/>
        <v>0</v>
      </c>
      <c r="BF32" s="919">
        <f t="shared" si="38"/>
        <v>0</v>
      </c>
      <c r="BG32" s="376">
        <f t="shared" si="39"/>
        <v>0</v>
      </c>
      <c r="BH32" s="376">
        <f t="shared" si="40"/>
        <v>0</v>
      </c>
      <c r="BM32" s="745">
        <v>6</v>
      </c>
      <c r="BN32" s="745" t="str">
        <f t="shared" si="41"/>
        <v xml:space="preserve"> </v>
      </c>
      <c r="BO32" s="745">
        <f t="shared" si="42"/>
        <v>0</v>
      </c>
      <c r="BP32" s="745">
        <f t="shared" si="43"/>
        <v>0</v>
      </c>
      <c r="BQ32" s="745">
        <f t="shared" ref="BQ32:BQ33" si="94">IF(AND(BO32&gt;0,BO32&lt;=90),90,0)+IF(AND(BO32&gt;90,BO32&lt;=130),130,0)+IF(AND(BO32&gt;130,BO32&lt;=160),160,0)+IF(AND(BO32&gt;160,BO32&lt;=200),200,0)+IF(BO32&gt;200,201,0)</f>
        <v>0</v>
      </c>
      <c r="BR32" s="1429" t="e">
        <f t="shared" si="44"/>
        <v>#N/A</v>
      </c>
      <c r="CA32" s="1069">
        <f t="shared" si="45"/>
        <v>0</v>
      </c>
      <c r="CB32" s="1069">
        <f t="shared" si="46"/>
        <v>0</v>
      </c>
      <c r="CC32" s="1069">
        <f t="shared" si="47"/>
        <v>0</v>
      </c>
      <c r="CD32" s="1069">
        <f t="shared" si="48"/>
        <v>0</v>
      </c>
      <c r="CE32" s="1069">
        <f t="shared" si="49"/>
        <v>0</v>
      </c>
      <c r="CF32" s="1069">
        <f t="shared" si="50"/>
        <v>0</v>
      </c>
      <c r="CG32" s="1069">
        <f t="shared" si="51"/>
        <v>0</v>
      </c>
      <c r="CH32" s="1069">
        <f t="shared" si="52"/>
        <v>0</v>
      </c>
      <c r="CI32" s="1069">
        <f t="shared" si="53"/>
        <v>0</v>
      </c>
      <c r="CJ32" s="1069">
        <f t="shared" si="54"/>
        <v>0</v>
      </c>
      <c r="CK32" s="1069">
        <f t="shared" si="55"/>
        <v>0</v>
      </c>
      <c r="CL32" s="1069">
        <f t="shared" si="56"/>
        <v>0</v>
      </c>
      <c r="CM32" s="6" t="e">
        <f t="shared" ref="CM32:CM41" ca="1" si="95">IF(AND(B32&gt;0,R32=0),VLOOKUP(Z31/T31/INT(G31)*INT(G31),INDIRECT(BR31),H31+8*(AG31-1)),VLOOKUP(Z32/T32/INT(G32)*INT(G32),INDIRECT(BR32),H32+8*(AG32-1)))</f>
        <v>#N/A</v>
      </c>
      <c r="CN32" s="6" t="e">
        <f t="shared" ref="CN32:CN41" ca="1" si="96">IF(CO32=150001,CM32,IF(AND(B32&gt;0,R32=0),INDEX(INDIRECT(BR31),MATCH(Z31/T31/INT(G31)*INT(G31),INDEX(INDIRECT(BR31),0,1))+1,H31+8*(AG31-1)),INDEX(INDIRECT(BR32),MATCH(Z32/T32/INT(G32)*INT(G32),INDEX(INDIRECT(BR32),0,1))+1,H32+8*(AG32-1))))</f>
        <v>#N/A</v>
      </c>
      <c r="CO32" s="6" t="e">
        <f t="shared" ref="CO32:CO41" ca="1" si="97">IF(AND(B32&gt;0,R32=0),VLOOKUP(Z31/T31/INT(G31)*INT(G31),INDIRECT(BR31),1),VLOOKUP(Z32/T32/INT(G32)*INT(G32),INDIRECT(BR32),1))</f>
        <v>#N/A</v>
      </c>
      <c r="CP32" s="6" t="e">
        <f t="shared" ref="CP32:CP41" ca="1" si="98">IF(CO31=150001,150000,IF(AND(B32&gt;0,R32=0),INDEX(INDIRECT(BR31),MATCH(Z31/T32/INT(G31)*INT(G31),INDEX(INDIRECT(BR31),0,1))+1,1),INDEX(INDIRECT(BR32),MATCH(Z32/T32/INT(G32)*INT(G32),INDEX(INDIRECT(BR32),0,1))+1,1)))</f>
        <v>#N/A</v>
      </c>
      <c r="CQ32" s="6">
        <f t="shared" ref="CQ32:CQ41" si="99">IF(AND(B32&gt;0,R32=0),Z31/T31/INT(G31)*INT(G31),Z32/T32/INT(G32)*INT(G32))</f>
        <v>0</v>
      </c>
      <c r="CR32" s="6" t="e">
        <f t="shared" ref="CR32:CR41" ca="1" si="100">IF(AND(B32&gt;0,R32=0),VLOOKUP(Z31/T31/INT(G31)*INT(G31),INDIRECT(BR31),1),VLOOKUP(Z32/T32/INT(G32)*INT(G32),INDIRECT(BR32),1))</f>
        <v>#N/A</v>
      </c>
      <c r="CS32" s="1309" t="e">
        <f t="shared" ref="CS32:CS41" ca="1" si="101">ROUND((CM32-CN32)/(CO32-CP32)*(CQ32-CR32),3)</f>
        <v>#N/A</v>
      </c>
      <c r="CT32" s="1310" t="e">
        <f t="shared" ref="CT32:CT41" ca="1" si="102">IF(AND(B32&gt;0,R32=0),VLOOKUP(Z31/T31/INT(G31)*INT(G31),INDIRECT(BR31),H31+8*(AG31-1))+((VLOOKUP(Z31/T31/INT(G31)*INT(G31),INDIRECT(BR31),H31+8*(AG31-1))-IF(CO31=150001,CM31,INDEX(INDIRECT(BR31),MATCH(Z31/T31/INT(G31)*INT(G31),INDEX(INDIRECT(BR31),0,1))+1,H31+8*(AG31-1))))/(VLOOKUP(Z31/T31/INT(G31)*INT(G31),INDIRECT(BR31),1)-IF(CO31=150001,150000,INDEX(INDIRECT(BR31),MATCH(Z31/T31/INT(G31)*INT(G31),INDEX(INDIRECT(BR31),0,1))+1,1)))*(Z31/T31/INT(G31)*INT(G31)-VLOOKUP(Z31/T31/INT(G31)*INT(G31),INDIRECT(BR31),1))),VLOOKUP(Z32/T32/INT(G32)*INT(G32),INDIRECT(BR32),H32+8*(AG32-1))+((VLOOKUP(Z32/T32/INT(G32)*INT(G32),INDIRECT(BR32),H32+8*(AG32-1))-IF(CO32=150001,CM32,INDEX(INDIRECT(BR32),MATCH(Z32/T32/INT(G32)*INT(G32),INDEX(INDIRECT(BR32),0,1))+1,H32+8*(AG32-1))))/(VLOOKUP(Z32/T32/INT(G32)*INT(G32),INDIRECT(BR32),1)-IF(CO32=150001,150000,INDEX(INDIRECT(BR32),MATCH(Z32/T32/INT(G32)*INT(G32),INDEX(INDIRECT(BR32),0,1))+1,1)))*(Z32/T32/INT(G32)*INT(G32)-VLOOKUP(Z32/T32/INT(G32)*INT(G32),INDIRECT(BR32),1))))</f>
        <v>#N/A</v>
      </c>
      <c r="CU32" s="6" t="e">
        <f t="shared" ca="1" si="57"/>
        <v>#N/A</v>
      </c>
      <c r="CV32" s="6" t="e">
        <f t="shared" ca="1" si="58"/>
        <v>#N/A</v>
      </c>
      <c r="CW32" s="6" t="e">
        <f t="shared" ca="1" si="59"/>
        <v>#N/A</v>
      </c>
      <c r="CX32" s="6" t="e">
        <f t="shared" ca="1" si="60"/>
        <v>#N/A</v>
      </c>
      <c r="CY32" s="6">
        <f t="shared" si="61"/>
        <v>0</v>
      </c>
      <c r="CZ32" s="6" t="e">
        <f t="shared" ca="1" si="62"/>
        <v>#N/A</v>
      </c>
      <c r="DA32" s="1309" t="e">
        <f t="shared" ca="1" si="63"/>
        <v>#N/A</v>
      </c>
      <c r="DC32" s="1418">
        <f t="shared" si="64"/>
        <v>0</v>
      </c>
      <c r="DD32" s="2">
        <f t="shared" si="65"/>
        <v>0</v>
      </c>
      <c r="DE32" s="1419">
        <f t="shared" si="9"/>
        <v>0</v>
      </c>
      <c r="DF32" s="2">
        <f t="shared" si="66"/>
        <v>0</v>
      </c>
      <c r="DG32" s="1420">
        <f t="shared" si="10"/>
        <v>0</v>
      </c>
      <c r="DH32" s="1421">
        <f t="shared" si="67"/>
        <v>0</v>
      </c>
      <c r="DI32" s="1422">
        <f t="shared" si="68"/>
        <v>0</v>
      </c>
      <c r="DJ32" s="1421" t="str">
        <f t="shared" si="69"/>
        <v/>
      </c>
      <c r="DK32" s="1423">
        <f t="shared" si="70"/>
        <v>0</v>
      </c>
      <c r="DM32" s="1421">
        <f t="shared" si="71"/>
        <v>0</v>
      </c>
      <c r="DN32" s="132">
        <f t="shared" si="72"/>
        <v>0</v>
      </c>
      <c r="DO32" s="1417" t="str">
        <f t="shared" si="73"/>
        <v/>
      </c>
      <c r="DP32" s="132">
        <f t="shared" si="74"/>
        <v>0</v>
      </c>
      <c r="DR32" s="566">
        <f t="shared" si="75"/>
        <v>0</v>
      </c>
      <c r="DS32" s="566">
        <f t="shared" si="76"/>
        <v>0</v>
      </c>
      <c r="DT32" s="1502">
        <f t="shared" si="77"/>
        <v>0</v>
      </c>
      <c r="DU32" s="1503"/>
      <c r="DV32" s="566">
        <f t="shared" si="78"/>
        <v>0</v>
      </c>
      <c r="DW32" s="566">
        <f t="shared" si="79"/>
        <v>0</v>
      </c>
      <c r="DX32" s="1502">
        <f t="shared" si="80"/>
        <v>0</v>
      </c>
      <c r="IK32" s="790"/>
      <c r="IL32" s="1863">
        <v>31</v>
      </c>
      <c r="IM32" s="1912" t="s">
        <v>1328</v>
      </c>
      <c r="IN32" s="1863">
        <v>0</v>
      </c>
      <c r="IO32" s="1863">
        <v>5</v>
      </c>
      <c r="IP32" s="786"/>
      <c r="KB32" s="742">
        <f>IF(AND($KF32="газетная",$KM32=42),Мат!$P$194,0)+IF(AND($KF32="газетная",$KM32=45),Мат!$P$195,0)+IF(AND($KF32="газетная",$KM32=48.8),Мат!$P$196,0)+IF(AND($KF32="офсетная",$KM32=58),Мат!$P$192,0)+IF(AND($KF32="офсетная",$KM32=60),Мат!$P$198,0)</f>
        <v>0</v>
      </c>
      <c r="KC32" s="1198">
        <f t="shared" si="81"/>
        <v>0</v>
      </c>
      <c r="KD32" s="1325" t="str">
        <f>IF(OR(KF32="газетная",KF32="офсетная",KF32="писчая"),Кальк!$E$10,"del")</f>
        <v>del</v>
      </c>
      <c r="KE32" s="1117"/>
      <c r="KF32" s="1325">
        <f t="shared" si="11"/>
        <v>0</v>
      </c>
      <c r="KG32" s="1325">
        <f>IF(KF32&gt;0,Заказ!$D$8,0)</f>
        <v>0</v>
      </c>
      <c r="KH32" s="1117"/>
      <c r="KI32" s="1323">
        <f t="shared" si="12"/>
        <v>0</v>
      </c>
      <c r="KJ32" s="1117"/>
      <c r="KK32" s="1324">
        <f t="shared" si="13"/>
        <v>0</v>
      </c>
      <c r="KL32" s="1323">
        <f t="shared" si="14"/>
        <v>0</v>
      </c>
      <c r="KM32" s="1323">
        <f t="shared" si="15"/>
        <v>0</v>
      </c>
      <c r="KN32" s="1323">
        <f t="shared" si="16"/>
        <v>0</v>
      </c>
      <c r="KO32" s="1326">
        <f t="shared" si="17"/>
        <v>0</v>
      </c>
      <c r="KP32" s="1119">
        <f t="shared" ref="KP32:KP40" si="103">IF(KN32&gt;0,$KP$30,0)</f>
        <v>0</v>
      </c>
      <c r="KQ32" s="1315">
        <f t="shared" ref="KQ32:KQ41" si="104">IF(IF(W32=0,W31,W32)=0,KQ31,IF(W32=0,W31,W32))</f>
        <v>25000</v>
      </c>
      <c r="KR32" s="1327">
        <f t="shared" si="18"/>
        <v>0</v>
      </c>
      <c r="KS32" s="1287" t="str">
        <f t="shared" si="82"/>
        <v>0:0:00</v>
      </c>
      <c r="KT32" s="566"/>
      <c r="KU32" s="1117"/>
      <c r="KV32" s="1117"/>
      <c r="KW32" s="1189">
        <f t="shared" si="83"/>
        <v>0</v>
      </c>
      <c r="KX32" s="1314">
        <f t="shared" ref="KX32:KX41" ca="1" si="105">ROUND(IF(IF(W32=0,W31+(W31*AR31),W32+(W32*AR32))=0,KX31,IF(W32=0,W31+(W31*AR31),W32+(W32*AR32))),0)</f>
        <v>29375</v>
      </c>
      <c r="KY32" s="1275">
        <f t="shared" si="84"/>
        <v>0</v>
      </c>
      <c r="KZ32" s="1119"/>
      <c r="LA32" s="1119"/>
      <c r="LB32" s="1119"/>
      <c r="LC32" s="1255"/>
      <c r="LD32" s="1255"/>
      <c r="LE32" s="1255"/>
      <c r="LF32" s="1189">
        <f t="shared" si="85"/>
        <v>0</v>
      </c>
      <c r="LG32" s="1314">
        <f t="shared" ref="LG32:LG41" ca="1" si="106">ROUND(IF(IF(W32=0,W31*AR31,W32*AR32)=0,LG31,IF(W32=0,W31*AR31,W32*AR32)),0)</f>
        <v>4375</v>
      </c>
      <c r="LH32" s="1275">
        <f t="shared" si="86"/>
        <v>0</v>
      </c>
      <c r="LI32" s="1119"/>
      <c r="LJ32" s="1119"/>
      <c r="LK32" s="1119"/>
      <c r="LL32" s="1121">
        <f t="shared" si="87"/>
        <v>0</v>
      </c>
      <c r="LM32" s="1117"/>
      <c r="LN32" s="1119"/>
      <c r="LO32" s="1119"/>
      <c r="LP32" s="1119"/>
      <c r="LQ32" s="1119"/>
      <c r="LR32" s="1255"/>
      <c r="LS32" s="1255"/>
      <c r="LT32" s="1119"/>
      <c r="LU32" s="1117"/>
      <c r="LV32" s="1286" t="str">
        <f t="shared" si="19"/>
        <v>тип</v>
      </c>
      <c r="LW32" s="1289" t="str">
        <f>IF(B32&gt;0,LOOKUP($B32,Мат!$A$191:$A$312,Мат!$R$191:$R$312),"")</f>
        <v/>
      </c>
      <c r="LX32" s="1290">
        <f t="shared" si="88"/>
        <v>1</v>
      </c>
    </row>
    <row r="33" spans="1:336" ht="15.75" customHeight="1" x14ac:dyDescent="0.2">
      <c r="A33" s="1184">
        <f t="shared" si="20"/>
        <v>3</v>
      </c>
      <c r="B33" s="116"/>
      <c r="C33" s="106" t="str">
        <f>IF(B33&gt;0,VLOOKUP($B33,Мат!$A$190:$N$314,2)," ")</f>
        <v xml:space="preserve"> </v>
      </c>
      <c r="D33" s="106"/>
      <c r="E33" s="117"/>
      <c r="F33" s="117"/>
      <c r="G33" s="117">
        <v>1</v>
      </c>
      <c r="H33" s="117"/>
      <c r="I33" s="117"/>
      <c r="J33" s="78"/>
      <c r="K33" s="117"/>
      <c r="L33" s="117"/>
      <c r="M33" s="78">
        <v>1</v>
      </c>
      <c r="N33" s="78"/>
      <c r="O33" s="922">
        <f t="shared" si="21"/>
        <v>1</v>
      </c>
      <c r="P33" s="923"/>
      <c r="Q33" s="923"/>
      <c r="R33" s="923"/>
      <c r="S33" s="924">
        <f t="shared" si="89"/>
        <v>0</v>
      </c>
      <c r="T33" s="925">
        <f t="shared" si="22"/>
        <v>1</v>
      </c>
      <c r="U33" s="1073">
        <f t="shared" si="23"/>
        <v>0</v>
      </c>
      <c r="V33" s="1073">
        <f t="shared" si="90"/>
        <v>0</v>
      </c>
      <c r="W33" s="1073">
        <f t="shared" si="24"/>
        <v>0</v>
      </c>
      <c r="X33" s="1312" t="e">
        <f t="shared" ref="X33:X41" ca="1" si="107">IF(AND(B33&gt;0,R33=0),ROUND(IF(B48&lt;8,VLOOKUP(Z32/T32*M32,INDIRECT(BR32),$F32+1)+DA32,VLOOKUP(Z32/T32,INDIRECT(BR32),H32+8*(AG32-1))+CS32),2),ROUND(IF(B48&lt;8,VLOOKUP(Z33/T33*M33,INDIRECT(BR33),$F33+1)+DA33,VLOOKUP(Z33/T33,INDIRECT(BR33),H33+8*(AG33-1))+CS33),2))</f>
        <v>#N/A</v>
      </c>
      <c r="Y33" s="926">
        <f t="shared" si="25"/>
        <v>0</v>
      </c>
      <c r="Z33" s="1075">
        <f t="shared" si="91"/>
        <v>0</v>
      </c>
      <c r="AA33" s="1073">
        <f t="shared" si="26"/>
        <v>0</v>
      </c>
      <c r="AB33" s="1073">
        <f t="shared" ref="AB33:AB41" si="108">IF(B32=B33,Z33+AA33+AB32,Z33+AA33)</f>
        <v>0</v>
      </c>
      <c r="AC33" s="1076">
        <f t="shared" si="92"/>
        <v>0</v>
      </c>
      <c r="AD33" s="1077" t="e">
        <f t="shared" si="4"/>
        <v>#N/A</v>
      </c>
      <c r="AE33" s="188" t="e">
        <f>VLOOKUP($B33,Мат!$A$191:$N$314,5)</f>
        <v>#N/A</v>
      </c>
      <c r="AF33" s="19">
        <f t="shared" si="27"/>
        <v>1</v>
      </c>
      <c r="AG33" s="1300">
        <f t="shared" si="5"/>
        <v>1</v>
      </c>
      <c r="AH33" s="19">
        <f t="shared" si="28"/>
        <v>1</v>
      </c>
      <c r="AI33" s="189">
        <f t="shared" si="93"/>
        <v>1</v>
      </c>
      <c r="AJ33" s="376">
        <f t="shared" si="6"/>
        <v>0</v>
      </c>
      <c r="AK33" s="376">
        <f t="shared" si="7"/>
        <v>0</v>
      </c>
      <c r="AL33" s="11">
        <v>5</v>
      </c>
      <c r="AM33" s="11">
        <f t="shared" si="29"/>
        <v>0</v>
      </c>
      <c r="AN33" s="11" t="str">
        <f t="shared" si="30"/>
        <v/>
      </c>
      <c r="AO33" s="1201">
        <f t="shared" si="31"/>
        <v>0</v>
      </c>
      <c r="AP33" s="1201">
        <f t="shared" si="32"/>
        <v>0</v>
      </c>
      <c r="AQ33" s="1206">
        <f t="shared" si="33"/>
        <v>0</v>
      </c>
      <c r="AR33" s="1313">
        <f t="shared" si="8"/>
        <v>0</v>
      </c>
      <c r="AZ33" s="1204">
        <f t="shared" si="34"/>
        <v>0</v>
      </c>
      <c r="BA33" s="1231" t="str">
        <f t="shared" si="35"/>
        <v>0:0:00</v>
      </c>
      <c r="BB33" s="1273">
        <f t="shared" si="36"/>
        <v>0</v>
      </c>
      <c r="BC33" s="1232" t="s">
        <v>169</v>
      </c>
      <c r="BE33" s="5">
        <f t="shared" si="37"/>
        <v>0</v>
      </c>
      <c r="BF33" s="919">
        <f t="shared" si="38"/>
        <v>0</v>
      </c>
      <c r="BG33" s="376">
        <f t="shared" si="39"/>
        <v>0</v>
      </c>
      <c r="BH33" s="376">
        <f t="shared" si="40"/>
        <v>0</v>
      </c>
      <c r="BM33" s="745">
        <v>6</v>
      </c>
      <c r="BN33" s="745" t="str">
        <f t="shared" si="41"/>
        <v xml:space="preserve"> </v>
      </c>
      <c r="BO33" s="745">
        <f t="shared" si="42"/>
        <v>0</v>
      </c>
      <c r="BP33" s="745">
        <f t="shared" si="43"/>
        <v>0</v>
      </c>
      <c r="BQ33" s="745">
        <f t="shared" si="94"/>
        <v>0</v>
      </c>
      <c r="BR33" s="1429" t="e">
        <f t="shared" si="44"/>
        <v>#N/A</v>
      </c>
      <c r="CA33" s="1069">
        <f t="shared" si="45"/>
        <v>0</v>
      </c>
      <c r="CB33" s="1069">
        <f t="shared" si="46"/>
        <v>0</v>
      </c>
      <c r="CC33" s="1069">
        <f t="shared" si="47"/>
        <v>0</v>
      </c>
      <c r="CD33" s="1069">
        <f t="shared" si="48"/>
        <v>0</v>
      </c>
      <c r="CE33" s="1069">
        <f t="shared" si="49"/>
        <v>0</v>
      </c>
      <c r="CF33" s="1069">
        <f t="shared" si="50"/>
        <v>0</v>
      </c>
      <c r="CG33" s="1069">
        <f t="shared" si="51"/>
        <v>0</v>
      </c>
      <c r="CH33" s="1069">
        <f t="shared" si="52"/>
        <v>0</v>
      </c>
      <c r="CI33" s="1069">
        <f t="shared" si="53"/>
        <v>0</v>
      </c>
      <c r="CJ33" s="1069">
        <f t="shared" si="54"/>
        <v>0</v>
      </c>
      <c r="CK33" s="1069">
        <f t="shared" si="55"/>
        <v>0</v>
      </c>
      <c r="CL33" s="1069">
        <f t="shared" si="56"/>
        <v>0</v>
      </c>
      <c r="CM33" s="6" t="e">
        <f t="shared" ca="1" si="95"/>
        <v>#N/A</v>
      </c>
      <c r="CN33" s="6" t="e">
        <f t="shared" ca="1" si="96"/>
        <v>#N/A</v>
      </c>
      <c r="CO33" s="6" t="e">
        <f t="shared" ca="1" si="97"/>
        <v>#N/A</v>
      </c>
      <c r="CP33" s="6" t="e">
        <f t="shared" ca="1" si="98"/>
        <v>#N/A</v>
      </c>
      <c r="CQ33" s="6">
        <f t="shared" si="99"/>
        <v>0</v>
      </c>
      <c r="CR33" s="6" t="e">
        <f t="shared" ca="1" si="100"/>
        <v>#N/A</v>
      </c>
      <c r="CS33" s="1309" t="e">
        <f t="shared" ca="1" si="101"/>
        <v>#N/A</v>
      </c>
      <c r="CT33" s="1310" t="e">
        <f t="shared" ca="1" si="102"/>
        <v>#N/A</v>
      </c>
      <c r="CU33" s="6" t="e">
        <f t="shared" ca="1" si="57"/>
        <v>#N/A</v>
      </c>
      <c r="CV33" s="6" t="e">
        <f t="shared" ca="1" si="58"/>
        <v>#N/A</v>
      </c>
      <c r="CW33" s="6" t="e">
        <f t="shared" ca="1" si="59"/>
        <v>#N/A</v>
      </c>
      <c r="CX33" s="6" t="e">
        <f t="shared" ca="1" si="60"/>
        <v>#N/A</v>
      </c>
      <c r="CY33" s="6">
        <f t="shared" si="61"/>
        <v>0</v>
      </c>
      <c r="CZ33" s="6" t="e">
        <f t="shared" ca="1" si="62"/>
        <v>#N/A</v>
      </c>
      <c r="DA33" s="1309" t="e">
        <f t="shared" ca="1" si="63"/>
        <v>#N/A</v>
      </c>
      <c r="DC33" s="1418">
        <f t="shared" si="64"/>
        <v>0</v>
      </c>
      <c r="DD33" s="2">
        <f t="shared" si="65"/>
        <v>0</v>
      </c>
      <c r="DE33" s="1419">
        <f t="shared" si="9"/>
        <v>0</v>
      </c>
      <c r="DF33" s="2">
        <f t="shared" si="66"/>
        <v>0</v>
      </c>
      <c r="DG33" s="1420">
        <f t="shared" si="10"/>
        <v>0</v>
      </c>
      <c r="DH33" s="1421">
        <f t="shared" si="67"/>
        <v>0</v>
      </c>
      <c r="DI33" s="1422">
        <f t="shared" si="68"/>
        <v>0</v>
      </c>
      <c r="DJ33" s="1421" t="str">
        <f t="shared" si="69"/>
        <v/>
      </c>
      <c r="DK33" s="1423">
        <f t="shared" si="70"/>
        <v>0</v>
      </c>
      <c r="DM33" s="1421">
        <f t="shared" si="71"/>
        <v>0</v>
      </c>
      <c r="DN33" s="132">
        <f t="shared" si="72"/>
        <v>0</v>
      </c>
      <c r="DO33" s="1417" t="str">
        <f t="shared" si="73"/>
        <v/>
      </c>
      <c r="DP33" s="132">
        <f t="shared" si="74"/>
        <v>0</v>
      </c>
      <c r="DR33" s="566">
        <f t="shared" si="75"/>
        <v>0</v>
      </c>
      <c r="DS33" s="566">
        <f t="shared" si="76"/>
        <v>0</v>
      </c>
      <c r="DT33" s="1502">
        <f t="shared" si="77"/>
        <v>0</v>
      </c>
      <c r="DU33" s="1503"/>
      <c r="DV33" s="566">
        <f t="shared" si="78"/>
        <v>0</v>
      </c>
      <c r="DW33" s="566">
        <f t="shared" si="79"/>
        <v>0</v>
      </c>
      <c r="DX33" s="1502">
        <f t="shared" si="80"/>
        <v>0</v>
      </c>
      <c r="IK33" s="790"/>
      <c r="IL33" s="1864">
        <v>32</v>
      </c>
      <c r="IM33" s="1913" t="s">
        <v>1298</v>
      </c>
      <c r="IN33" s="1864">
        <v>5</v>
      </c>
      <c r="IO33" s="1864">
        <v>6</v>
      </c>
      <c r="KB33" s="742">
        <f>IF(AND($KF33="газетная",$KM33=42),Мат!$P$194,0)+IF(AND($KF33="газетная",$KM33=45),Мат!$P$195,0)+IF(AND($KF33="газетная",$KM33=48.8),Мат!$P$196,0)+IF(AND($KF33="офсетная",$KM33=58),Мат!$P$192,0)+IF(AND($KF33="офсетная",$KM33=60),Мат!$P$198,0)</f>
        <v>0</v>
      </c>
      <c r="KC33" s="1198">
        <f t="shared" si="81"/>
        <v>0</v>
      </c>
      <c r="KD33" s="1325" t="str">
        <f>IF(OR(KF33="газетная",KF33="офсетная",KF33="писчая"),Кальк!$E$10,"del")</f>
        <v>del</v>
      </c>
      <c r="KE33" s="1117"/>
      <c r="KF33" s="1325">
        <f t="shared" si="11"/>
        <v>0</v>
      </c>
      <c r="KG33" s="1325">
        <f>IF(KF33&gt;0,Заказ!$D$8,0)</f>
        <v>0</v>
      </c>
      <c r="KH33" s="1117"/>
      <c r="KI33" s="1323">
        <f t="shared" si="12"/>
        <v>0</v>
      </c>
      <c r="KJ33" s="1117"/>
      <c r="KK33" s="1324">
        <f t="shared" si="13"/>
        <v>0</v>
      </c>
      <c r="KL33" s="1323">
        <f t="shared" si="14"/>
        <v>0</v>
      </c>
      <c r="KM33" s="1323">
        <f t="shared" si="15"/>
        <v>0</v>
      </c>
      <c r="KN33" s="1323">
        <f t="shared" si="16"/>
        <v>0</v>
      </c>
      <c r="KO33" s="1326">
        <f t="shared" si="17"/>
        <v>0</v>
      </c>
      <c r="KP33" s="1119">
        <f t="shared" si="103"/>
        <v>0</v>
      </c>
      <c r="KQ33" s="1315">
        <f t="shared" si="104"/>
        <v>25000</v>
      </c>
      <c r="KR33" s="1327">
        <f t="shared" si="18"/>
        <v>0</v>
      </c>
      <c r="KS33" s="1287" t="str">
        <f t="shared" si="82"/>
        <v>0:0:00</v>
      </c>
      <c r="KT33" s="566"/>
      <c r="KU33" s="1117"/>
      <c r="KV33" s="1117"/>
      <c r="KW33" s="1189">
        <f t="shared" si="83"/>
        <v>0</v>
      </c>
      <c r="KX33" s="1314">
        <f t="shared" ca="1" si="105"/>
        <v>29375</v>
      </c>
      <c r="KY33" s="1275">
        <f t="shared" si="84"/>
        <v>0</v>
      </c>
      <c r="KZ33" s="1119"/>
      <c r="LA33" s="1119"/>
      <c r="LB33" s="1119"/>
      <c r="LC33" s="1255"/>
      <c r="LD33" s="1255"/>
      <c r="LE33" s="1255"/>
      <c r="LF33" s="1189">
        <f t="shared" si="85"/>
        <v>0</v>
      </c>
      <c r="LG33" s="1314">
        <f t="shared" ca="1" si="106"/>
        <v>4375</v>
      </c>
      <c r="LH33" s="1275">
        <f t="shared" si="86"/>
        <v>0</v>
      </c>
      <c r="LI33" s="1119"/>
      <c r="LJ33" s="1119"/>
      <c r="LK33" s="1119"/>
      <c r="LL33" s="1121">
        <f t="shared" si="87"/>
        <v>0</v>
      </c>
      <c r="LM33" s="1117"/>
      <c r="LN33" s="1119"/>
      <c r="LO33" s="1119"/>
      <c r="LP33" s="1119"/>
      <c r="LQ33" s="1119"/>
      <c r="LR33" s="1255"/>
      <c r="LS33" s="1255"/>
      <c r="LT33" s="1119"/>
      <c r="LU33" s="1117"/>
      <c r="LV33" s="1286" t="str">
        <f t="shared" si="19"/>
        <v>тип</v>
      </c>
      <c r="LW33" s="1289" t="str">
        <f>IF(B33&gt;0,LOOKUP($B33,Мат!$A$191:$A$312,Мат!$R$191:$R$312),"")</f>
        <v/>
      </c>
      <c r="LX33" s="1290">
        <f t="shared" si="88"/>
        <v>1</v>
      </c>
    </row>
    <row r="34" spans="1:336" ht="15.75" customHeight="1" x14ac:dyDescent="0.2">
      <c r="A34" s="1184">
        <f t="shared" si="20"/>
        <v>3</v>
      </c>
      <c r="B34" s="116"/>
      <c r="C34" s="106" t="str">
        <f>IF(B34&gt;0,VLOOKUP($B34,Мат!$A$190:$N$314,2)," ")</f>
        <v xml:space="preserve"> </v>
      </c>
      <c r="D34" s="106"/>
      <c r="E34" s="117"/>
      <c r="F34" s="117"/>
      <c r="G34" s="117">
        <v>1</v>
      </c>
      <c r="H34" s="117"/>
      <c r="I34" s="117"/>
      <c r="J34" s="78"/>
      <c r="K34" s="117"/>
      <c r="L34" s="117"/>
      <c r="M34" s="78">
        <v>1</v>
      </c>
      <c r="N34" s="78"/>
      <c r="O34" s="189">
        <f t="shared" si="3"/>
        <v>1</v>
      </c>
      <c r="P34" s="78"/>
      <c r="Q34" s="78"/>
      <c r="R34" s="78"/>
      <c r="S34" s="198">
        <f t="shared" ref="S34:S41" si="109">MAX(P34*T34,P34)*$S$27</f>
        <v>0</v>
      </c>
      <c r="T34" s="190">
        <f t="shared" ref="T34:T41" si="110">IF(L34&gt;0,CEILING(N34/L34*M34,1),1)</f>
        <v>1</v>
      </c>
      <c r="U34" s="1073">
        <f t="shared" si="23"/>
        <v>0</v>
      </c>
      <c r="V34" s="1074">
        <f>U34*T34</f>
        <v>0</v>
      </c>
      <c r="W34" s="1073">
        <f t="shared" si="24"/>
        <v>0</v>
      </c>
      <c r="X34" s="1312" t="e">
        <f t="shared" ca="1" si="107"/>
        <v>#N/A</v>
      </c>
      <c r="Y34" s="191">
        <f t="shared" ref="Y34:Y41" si="111">LOOKUP($E34,$B$13:$B$26,S$13:S$26)</f>
        <v>0</v>
      </c>
      <c r="Z34" s="1075">
        <f t="shared" si="91"/>
        <v>0</v>
      </c>
      <c r="AA34" s="1074">
        <f t="shared" si="26"/>
        <v>0</v>
      </c>
      <c r="AB34" s="1073">
        <f t="shared" si="108"/>
        <v>0</v>
      </c>
      <c r="AC34" s="1076">
        <f t="shared" si="92"/>
        <v>0</v>
      </c>
      <c r="AD34" s="1077" t="e">
        <f t="shared" si="4"/>
        <v>#N/A</v>
      </c>
      <c r="AE34" s="188" t="e">
        <f>VLOOKUP($B34,Мат!$A$191:$N$314,5)</f>
        <v>#N/A</v>
      </c>
      <c r="AF34" s="19">
        <f t="shared" si="27"/>
        <v>1</v>
      </c>
      <c r="AG34" s="1300">
        <f t="shared" si="5"/>
        <v>1</v>
      </c>
      <c r="AH34" s="19">
        <f t="shared" ref="AH34:AH41" si="112">IF(L34&gt;0,CEILING(N34/L34*M34,1),1)</f>
        <v>1</v>
      </c>
      <c r="AI34" s="189">
        <f t="shared" ref="AI34:AI41" si="113">IF(Q34&gt;0,P34*R34/Q34,1)</f>
        <v>1</v>
      </c>
      <c r="AJ34" s="376">
        <f t="shared" si="6"/>
        <v>0</v>
      </c>
      <c r="AK34" s="376">
        <f t="shared" si="7"/>
        <v>0</v>
      </c>
      <c r="AL34" s="11">
        <v>5</v>
      </c>
      <c r="AM34" s="11">
        <f t="shared" si="29"/>
        <v>0</v>
      </c>
      <c r="AN34" s="11" t="str">
        <f t="shared" si="30"/>
        <v/>
      </c>
      <c r="AO34" s="1201">
        <f t="shared" si="31"/>
        <v>0</v>
      </c>
      <c r="AP34" s="1201">
        <f t="shared" si="32"/>
        <v>0</v>
      </c>
      <c r="AQ34" s="1206">
        <f t="shared" si="33"/>
        <v>0</v>
      </c>
      <c r="AR34" s="1313">
        <f t="shared" si="8"/>
        <v>0</v>
      </c>
      <c r="AZ34" s="1204">
        <f t="shared" si="34"/>
        <v>0</v>
      </c>
      <c r="BA34" s="1231" t="str">
        <f t="shared" si="35"/>
        <v>0:0:00</v>
      </c>
      <c r="BB34" s="1273">
        <f t="shared" si="36"/>
        <v>0</v>
      </c>
      <c r="BC34" s="1232" t="s">
        <v>169</v>
      </c>
      <c r="BE34" s="5">
        <f t="shared" ref="BE34:BE41" si="114">LOOKUP($E34,$B$13:$B$26,$A$13:$A$26)</f>
        <v>0</v>
      </c>
      <c r="BF34" s="919">
        <f t="shared" ref="BF34:BF41" si="115">IF(AND(R34&gt;0,H34&gt;0,H34&lt;=2,G34&lt;1.5),W34,0)</f>
        <v>0</v>
      </c>
      <c r="BG34" s="376">
        <f t="shared" ref="BG34:BG41" si="116">IF(AND(H34&gt;2,G34=1),W34,0)</f>
        <v>0</v>
      </c>
      <c r="BH34" s="376">
        <f t="shared" ref="BH34:BH41" si="117">IF(G34&gt;1,W34,0)</f>
        <v>0</v>
      </c>
      <c r="BM34" s="745">
        <v>6</v>
      </c>
      <c r="BN34" s="745" t="str">
        <f t="shared" ref="BN34:BN41" si="118">IF(AND(BM34&gt;0,BM34&lt;6),VLOOKUP($BM34,$IS$17:$IT$23,2)," ")</f>
        <v xml:space="preserve"> </v>
      </c>
      <c r="BO34" s="745">
        <f t="shared" ref="BO34:BO41" si="119">I34</f>
        <v>0</v>
      </c>
      <c r="BP34" s="745">
        <f t="shared" ref="BP34:BP41" si="120">AB34</f>
        <v>0</v>
      </c>
      <c r="BQ34" s="745">
        <f t="shared" ref="BQ34:BQ41" si="121">IF(AND(BO34&gt;0,BO34&lt;=90),90,0)+IF(AND(BO34&gt;90,BO34&lt;=130),130,0)+IF(AND(BO34&gt;130,BO34&lt;=160),160,0)+IF(AND(BO34&gt;160,BO34&lt;=200),200,0)+IF(BO34&gt;200,201,0)</f>
        <v>0</v>
      </c>
      <c r="BR34" s="1429" t="e">
        <f t="shared" si="44"/>
        <v>#N/A</v>
      </c>
      <c r="CA34" s="1069">
        <f t="shared" si="45"/>
        <v>0</v>
      </c>
      <c r="CB34" s="1069">
        <f t="shared" si="46"/>
        <v>0</v>
      </c>
      <c r="CC34" s="1069">
        <f t="shared" si="47"/>
        <v>0</v>
      </c>
      <c r="CD34" s="1069">
        <f t="shared" si="48"/>
        <v>0</v>
      </c>
      <c r="CE34" s="1069">
        <f t="shared" si="49"/>
        <v>0</v>
      </c>
      <c r="CF34" s="1069">
        <f t="shared" si="50"/>
        <v>0</v>
      </c>
      <c r="CG34" s="1069">
        <f t="shared" si="51"/>
        <v>0</v>
      </c>
      <c r="CH34" s="1069">
        <f t="shared" si="52"/>
        <v>0</v>
      </c>
      <c r="CI34" s="1069">
        <f t="shared" si="53"/>
        <v>0</v>
      </c>
      <c r="CJ34" s="1069">
        <f t="shared" si="54"/>
        <v>0</v>
      </c>
      <c r="CK34" s="1069">
        <f t="shared" si="55"/>
        <v>0</v>
      </c>
      <c r="CL34" s="1069">
        <f t="shared" si="56"/>
        <v>0</v>
      </c>
      <c r="CM34" s="6" t="e">
        <f t="shared" ca="1" si="95"/>
        <v>#N/A</v>
      </c>
      <c r="CN34" s="6" t="e">
        <f t="shared" ca="1" si="96"/>
        <v>#N/A</v>
      </c>
      <c r="CO34" s="6" t="e">
        <f t="shared" ca="1" si="97"/>
        <v>#N/A</v>
      </c>
      <c r="CP34" s="6" t="e">
        <f t="shared" ca="1" si="98"/>
        <v>#N/A</v>
      </c>
      <c r="CQ34" s="6">
        <f t="shared" si="99"/>
        <v>0</v>
      </c>
      <c r="CR34" s="6" t="e">
        <f t="shared" ca="1" si="100"/>
        <v>#N/A</v>
      </c>
      <c r="CS34" s="1309" t="e">
        <f t="shared" ca="1" si="101"/>
        <v>#N/A</v>
      </c>
      <c r="CT34" s="1310" t="e">
        <f t="shared" ca="1" si="102"/>
        <v>#N/A</v>
      </c>
      <c r="CU34" s="6" t="e">
        <f t="shared" ca="1" si="57"/>
        <v>#N/A</v>
      </c>
      <c r="CV34" s="6" t="e">
        <f t="shared" ca="1" si="58"/>
        <v>#N/A</v>
      </c>
      <c r="CW34" s="6" t="e">
        <f t="shared" ca="1" si="59"/>
        <v>#N/A</v>
      </c>
      <c r="CX34" s="6" t="e">
        <f t="shared" ca="1" si="60"/>
        <v>#N/A</v>
      </c>
      <c r="CY34" s="6">
        <f t="shared" si="61"/>
        <v>0</v>
      </c>
      <c r="CZ34" s="6" t="e">
        <f t="shared" ca="1" si="62"/>
        <v>#N/A</v>
      </c>
      <c r="DA34" s="1309" t="e">
        <f t="shared" ca="1" si="63"/>
        <v>#N/A</v>
      </c>
      <c r="DC34" s="1418">
        <f t="shared" si="64"/>
        <v>0</v>
      </c>
      <c r="DD34" s="2">
        <f t="shared" si="65"/>
        <v>0</v>
      </c>
      <c r="DE34" s="1419">
        <f t="shared" si="9"/>
        <v>0</v>
      </c>
      <c r="DF34" s="2">
        <f t="shared" si="66"/>
        <v>0</v>
      </c>
      <c r="DG34" s="1420">
        <f t="shared" si="10"/>
        <v>0</v>
      </c>
      <c r="DH34" s="1421">
        <f t="shared" si="67"/>
        <v>0</v>
      </c>
      <c r="DI34" s="1422">
        <f t="shared" si="68"/>
        <v>0</v>
      </c>
      <c r="DJ34" s="1421" t="str">
        <f t="shared" si="69"/>
        <v/>
      </c>
      <c r="DK34" s="1423">
        <f t="shared" si="70"/>
        <v>0</v>
      </c>
      <c r="DM34" s="1421">
        <f t="shared" si="71"/>
        <v>0</v>
      </c>
      <c r="DN34" s="132">
        <f t="shared" si="72"/>
        <v>0</v>
      </c>
      <c r="DO34" s="1417" t="str">
        <f t="shared" si="73"/>
        <v/>
      </c>
      <c r="DP34" s="132">
        <f t="shared" si="74"/>
        <v>0</v>
      </c>
      <c r="DR34" s="566">
        <f t="shared" si="75"/>
        <v>0</v>
      </c>
      <c r="DS34" s="566">
        <f t="shared" si="76"/>
        <v>0</v>
      </c>
      <c r="DT34" s="1502">
        <f t="shared" si="77"/>
        <v>0</v>
      </c>
      <c r="DU34" s="1503"/>
      <c r="DV34" s="566">
        <f t="shared" si="78"/>
        <v>0</v>
      </c>
      <c r="DW34" s="566">
        <f t="shared" si="79"/>
        <v>0</v>
      </c>
      <c r="DX34" s="1502">
        <f t="shared" si="80"/>
        <v>0</v>
      </c>
      <c r="IK34" s="790"/>
      <c r="IL34" s="1864">
        <v>33</v>
      </c>
      <c r="IM34" s="1913" t="s">
        <v>1305</v>
      </c>
      <c r="IN34" s="1864">
        <v>5</v>
      </c>
      <c r="IO34" s="1864">
        <v>6</v>
      </c>
      <c r="IP34" s="791"/>
      <c r="IT34" s="795">
        <f>SUM(IV35:IV37)</f>
        <v>0</v>
      </c>
      <c r="IU34" s="787" t="e">
        <f>LOOKUP($IT34,$IT35:$IT38,IU35:IU38)</f>
        <v>#N/A</v>
      </c>
      <c r="KB34" s="742">
        <f>IF(AND($KF34="газетная",$KM34=42),Мат!$P$194,0)+IF(AND($KF34="газетная",$KM34=45),Мат!$P$195,0)+IF(AND($KF34="газетная",$KM34=48.8),Мат!$P$196,0)+IF(AND($KF34="офсетная",$KM34=58),Мат!$P$192,0)+IF(AND($KF34="офсетная",$KM34=60),Мат!$P$198,0)</f>
        <v>0</v>
      </c>
      <c r="KC34" s="1198">
        <f t="shared" si="81"/>
        <v>0</v>
      </c>
      <c r="KD34" s="1325" t="str">
        <f>IF(OR(KF34="газетная",KF34="офсетная",KF34="писчая"),Кальк!$E$10,"del")</f>
        <v>del</v>
      </c>
      <c r="KE34" s="1117"/>
      <c r="KF34" s="1325">
        <f t="shared" si="11"/>
        <v>0</v>
      </c>
      <c r="KG34" s="1325">
        <f>IF(KF34&gt;0,Заказ!$D$8,0)</f>
        <v>0</v>
      </c>
      <c r="KH34" s="1117"/>
      <c r="KI34" s="1323">
        <f t="shared" si="12"/>
        <v>0</v>
      </c>
      <c r="KJ34" s="1117"/>
      <c r="KK34" s="1324">
        <f t="shared" si="13"/>
        <v>0</v>
      </c>
      <c r="KL34" s="1323">
        <f t="shared" si="14"/>
        <v>0</v>
      </c>
      <c r="KM34" s="1323">
        <f t="shared" si="15"/>
        <v>0</v>
      </c>
      <c r="KN34" s="1323">
        <f t="shared" si="16"/>
        <v>0</v>
      </c>
      <c r="KO34" s="1326">
        <f t="shared" si="17"/>
        <v>0</v>
      </c>
      <c r="KP34" s="1119">
        <f t="shared" si="103"/>
        <v>0</v>
      </c>
      <c r="KQ34" s="1315">
        <f t="shared" si="104"/>
        <v>25000</v>
      </c>
      <c r="KR34" s="1327">
        <f t="shared" si="18"/>
        <v>0</v>
      </c>
      <c r="KS34" s="1287" t="str">
        <f t="shared" si="82"/>
        <v>0:0:00</v>
      </c>
      <c r="KT34" s="566"/>
      <c r="KU34" s="1117"/>
      <c r="KV34" s="1117"/>
      <c r="KW34" s="1189">
        <f t="shared" si="83"/>
        <v>0</v>
      </c>
      <c r="KX34" s="1314">
        <f t="shared" ca="1" si="105"/>
        <v>29375</v>
      </c>
      <c r="KY34" s="1275">
        <f t="shared" si="84"/>
        <v>0</v>
      </c>
      <c r="KZ34" s="1119"/>
      <c r="LA34" s="1119"/>
      <c r="LB34" s="1119"/>
      <c r="LC34" s="1255"/>
      <c r="LD34" s="1255"/>
      <c r="LE34" s="1255"/>
      <c r="LF34" s="1189">
        <f t="shared" si="85"/>
        <v>0</v>
      </c>
      <c r="LG34" s="1314">
        <f t="shared" ca="1" si="106"/>
        <v>4375</v>
      </c>
      <c r="LH34" s="1275">
        <f t="shared" si="86"/>
        <v>0</v>
      </c>
      <c r="LI34" s="1119"/>
      <c r="LJ34" s="1119"/>
      <c r="LK34" s="1119"/>
      <c r="LL34" s="1121">
        <f t="shared" si="87"/>
        <v>0</v>
      </c>
      <c r="LM34" s="1117"/>
      <c r="LN34" s="1119"/>
      <c r="LO34" s="1119"/>
      <c r="LP34" s="1119"/>
      <c r="LQ34" s="1119"/>
      <c r="LR34" s="1255"/>
      <c r="LS34" s="1255"/>
      <c r="LT34" s="1119"/>
      <c r="LU34" s="1117"/>
      <c r="LV34" s="1286" t="str">
        <f t="shared" si="19"/>
        <v>тип</v>
      </c>
      <c r="LW34" s="1289" t="str">
        <f>IF(B34&gt;0,LOOKUP($B34,Мат!$A$191:$A$312,Мат!$R$191:$R$312),"")</f>
        <v/>
      </c>
      <c r="LX34" s="1290">
        <f t="shared" si="88"/>
        <v>1</v>
      </c>
    </row>
    <row r="35" spans="1:336" ht="15.75" customHeight="1" x14ac:dyDescent="0.2">
      <c r="A35" s="1184">
        <f t="shared" si="20"/>
        <v>3</v>
      </c>
      <c r="B35" s="116"/>
      <c r="C35" s="106" t="str">
        <f>IF(B35&gt;0,VLOOKUP($B35,Мат!$A$190:$N$314,2)," ")</f>
        <v xml:space="preserve"> </v>
      </c>
      <c r="D35" s="106"/>
      <c r="E35" s="117"/>
      <c r="F35" s="117"/>
      <c r="G35" s="117">
        <v>1</v>
      </c>
      <c r="H35" s="117"/>
      <c r="I35" s="117"/>
      <c r="J35" s="78"/>
      <c r="K35" s="117"/>
      <c r="L35" s="117"/>
      <c r="M35" s="78">
        <v>1</v>
      </c>
      <c r="N35" s="78"/>
      <c r="O35" s="189">
        <f t="shared" si="3"/>
        <v>1</v>
      </c>
      <c r="P35" s="78"/>
      <c r="Q35" s="78"/>
      <c r="R35" s="78"/>
      <c r="S35" s="198">
        <f t="shared" si="109"/>
        <v>0</v>
      </c>
      <c r="T35" s="190">
        <f t="shared" si="110"/>
        <v>1</v>
      </c>
      <c r="U35" s="1073">
        <f t="shared" si="23"/>
        <v>0</v>
      </c>
      <c r="V35" s="1074">
        <f t="shared" ref="V35:V41" si="122">U35*T35</f>
        <v>0</v>
      </c>
      <c r="W35" s="1073">
        <f t="shared" si="24"/>
        <v>0</v>
      </c>
      <c r="X35" s="1312" t="e">
        <f t="shared" ca="1" si="107"/>
        <v>#N/A</v>
      </c>
      <c r="Y35" s="191">
        <f t="shared" si="111"/>
        <v>0</v>
      </c>
      <c r="Z35" s="1075">
        <f t="shared" si="91"/>
        <v>0</v>
      </c>
      <c r="AA35" s="1074">
        <f t="shared" si="26"/>
        <v>0</v>
      </c>
      <c r="AB35" s="1073">
        <f t="shared" si="108"/>
        <v>0</v>
      </c>
      <c r="AC35" s="1076">
        <f t="shared" si="92"/>
        <v>0</v>
      </c>
      <c r="AD35" s="1077" t="e">
        <f t="shared" si="4"/>
        <v>#N/A</v>
      </c>
      <c r="AE35" s="188" t="e">
        <f>VLOOKUP($B35,Мат!$A$191:$N$314,5)</f>
        <v>#N/A</v>
      </c>
      <c r="AF35" s="19">
        <f t="shared" si="27"/>
        <v>1</v>
      </c>
      <c r="AG35" s="1300">
        <f t="shared" si="5"/>
        <v>1</v>
      </c>
      <c r="AH35" s="19">
        <f t="shared" si="112"/>
        <v>1</v>
      </c>
      <c r="AI35" s="189">
        <f t="shared" si="113"/>
        <v>1</v>
      </c>
      <c r="AJ35" s="376">
        <f t="shared" si="6"/>
        <v>0</v>
      </c>
      <c r="AK35" s="376">
        <f t="shared" si="7"/>
        <v>0</v>
      </c>
      <c r="AL35" s="11">
        <v>5</v>
      </c>
      <c r="AM35" s="11">
        <f t="shared" si="29"/>
        <v>0</v>
      </c>
      <c r="AN35" s="11" t="str">
        <f t="shared" si="30"/>
        <v/>
      </c>
      <c r="AO35" s="1201">
        <f t="shared" si="31"/>
        <v>0</v>
      </c>
      <c r="AP35" s="1201">
        <f t="shared" si="32"/>
        <v>0</v>
      </c>
      <c r="AQ35" s="1206">
        <f t="shared" si="33"/>
        <v>0</v>
      </c>
      <c r="AR35" s="1313">
        <f t="shared" si="8"/>
        <v>0</v>
      </c>
      <c r="AZ35" s="1204">
        <f t="shared" si="34"/>
        <v>0</v>
      </c>
      <c r="BA35" s="1231" t="str">
        <f t="shared" si="35"/>
        <v>0:0:00</v>
      </c>
      <c r="BB35" s="1273">
        <f t="shared" si="36"/>
        <v>0</v>
      </c>
      <c r="BC35" s="1232" t="s">
        <v>169</v>
      </c>
      <c r="BE35" s="5">
        <f t="shared" si="114"/>
        <v>0</v>
      </c>
      <c r="BF35" s="919">
        <f t="shared" si="115"/>
        <v>0</v>
      </c>
      <c r="BG35" s="376">
        <f t="shared" si="116"/>
        <v>0</v>
      </c>
      <c r="BH35" s="376">
        <f t="shared" si="117"/>
        <v>0</v>
      </c>
      <c r="BM35" s="745">
        <v>6</v>
      </c>
      <c r="BN35" s="745" t="str">
        <f t="shared" si="118"/>
        <v xml:space="preserve"> </v>
      </c>
      <c r="BO35" s="745">
        <f t="shared" si="119"/>
        <v>0</v>
      </c>
      <c r="BP35" s="745">
        <f t="shared" si="120"/>
        <v>0</v>
      </c>
      <c r="BQ35" s="745">
        <f t="shared" si="121"/>
        <v>0</v>
      </c>
      <c r="BR35" s="1429" t="e">
        <f t="shared" si="44"/>
        <v>#N/A</v>
      </c>
      <c r="CA35" s="1069">
        <f t="shared" si="45"/>
        <v>0</v>
      </c>
      <c r="CB35" s="1069">
        <f t="shared" si="46"/>
        <v>0</v>
      </c>
      <c r="CC35" s="1069">
        <f t="shared" si="47"/>
        <v>0</v>
      </c>
      <c r="CD35" s="1069">
        <f t="shared" si="48"/>
        <v>0</v>
      </c>
      <c r="CE35" s="1069">
        <f t="shared" si="49"/>
        <v>0</v>
      </c>
      <c r="CF35" s="1069">
        <f t="shared" si="50"/>
        <v>0</v>
      </c>
      <c r="CG35" s="1069">
        <f t="shared" si="51"/>
        <v>0</v>
      </c>
      <c r="CH35" s="1069">
        <f t="shared" si="52"/>
        <v>0</v>
      </c>
      <c r="CI35" s="1069">
        <f t="shared" si="53"/>
        <v>0</v>
      </c>
      <c r="CJ35" s="1069">
        <f t="shared" si="54"/>
        <v>0</v>
      </c>
      <c r="CK35" s="1069">
        <f t="shared" si="55"/>
        <v>0</v>
      </c>
      <c r="CL35" s="1069">
        <f t="shared" si="56"/>
        <v>0</v>
      </c>
      <c r="CM35" s="6" t="e">
        <f t="shared" ca="1" si="95"/>
        <v>#N/A</v>
      </c>
      <c r="CN35" s="6" t="e">
        <f t="shared" ca="1" si="96"/>
        <v>#N/A</v>
      </c>
      <c r="CO35" s="6" t="e">
        <f t="shared" ca="1" si="97"/>
        <v>#N/A</v>
      </c>
      <c r="CP35" s="6" t="e">
        <f t="shared" ca="1" si="98"/>
        <v>#N/A</v>
      </c>
      <c r="CQ35" s="6">
        <f t="shared" si="99"/>
        <v>0</v>
      </c>
      <c r="CR35" s="6" t="e">
        <f t="shared" ca="1" si="100"/>
        <v>#N/A</v>
      </c>
      <c r="CS35" s="1309" t="e">
        <f t="shared" ca="1" si="101"/>
        <v>#N/A</v>
      </c>
      <c r="CT35" s="1310" t="e">
        <f t="shared" ca="1" si="102"/>
        <v>#N/A</v>
      </c>
      <c r="CU35" s="6" t="e">
        <f t="shared" ca="1" si="57"/>
        <v>#N/A</v>
      </c>
      <c r="CV35" s="6" t="e">
        <f t="shared" ca="1" si="58"/>
        <v>#N/A</v>
      </c>
      <c r="CW35" s="6" t="e">
        <f t="shared" ca="1" si="59"/>
        <v>#N/A</v>
      </c>
      <c r="CX35" s="6" t="e">
        <f t="shared" ca="1" si="60"/>
        <v>#N/A</v>
      </c>
      <c r="CY35" s="6">
        <f t="shared" si="61"/>
        <v>0</v>
      </c>
      <c r="CZ35" s="6" t="e">
        <f t="shared" ca="1" si="62"/>
        <v>#N/A</v>
      </c>
      <c r="DA35" s="1309" t="e">
        <f t="shared" ca="1" si="63"/>
        <v>#N/A</v>
      </c>
      <c r="DC35" s="1418">
        <f t="shared" si="64"/>
        <v>0</v>
      </c>
      <c r="DD35" s="2">
        <f t="shared" si="65"/>
        <v>0</v>
      </c>
      <c r="DE35" s="1419">
        <f t="shared" si="9"/>
        <v>0</v>
      </c>
      <c r="DF35" s="2">
        <f t="shared" si="66"/>
        <v>0</v>
      </c>
      <c r="DG35" s="1420">
        <f t="shared" si="10"/>
        <v>0</v>
      </c>
      <c r="DH35" s="1421">
        <f t="shared" si="67"/>
        <v>0</v>
      </c>
      <c r="DI35" s="1422">
        <f t="shared" si="68"/>
        <v>0</v>
      </c>
      <c r="DJ35" s="1421" t="str">
        <f t="shared" si="69"/>
        <v/>
      </c>
      <c r="DK35" s="1423">
        <f t="shared" si="70"/>
        <v>0</v>
      </c>
      <c r="DM35" s="1421">
        <f t="shared" si="71"/>
        <v>0</v>
      </c>
      <c r="DN35" s="132">
        <f t="shared" si="72"/>
        <v>0</v>
      </c>
      <c r="DO35" s="1417" t="str">
        <f t="shared" si="73"/>
        <v/>
      </c>
      <c r="DP35" s="132">
        <f t="shared" si="74"/>
        <v>0</v>
      </c>
      <c r="DR35" s="566">
        <f t="shared" si="75"/>
        <v>0</v>
      </c>
      <c r="DS35" s="566">
        <f t="shared" si="76"/>
        <v>0</v>
      </c>
      <c r="DT35" s="1502">
        <f t="shared" si="77"/>
        <v>0</v>
      </c>
      <c r="DU35" s="1503"/>
      <c r="DV35" s="566">
        <f t="shared" si="78"/>
        <v>0</v>
      </c>
      <c r="DW35" s="566">
        <f t="shared" si="79"/>
        <v>0</v>
      </c>
      <c r="DX35" s="1502">
        <f t="shared" si="80"/>
        <v>0</v>
      </c>
      <c r="IK35" s="790"/>
      <c r="IL35" s="1865">
        <v>34</v>
      </c>
      <c r="IM35" s="1914" t="s">
        <v>1299</v>
      </c>
      <c r="IN35" s="1865">
        <v>0</v>
      </c>
      <c r="IO35" s="1865">
        <v>7</v>
      </c>
      <c r="IP35" s="786"/>
      <c r="IT35" s="742">
        <v>1</v>
      </c>
      <c r="IU35" s="742" t="s">
        <v>614</v>
      </c>
      <c r="IV35" s="742">
        <f>IF(Трудозатраты!H581&gt;0,1,0)</f>
        <v>0</v>
      </c>
      <c r="KB35" s="742">
        <f>IF(AND($KF35="газетная",$KM35=42),Мат!$P$194,0)+IF(AND($KF35="газетная",$KM35=45),Мат!$P$195,0)+IF(AND($KF35="газетная",$KM35=48.8),Мат!$P$196,0)+IF(AND($KF35="офсетная",$KM35=58),Мат!$P$192,0)+IF(AND($KF35="офсетная",$KM35=60),Мат!$P$198,0)</f>
        <v>0</v>
      </c>
      <c r="KC35" s="1198">
        <f t="shared" si="81"/>
        <v>0</v>
      </c>
      <c r="KD35" s="1325" t="str">
        <f>IF(OR(KF35="газетная",KF35="офсетная",KF35="писчая"),Кальк!$E$10,"del")</f>
        <v>del</v>
      </c>
      <c r="KE35" s="1117"/>
      <c r="KF35" s="1325">
        <f t="shared" si="11"/>
        <v>0</v>
      </c>
      <c r="KG35" s="1325">
        <f>IF(KF35&gt;0,Заказ!$D$8,0)</f>
        <v>0</v>
      </c>
      <c r="KH35" s="1117"/>
      <c r="KI35" s="1323">
        <f t="shared" si="12"/>
        <v>0</v>
      </c>
      <c r="KJ35" s="1117"/>
      <c r="KK35" s="1324">
        <f t="shared" si="13"/>
        <v>0</v>
      </c>
      <c r="KL35" s="1323">
        <f t="shared" si="14"/>
        <v>0</v>
      </c>
      <c r="KM35" s="1323">
        <f t="shared" si="15"/>
        <v>0</v>
      </c>
      <c r="KN35" s="1323">
        <f t="shared" si="16"/>
        <v>0</v>
      </c>
      <c r="KO35" s="1326">
        <f t="shared" si="17"/>
        <v>0</v>
      </c>
      <c r="KP35" s="1119">
        <f t="shared" si="103"/>
        <v>0</v>
      </c>
      <c r="KQ35" s="1315">
        <f t="shared" si="104"/>
        <v>25000</v>
      </c>
      <c r="KR35" s="1327">
        <f t="shared" si="18"/>
        <v>0</v>
      </c>
      <c r="KS35" s="1287" t="str">
        <f t="shared" si="82"/>
        <v>0:0:00</v>
      </c>
      <c r="KT35" s="566"/>
      <c r="KU35" s="1117"/>
      <c r="KV35" s="1117"/>
      <c r="KW35" s="1189">
        <f t="shared" si="83"/>
        <v>0</v>
      </c>
      <c r="KX35" s="1314">
        <f t="shared" ca="1" si="105"/>
        <v>29375</v>
      </c>
      <c r="KY35" s="1275">
        <f t="shared" si="84"/>
        <v>0</v>
      </c>
      <c r="KZ35" s="1119"/>
      <c r="LA35" s="1119"/>
      <c r="LB35" s="1119"/>
      <c r="LC35" s="1255"/>
      <c r="LD35" s="1255"/>
      <c r="LE35" s="1255"/>
      <c r="LF35" s="1189">
        <f t="shared" si="85"/>
        <v>0</v>
      </c>
      <c r="LG35" s="1314">
        <f t="shared" ca="1" si="106"/>
        <v>4375</v>
      </c>
      <c r="LH35" s="1275">
        <f t="shared" si="86"/>
        <v>0</v>
      </c>
      <c r="LI35" s="1119"/>
      <c r="LJ35" s="1119"/>
      <c r="LK35" s="1119"/>
      <c r="LL35" s="1121">
        <f t="shared" si="87"/>
        <v>0</v>
      </c>
      <c r="LM35" s="1117"/>
      <c r="LN35" s="1119"/>
      <c r="LO35" s="1119"/>
      <c r="LP35" s="1119"/>
      <c r="LQ35" s="1119"/>
      <c r="LR35" s="1255"/>
      <c r="LS35" s="1255"/>
      <c r="LT35" s="1119"/>
      <c r="LU35" s="1117"/>
      <c r="LV35" s="1286" t="str">
        <f t="shared" si="19"/>
        <v>тип</v>
      </c>
      <c r="LW35" s="1289" t="str">
        <f>IF(B35&gt;0,LOOKUP($B35,Мат!$A$191:$A$312,Мат!$R$191:$R$312),"")</f>
        <v/>
      </c>
      <c r="LX35" s="1290">
        <f t="shared" si="88"/>
        <v>1</v>
      </c>
    </row>
    <row r="36" spans="1:336" ht="15.75" customHeight="1" x14ac:dyDescent="0.2">
      <c r="A36" s="1184">
        <f t="shared" si="20"/>
        <v>3</v>
      </c>
      <c r="B36" s="116"/>
      <c r="C36" s="106" t="str">
        <f>IF(B36&gt;0,VLOOKUP($B36,Мат!$A$190:$N$314,2)," ")</f>
        <v xml:space="preserve"> </v>
      </c>
      <c r="D36" s="106"/>
      <c r="E36" s="117"/>
      <c r="F36" s="117"/>
      <c r="G36" s="117">
        <v>1</v>
      </c>
      <c r="H36" s="117"/>
      <c r="I36" s="117"/>
      <c r="J36" s="78"/>
      <c r="K36" s="117"/>
      <c r="L36" s="117"/>
      <c r="M36" s="78">
        <v>1</v>
      </c>
      <c r="N36" s="78"/>
      <c r="O36" s="189">
        <f t="shared" si="3"/>
        <v>1</v>
      </c>
      <c r="P36" s="78"/>
      <c r="Q36" s="78"/>
      <c r="R36" s="78"/>
      <c r="S36" s="198">
        <f t="shared" si="109"/>
        <v>0</v>
      </c>
      <c r="T36" s="190">
        <f t="shared" si="110"/>
        <v>1</v>
      </c>
      <c r="U36" s="1073">
        <f t="shared" si="23"/>
        <v>0</v>
      </c>
      <c r="V36" s="1074">
        <f t="shared" si="122"/>
        <v>0</v>
      </c>
      <c r="W36" s="1073">
        <f t="shared" si="24"/>
        <v>0</v>
      </c>
      <c r="X36" s="1312" t="e">
        <f t="shared" ca="1" si="107"/>
        <v>#N/A</v>
      </c>
      <c r="Y36" s="191">
        <f t="shared" si="111"/>
        <v>0</v>
      </c>
      <c r="Z36" s="1075">
        <f t="shared" si="91"/>
        <v>0</v>
      </c>
      <c r="AA36" s="1074">
        <f t="shared" si="26"/>
        <v>0</v>
      </c>
      <c r="AB36" s="1073">
        <f t="shared" si="108"/>
        <v>0</v>
      </c>
      <c r="AC36" s="1076">
        <f t="shared" si="92"/>
        <v>0</v>
      </c>
      <c r="AD36" s="1077" t="e">
        <f t="shared" si="4"/>
        <v>#N/A</v>
      </c>
      <c r="AE36" s="188" t="e">
        <f>VLOOKUP($B36,Мат!$A$191:$N$314,5)</f>
        <v>#N/A</v>
      </c>
      <c r="AF36" s="19">
        <f t="shared" si="27"/>
        <v>1</v>
      </c>
      <c r="AG36" s="1300">
        <f t="shared" si="5"/>
        <v>1</v>
      </c>
      <c r="AH36" s="19">
        <f t="shared" si="112"/>
        <v>1</v>
      </c>
      <c r="AI36" s="189">
        <f t="shared" si="113"/>
        <v>1</v>
      </c>
      <c r="AJ36" s="376">
        <f t="shared" si="6"/>
        <v>0</v>
      </c>
      <c r="AK36" s="376">
        <f t="shared" si="7"/>
        <v>0</v>
      </c>
      <c r="AL36" s="11">
        <v>5</v>
      </c>
      <c r="AM36" s="11">
        <f t="shared" si="29"/>
        <v>0</v>
      </c>
      <c r="AN36" s="11" t="str">
        <f t="shared" si="30"/>
        <v/>
      </c>
      <c r="AO36" s="1201">
        <f t="shared" si="31"/>
        <v>0</v>
      </c>
      <c r="AP36" s="1201">
        <f t="shared" si="32"/>
        <v>0</v>
      </c>
      <c r="AQ36" s="1206">
        <f t="shared" si="33"/>
        <v>0</v>
      </c>
      <c r="AR36" s="1313">
        <f t="shared" si="8"/>
        <v>0</v>
      </c>
      <c r="AZ36" s="1204">
        <f t="shared" si="34"/>
        <v>0</v>
      </c>
      <c r="BA36" s="1231" t="str">
        <f t="shared" si="35"/>
        <v>0:0:00</v>
      </c>
      <c r="BB36" s="1273">
        <f t="shared" si="36"/>
        <v>0</v>
      </c>
      <c r="BC36" s="1232" t="s">
        <v>169</v>
      </c>
      <c r="BE36" s="5">
        <f t="shared" si="114"/>
        <v>0</v>
      </c>
      <c r="BF36" s="919">
        <f t="shared" si="115"/>
        <v>0</v>
      </c>
      <c r="BG36" s="376">
        <f t="shared" si="116"/>
        <v>0</v>
      </c>
      <c r="BH36" s="376">
        <f t="shared" si="117"/>
        <v>0</v>
      </c>
      <c r="BM36" s="745">
        <v>6</v>
      </c>
      <c r="BN36" s="745" t="str">
        <f t="shared" si="118"/>
        <v xml:space="preserve"> </v>
      </c>
      <c r="BO36" s="745">
        <f t="shared" si="119"/>
        <v>0</v>
      </c>
      <c r="BP36" s="745">
        <f t="shared" si="120"/>
        <v>0</v>
      </c>
      <c r="BQ36" s="745">
        <f t="shared" si="121"/>
        <v>0</v>
      </c>
      <c r="BR36" s="1429" t="e">
        <f t="shared" si="44"/>
        <v>#N/A</v>
      </c>
      <c r="CA36" s="1069">
        <f t="shared" si="45"/>
        <v>0</v>
      </c>
      <c r="CB36" s="1069">
        <f t="shared" si="46"/>
        <v>0</v>
      </c>
      <c r="CC36" s="1069">
        <f t="shared" si="47"/>
        <v>0</v>
      </c>
      <c r="CD36" s="1069">
        <f t="shared" si="48"/>
        <v>0</v>
      </c>
      <c r="CE36" s="1069">
        <f t="shared" si="49"/>
        <v>0</v>
      </c>
      <c r="CF36" s="1069">
        <f t="shared" si="50"/>
        <v>0</v>
      </c>
      <c r="CG36" s="1069">
        <f t="shared" si="51"/>
        <v>0</v>
      </c>
      <c r="CH36" s="1069">
        <f t="shared" si="52"/>
        <v>0</v>
      </c>
      <c r="CI36" s="1069">
        <f t="shared" si="53"/>
        <v>0</v>
      </c>
      <c r="CJ36" s="1069">
        <f t="shared" si="54"/>
        <v>0</v>
      </c>
      <c r="CK36" s="1069">
        <f t="shared" si="55"/>
        <v>0</v>
      </c>
      <c r="CL36" s="1069">
        <f t="shared" si="56"/>
        <v>0</v>
      </c>
      <c r="CM36" s="6" t="e">
        <f t="shared" ca="1" si="95"/>
        <v>#N/A</v>
      </c>
      <c r="CN36" s="6" t="e">
        <f t="shared" ca="1" si="96"/>
        <v>#N/A</v>
      </c>
      <c r="CO36" s="6" t="e">
        <f t="shared" ca="1" si="97"/>
        <v>#N/A</v>
      </c>
      <c r="CP36" s="6" t="e">
        <f t="shared" ca="1" si="98"/>
        <v>#N/A</v>
      </c>
      <c r="CQ36" s="6">
        <f t="shared" si="99"/>
        <v>0</v>
      </c>
      <c r="CR36" s="6" t="e">
        <f t="shared" ca="1" si="100"/>
        <v>#N/A</v>
      </c>
      <c r="CS36" s="1309" t="e">
        <f t="shared" ca="1" si="101"/>
        <v>#N/A</v>
      </c>
      <c r="CT36" s="1310" t="e">
        <f t="shared" ca="1" si="102"/>
        <v>#N/A</v>
      </c>
      <c r="CU36" s="6" t="e">
        <f t="shared" ca="1" si="57"/>
        <v>#N/A</v>
      </c>
      <c r="CV36" s="6" t="e">
        <f t="shared" ca="1" si="58"/>
        <v>#N/A</v>
      </c>
      <c r="CW36" s="6" t="e">
        <f t="shared" ca="1" si="59"/>
        <v>#N/A</v>
      </c>
      <c r="CX36" s="6" t="e">
        <f t="shared" ca="1" si="60"/>
        <v>#N/A</v>
      </c>
      <c r="CY36" s="6">
        <f t="shared" si="61"/>
        <v>0</v>
      </c>
      <c r="CZ36" s="6" t="e">
        <f t="shared" ca="1" si="62"/>
        <v>#N/A</v>
      </c>
      <c r="DA36" s="1309" t="e">
        <f t="shared" ca="1" si="63"/>
        <v>#N/A</v>
      </c>
      <c r="DC36" s="1418">
        <f t="shared" si="64"/>
        <v>0</v>
      </c>
      <c r="DD36" s="2">
        <f t="shared" si="65"/>
        <v>0</v>
      </c>
      <c r="DE36" s="1419">
        <f t="shared" si="9"/>
        <v>0</v>
      </c>
      <c r="DF36" s="2">
        <f t="shared" si="66"/>
        <v>0</v>
      </c>
      <c r="DG36" s="1420">
        <f t="shared" si="10"/>
        <v>0</v>
      </c>
      <c r="DH36" s="1421">
        <f t="shared" si="67"/>
        <v>0</v>
      </c>
      <c r="DI36" s="1422">
        <f t="shared" si="68"/>
        <v>0</v>
      </c>
      <c r="DJ36" s="1421" t="str">
        <f t="shared" si="69"/>
        <v/>
      </c>
      <c r="DK36" s="1423">
        <f t="shared" si="70"/>
        <v>0</v>
      </c>
      <c r="DM36" s="1421">
        <f t="shared" si="71"/>
        <v>0</v>
      </c>
      <c r="DN36" s="132">
        <f t="shared" si="72"/>
        <v>0</v>
      </c>
      <c r="DO36" s="1417" t="str">
        <f t="shared" si="73"/>
        <v/>
      </c>
      <c r="DP36" s="132">
        <f t="shared" si="74"/>
        <v>0</v>
      </c>
      <c r="DR36" s="566">
        <f t="shared" si="75"/>
        <v>0</v>
      </c>
      <c r="DS36" s="566">
        <f t="shared" si="76"/>
        <v>0</v>
      </c>
      <c r="DT36" s="1502">
        <f t="shared" si="77"/>
        <v>0</v>
      </c>
      <c r="DU36" s="1503"/>
      <c r="DV36" s="566">
        <f t="shared" si="78"/>
        <v>0</v>
      </c>
      <c r="DW36" s="566">
        <f t="shared" si="79"/>
        <v>0</v>
      </c>
      <c r="DX36" s="1502">
        <f t="shared" si="80"/>
        <v>0</v>
      </c>
      <c r="IK36" s="790"/>
      <c r="IL36" s="1865">
        <v>35</v>
      </c>
      <c r="IM36" s="1914" t="s">
        <v>1306</v>
      </c>
      <c r="IN36" s="1865">
        <v>0</v>
      </c>
      <c r="IO36" s="1865">
        <v>7</v>
      </c>
      <c r="IT36" s="742">
        <v>2</v>
      </c>
      <c r="IU36" s="742" t="s">
        <v>615</v>
      </c>
      <c r="IV36" s="742">
        <f>IF(Трудозатраты!H573&gt;0,2,0)</f>
        <v>0</v>
      </c>
      <c r="KB36" s="742">
        <f>IF(AND($KF36="газетная",$KM36=42),Мат!$P$194,0)+IF(AND($KF36="газетная",$KM36=45),Мат!$P$195,0)+IF(AND($KF36="газетная",$KM36=48.8),Мат!$P$196,0)+IF(AND($KF36="офсетная",$KM36=58),Мат!$P$192,0)+IF(AND($KF36="офсетная",$KM36=60),Мат!$P$198,0)</f>
        <v>0</v>
      </c>
      <c r="KC36" s="1198">
        <f t="shared" si="81"/>
        <v>0</v>
      </c>
      <c r="KD36" s="1325" t="str">
        <f>IF(OR(KF36="газетная",KF36="офсетная",KF36="писчая"),Кальк!$E$10,"del")</f>
        <v>del</v>
      </c>
      <c r="KE36" s="1117"/>
      <c r="KF36" s="1325">
        <f t="shared" si="11"/>
        <v>0</v>
      </c>
      <c r="KG36" s="1325">
        <f>IF(KF36&gt;0,Заказ!$D$8,0)</f>
        <v>0</v>
      </c>
      <c r="KH36" s="1117"/>
      <c r="KI36" s="1323">
        <f t="shared" si="12"/>
        <v>0</v>
      </c>
      <c r="KJ36" s="1117"/>
      <c r="KK36" s="1324">
        <f t="shared" si="13"/>
        <v>0</v>
      </c>
      <c r="KL36" s="1323">
        <f t="shared" si="14"/>
        <v>0</v>
      </c>
      <c r="KM36" s="1323">
        <f t="shared" si="15"/>
        <v>0</v>
      </c>
      <c r="KN36" s="1323">
        <f t="shared" si="16"/>
        <v>0</v>
      </c>
      <c r="KO36" s="1326">
        <f t="shared" si="17"/>
        <v>0</v>
      </c>
      <c r="KP36" s="1119">
        <f t="shared" si="103"/>
        <v>0</v>
      </c>
      <c r="KQ36" s="1315">
        <f t="shared" si="104"/>
        <v>25000</v>
      </c>
      <c r="KR36" s="1327">
        <f t="shared" si="18"/>
        <v>0</v>
      </c>
      <c r="KS36" s="1287" t="str">
        <f t="shared" si="82"/>
        <v>0:0:00</v>
      </c>
      <c r="KT36" s="566"/>
      <c r="KU36" s="1117"/>
      <c r="KV36" s="1117"/>
      <c r="KW36" s="1189">
        <f t="shared" si="83"/>
        <v>0</v>
      </c>
      <c r="KX36" s="1314">
        <f t="shared" ca="1" si="105"/>
        <v>29375</v>
      </c>
      <c r="KY36" s="1275">
        <f t="shared" si="84"/>
        <v>0</v>
      </c>
      <c r="KZ36" s="1119"/>
      <c r="LA36" s="1119"/>
      <c r="LB36" s="1119"/>
      <c r="LC36" s="1255"/>
      <c r="LD36" s="1255"/>
      <c r="LE36" s="1255"/>
      <c r="LF36" s="1189">
        <f t="shared" si="85"/>
        <v>0</v>
      </c>
      <c r="LG36" s="1314">
        <f t="shared" ca="1" si="106"/>
        <v>4375</v>
      </c>
      <c r="LH36" s="1275">
        <f t="shared" si="86"/>
        <v>0</v>
      </c>
      <c r="LI36" s="1119"/>
      <c r="LJ36" s="1119"/>
      <c r="LK36" s="1119"/>
      <c r="LL36" s="1121">
        <f t="shared" si="87"/>
        <v>0</v>
      </c>
      <c r="LM36" s="1117"/>
      <c r="LN36" s="1119"/>
      <c r="LO36" s="1119"/>
      <c r="LP36" s="1119"/>
      <c r="LQ36" s="1119"/>
      <c r="LR36" s="1255"/>
      <c r="LS36" s="1255"/>
      <c r="LT36" s="1119"/>
      <c r="LU36" s="1117"/>
      <c r="LV36" s="1286" t="str">
        <f t="shared" si="19"/>
        <v>тип</v>
      </c>
      <c r="LW36" s="1289" t="str">
        <f>IF(B36&gt;0,LOOKUP($B36,Мат!$A$191:$A$312,Мат!$R$191:$R$312),"")</f>
        <v/>
      </c>
      <c r="LX36" s="1290">
        <f t="shared" si="88"/>
        <v>1</v>
      </c>
    </row>
    <row r="37" spans="1:336" ht="15.75" customHeight="1" x14ac:dyDescent="0.2">
      <c r="A37" s="1184">
        <f t="shared" si="20"/>
        <v>3</v>
      </c>
      <c r="B37" s="116"/>
      <c r="C37" s="106" t="str">
        <f>IF(B37&gt;0,VLOOKUP($B37,Мат!$A$190:$N$314,2)," ")</f>
        <v xml:space="preserve"> </v>
      </c>
      <c r="D37" s="106"/>
      <c r="E37" s="117"/>
      <c r="F37" s="117"/>
      <c r="G37" s="117">
        <v>1</v>
      </c>
      <c r="H37" s="117"/>
      <c r="I37" s="117"/>
      <c r="J37" s="78"/>
      <c r="K37" s="117"/>
      <c r="L37" s="117"/>
      <c r="M37" s="78">
        <v>1</v>
      </c>
      <c r="N37" s="78"/>
      <c r="O37" s="189">
        <f t="shared" si="3"/>
        <v>1</v>
      </c>
      <c r="P37" s="78"/>
      <c r="Q37" s="78"/>
      <c r="R37" s="78"/>
      <c r="S37" s="198">
        <f t="shared" si="109"/>
        <v>0</v>
      </c>
      <c r="T37" s="190">
        <f t="shared" si="110"/>
        <v>1</v>
      </c>
      <c r="U37" s="1073">
        <f t="shared" si="23"/>
        <v>0</v>
      </c>
      <c r="V37" s="1074">
        <f t="shared" si="122"/>
        <v>0</v>
      </c>
      <c r="W37" s="1073">
        <f t="shared" si="24"/>
        <v>0</v>
      </c>
      <c r="X37" s="1312" t="e">
        <f t="shared" ca="1" si="107"/>
        <v>#N/A</v>
      </c>
      <c r="Y37" s="191">
        <f t="shared" si="111"/>
        <v>0</v>
      </c>
      <c r="Z37" s="1075">
        <f t="shared" si="91"/>
        <v>0</v>
      </c>
      <c r="AA37" s="1074">
        <f t="shared" si="26"/>
        <v>0</v>
      </c>
      <c r="AB37" s="1073">
        <f t="shared" si="108"/>
        <v>0</v>
      </c>
      <c r="AC37" s="1076">
        <f t="shared" si="92"/>
        <v>0</v>
      </c>
      <c r="AD37" s="1077" t="e">
        <f t="shared" si="4"/>
        <v>#N/A</v>
      </c>
      <c r="AE37" s="188" t="e">
        <f>VLOOKUP($B37,Мат!$A$191:$N$314,5)</f>
        <v>#N/A</v>
      </c>
      <c r="AF37" s="19">
        <f t="shared" si="27"/>
        <v>1</v>
      </c>
      <c r="AG37" s="1300">
        <f t="shared" si="5"/>
        <v>1</v>
      </c>
      <c r="AH37" s="19">
        <f t="shared" si="112"/>
        <v>1</v>
      </c>
      <c r="AI37" s="189">
        <f t="shared" si="113"/>
        <v>1</v>
      </c>
      <c r="AJ37" s="376">
        <f t="shared" si="6"/>
        <v>0</v>
      </c>
      <c r="AK37" s="376">
        <f t="shared" si="7"/>
        <v>0</v>
      </c>
      <c r="AL37" s="11">
        <v>5</v>
      </c>
      <c r="AM37" s="11">
        <f t="shared" si="29"/>
        <v>0</v>
      </c>
      <c r="AN37" s="11" t="str">
        <f t="shared" si="30"/>
        <v/>
      </c>
      <c r="AO37" s="1201">
        <f t="shared" si="31"/>
        <v>0</v>
      </c>
      <c r="AP37" s="1201">
        <f t="shared" si="32"/>
        <v>0</v>
      </c>
      <c r="AQ37" s="1206">
        <f t="shared" si="33"/>
        <v>0</v>
      </c>
      <c r="AR37" s="1313">
        <f t="shared" si="8"/>
        <v>0</v>
      </c>
      <c r="AZ37" s="1204">
        <f t="shared" si="34"/>
        <v>0</v>
      </c>
      <c r="BA37" s="1231" t="str">
        <f t="shared" si="35"/>
        <v>0:0:00</v>
      </c>
      <c r="BB37" s="1273">
        <f t="shared" si="36"/>
        <v>0</v>
      </c>
      <c r="BC37" s="1232" t="s">
        <v>169</v>
      </c>
      <c r="BE37" s="5">
        <f t="shared" si="114"/>
        <v>0</v>
      </c>
      <c r="BF37" s="919">
        <f t="shared" si="115"/>
        <v>0</v>
      </c>
      <c r="BG37" s="376">
        <f t="shared" si="116"/>
        <v>0</v>
      </c>
      <c r="BH37" s="376">
        <f t="shared" si="117"/>
        <v>0</v>
      </c>
      <c r="BM37" s="745">
        <v>6</v>
      </c>
      <c r="BN37" s="745" t="str">
        <f t="shared" si="118"/>
        <v xml:space="preserve"> </v>
      </c>
      <c r="BO37" s="745">
        <f t="shared" si="119"/>
        <v>0</v>
      </c>
      <c r="BP37" s="745">
        <f t="shared" si="120"/>
        <v>0</v>
      </c>
      <c r="BQ37" s="745">
        <f t="shared" si="121"/>
        <v>0</v>
      </c>
      <c r="BR37" s="1429" t="e">
        <f t="shared" si="44"/>
        <v>#N/A</v>
      </c>
      <c r="CA37" s="1069">
        <f t="shared" si="45"/>
        <v>0</v>
      </c>
      <c r="CB37" s="1069">
        <f t="shared" si="46"/>
        <v>0</v>
      </c>
      <c r="CC37" s="1069">
        <f t="shared" si="47"/>
        <v>0</v>
      </c>
      <c r="CD37" s="1069">
        <f t="shared" si="48"/>
        <v>0</v>
      </c>
      <c r="CE37" s="1069">
        <f t="shared" si="49"/>
        <v>0</v>
      </c>
      <c r="CF37" s="1069">
        <f t="shared" si="50"/>
        <v>0</v>
      </c>
      <c r="CG37" s="1069">
        <f t="shared" si="51"/>
        <v>0</v>
      </c>
      <c r="CH37" s="1069">
        <f t="shared" si="52"/>
        <v>0</v>
      </c>
      <c r="CI37" s="1069">
        <f t="shared" si="53"/>
        <v>0</v>
      </c>
      <c r="CJ37" s="1069">
        <f t="shared" si="54"/>
        <v>0</v>
      </c>
      <c r="CK37" s="1069">
        <f t="shared" si="55"/>
        <v>0</v>
      </c>
      <c r="CL37" s="1069">
        <f t="shared" si="56"/>
        <v>0</v>
      </c>
      <c r="CM37" s="6" t="e">
        <f t="shared" ca="1" si="95"/>
        <v>#N/A</v>
      </c>
      <c r="CN37" s="6" t="e">
        <f t="shared" ca="1" si="96"/>
        <v>#N/A</v>
      </c>
      <c r="CO37" s="6" t="e">
        <f t="shared" ca="1" si="97"/>
        <v>#N/A</v>
      </c>
      <c r="CP37" s="6" t="e">
        <f t="shared" ca="1" si="98"/>
        <v>#N/A</v>
      </c>
      <c r="CQ37" s="6">
        <f t="shared" si="99"/>
        <v>0</v>
      </c>
      <c r="CR37" s="6" t="e">
        <f t="shared" ca="1" si="100"/>
        <v>#N/A</v>
      </c>
      <c r="CS37" s="1309" t="e">
        <f t="shared" ca="1" si="101"/>
        <v>#N/A</v>
      </c>
      <c r="CT37" s="1310" t="e">
        <f t="shared" ca="1" si="102"/>
        <v>#N/A</v>
      </c>
      <c r="CU37" s="6" t="e">
        <f t="shared" ca="1" si="57"/>
        <v>#N/A</v>
      </c>
      <c r="CV37" s="6" t="e">
        <f t="shared" ca="1" si="58"/>
        <v>#N/A</v>
      </c>
      <c r="CW37" s="6" t="e">
        <f t="shared" ca="1" si="59"/>
        <v>#N/A</v>
      </c>
      <c r="CX37" s="6" t="e">
        <f t="shared" ca="1" si="60"/>
        <v>#N/A</v>
      </c>
      <c r="CY37" s="6">
        <f t="shared" si="61"/>
        <v>0</v>
      </c>
      <c r="CZ37" s="6" t="e">
        <f t="shared" ca="1" si="62"/>
        <v>#N/A</v>
      </c>
      <c r="DA37" s="1309" t="e">
        <f t="shared" ca="1" si="63"/>
        <v>#N/A</v>
      </c>
      <c r="DC37" s="1418">
        <f t="shared" si="64"/>
        <v>0</v>
      </c>
      <c r="DD37" s="2">
        <f t="shared" si="65"/>
        <v>0</v>
      </c>
      <c r="DE37" s="1419">
        <f t="shared" si="9"/>
        <v>0</v>
      </c>
      <c r="DF37" s="2">
        <f t="shared" si="66"/>
        <v>0</v>
      </c>
      <c r="DG37" s="1420">
        <f t="shared" si="10"/>
        <v>0</v>
      </c>
      <c r="DH37" s="1421">
        <f t="shared" si="67"/>
        <v>0</v>
      </c>
      <c r="DI37" s="1422">
        <f t="shared" si="68"/>
        <v>0</v>
      </c>
      <c r="DJ37" s="1421" t="str">
        <f t="shared" si="69"/>
        <v/>
      </c>
      <c r="DK37" s="1423">
        <f t="shared" si="70"/>
        <v>0</v>
      </c>
      <c r="DM37" s="1421">
        <f t="shared" si="71"/>
        <v>0</v>
      </c>
      <c r="DN37" s="132">
        <f t="shared" si="72"/>
        <v>0</v>
      </c>
      <c r="DO37" s="1417" t="str">
        <f t="shared" si="73"/>
        <v/>
      </c>
      <c r="DP37" s="132">
        <f t="shared" si="74"/>
        <v>0</v>
      </c>
      <c r="DR37" s="566">
        <f t="shared" si="75"/>
        <v>0</v>
      </c>
      <c r="DS37" s="566">
        <f t="shared" si="76"/>
        <v>0</v>
      </c>
      <c r="DT37" s="1502">
        <f t="shared" si="77"/>
        <v>0</v>
      </c>
      <c r="DU37" s="1503"/>
      <c r="DV37" s="566">
        <f t="shared" si="78"/>
        <v>0</v>
      </c>
      <c r="DW37" s="566">
        <f t="shared" si="79"/>
        <v>0</v>
      </c>
      <c r="DX37" s="1502">
        <f t="shared" si="80"/>
        <v>0</v>
      </c>
      <c r="IK37" s="790"/>
      <c r="IL37" s="1865">
        <v>36</v>
      </c>
      <c r="IM37" s="1914" t="s">
        <v>1311</v>
      </c>
      <c r="IN37" s="1865">
        <v>0</v>
      </c>
      <c r="IO37" s="1865">
        <v>7</v>
      </c>
      <c r="IT37" s="742">
        <v>3</v>
      </c>
      <c r="IU37" s="742" t="s">
        <v>616</v>
      </c>
      <c r="IV37" s="742">
        <f>IF(Трудозатраты!H577&gt;0,3,0)</f>
        <v>0</v>
      </c>
      <c r="KB37" s="742">
        <f>IF(AND($KF37="газетная",$KM37=42),Мат!$P$194,0)+IF(AND($KF37="газетная",$KM37=45),Мат!$P$195,0)+IF(AND($KF37="газетная",$KM37=48.8),Мат!$P$196,0)+IF(AND($KF37="офсетная",$KM37=58),Мат!$P$192,0)+IF(AND($KF37="офсетная",$KM37=60),Мат!$P$198,0)</f>
        <v>0</v>
      </c>
      <c r="KC37" s="1198">
        <f t="shared" si="81"/>
        <v>0</v>
      </c>
      <c r="KD37" s="1325" t="str">
        <f>IF(OR(KF37="газетная",KF37="офсетная",KF37="писчая"),Кальк!$E$10,"del")</f>
        <v>del</v>
      </c>
      <c r="KE37" s="1117"/>
      <c r="KF37" s="1325">
        <f t="shared" si="11"/>
        <v>0</v>
      </c>
      <c r="KG37" s="1325">
        <f>IF(KF37&gt;0,Заказ!$D$8,0)</f>
        <v>0</v>
      </c>
      <c r="KH37" s="1117"/>
      <c r="KI37" s="1323">
        <f t="shared" si="12"/>
        <v>0</v>
      </c>
      <c r="KJ37" s="1117"/>
      <c r="KK37" s="1324">
        <f t="shared" si="13"/>
        <v>0</v>
      </c>
      <c r="KL37" s="1323">
        <f t="shared" si="14"/>
        <v>0</v>
      </c>
      <c r="KM37" s="1323">
        <f t="shared" si="15"/>
        <v>0</v>
      </c>
      <c r="KN37" s="1323">
        <f t="shared" si="16"/>
        <v>0</v>
      </c>
      <c r="KO37" s="1326">
        <f t="shared" si="17"/>
        <v>0</v>
      </c>
      <c r="KP37" s="1119">
        <f t="shared" si="103"/>
        <v>0</v>
      </c>
      <c r="KQ37" s="1315">
        <f t="shared" si="104"/>
        <v>25000</v>
      </c>
      <c r="KR37" s="1327">
        <f t="shared" si="18"/>
        <v>0</v>
      </c>
      <c r="KS37" s="1287" t="str">
        <f t="shared" si="82"/>
        <v>0:0:00</v>
      </c>
      <c r="KT37" s="566"/>
      <c r="KU37" s="1117"/>
      <c r="KV37" s="1117"/>
      <c r="KW37" s="1189">
        <f t="shared" si="83"/>
        <v>0</v>
      </c>
      <c r="KX37" s="1314">
        <f t="shared" ca="1" si="105"/>
        <v>29375</v>
      </c>
      <c r="KY37" s="1275">
        <f t="shared" si="84"/>
        <v>0</v>
      </c>
      <c r="KZ37" s="1119"/>
      <c r="LA37" s="1119"/>
      <c r="LB37" s="1119"/>
      <c r="LC37" s="1255"/>
      <c r="LD37" s="1255"/>
      <c r="LE37" s="1255"/>
      <c r="LF37" s="1189">
        <f t="shared" si="85"/>
        <v>0</v>
      </c>
      <c r="LG37" s="1314">
        <f t="shared" ca="1" si="106"/>
        <v>4375</v>
      </c>
      <c r="LH37" s="1275">
        <f t="shared" si="86"/>
        <v>0</v>
      </c>
      <c r="LI37" s="1119"/>
      <c r="LJ37" s="1119"/>
      <c r="LK37" s="1119"/>
      <c r="LL37" s="1121">
        <f t="shared" si="87"/>
        <v>0</v>
      </c>
      <c r="LM37" s="1117"/>
      <c r="LN37" s="1119"/>
      <c r="LO37" s="1119"/>
      <c r="LP37" s="1119"/>
      <c r="LQ37" s="1119"/>
      <c r="LR37" s="1255"/>
      <c r="LS37" s="1255"/>
      <c r="LT37" s="1119"/>
      <c r="LU37" s="1117"/>
      <c r="LV37" s="1286" t="str">
        <f t="shared" si="19"/>
        <v>тип</v>
      </c>
      <c r="LW37" s="1289" t="str">
        <f>IF(B37&gt;0,LOOKUP($B37,Мат!$A$191:$A$312,Мат!$R$191:$R$312),"")</f>
        <v/>
      </c>
      <c r="LX37" s="1290">
        <f t="shared" si="88"/>
        <v>1</v>
      </c>
    </row>
    <row r="38" spans="1:336" ht="15.75" customHeight="1" x14ac:dyDescent="0.2">
      <c r="A38" s="1184">
        <f t="shared" si="20"/>
        <v>3</v>
      </c>
      <c r="B38" s="116"/>
      <c r="C38" s="106" t="str">
        <f>IF(B38&gt;0,VLOOKUP($B38,Мат!$A$190:$N$314,2)," ")</f>
        <v xml:space="preserve"> </v>
      </c>
      <c r="D38" s="106"/>
      <c r="E38" s="117"/>
      <c r="F38" s="117"/>
      <c r="G38" s="117">
        <v>1</v>
      </c>
      <c r="H38" s="117"/>
      <c r="I38" s="117"/>
      <c r="J38" s="78"/>
      <c r="K38" s="117"/>
      <c r="L38" s="117"/>
      <c r="M38" s="78">
        <v>1</v>
      </c>
      <c r="N38" s="78"/>
      <c r="O38" s="189">
        <f t="shared" si="3"/>
        <v>1</v>
      </c>
      <c r="P38" s="78"/>
      <c r="Q38" s="78"/>
      <c r="R38" s="78"/>
      <c r="S38" s="198">
        <f t="shared" si="109"/>
        <v>0</v>
      </c>
      <c r="T38" s="190">
        <f t="shared" si="110"/>
        <v>1</v>
      </c>
      <c r="U38" s="1073">
        <f t="shared" si="23"/>
        <v>0</v>
      </c>
      <c r="V38" s="1074">
        <f t="shared" si="122"/>
        <v>0</v>
      </c>
      <c r="W38" s="1073">
        <f t="shared" si="24"/>
        <v>0</v>
      </c>
      <c r="X38" s="1312" t="e">
        <f t="shared" ca="1" si="107"/>
        <v>#N/A</v>
      </c>
      <c r="Y38" s="191">
        <f t="shared" si="111"/>
        <v>0</v>
      </c>
      <c r="Z38" s="1075">
        <f t="shared" si="91"/>
        <v>0</v>
      </c>
      <c r="AA38" s="1074">
        <f t="shared" si="26"/>
        <v>0</v>
      </c>
      <c r="AB38" s="1073">
        <f t="shared" si="108"/>
        <v>0</v>
      </c>
      <c r="AC38" s="1076">
        <f t="shared" si="92"/>
        <v>0</v>
      </c>
      <c r="AD38" s="1077" t="e">
        <f t="shared" si="4"/>
        <v>#N/A</v>
      </c>
      <c r="AE38" s="188" t="e">
        <f>VLOOKUP($B38,Мат!$A$191:$N$314,5)</f>
        <v>#N/A</v>
      </c>
      <c r="AF38" s="19">
        <f t="shared" si="27"/>
        <v>1</v>
      </c>
      <c r="AG38" s="1300">
        <f t="shared" si="5"/>
        <v>1</v>
      </c>
      <c r="AH38" s="19">
        <f t="shared" si="112"/>
        <v>1</v>
      </c>
      <c r="AI38" s="189">
        <f t="shared" si="113"/>
        <v>1</v>
      </c>
      <c r="AJ38" s="376">
        <f t="shared" si="6"/>
        <v>0</v>
      </c>
      <c r="AK38" s="376">
        <f t="shared" si="7"/>
        <v>0</v>
      </c>
      <c r="AL38" s="11">
        <v>5</v>
      </c>
      <c r="AM38" s="11">
        <f t="shared" si="29"/>
        <v>0</v>
      </c>
      <c r="AN38" s="11" t="str">
        <f t="shared" si="30"/>
        <v/>
      </c>
      <c r="AO38" s="1201">
        <f t="shared" si="31"/>
        <v>0</v>
      </c>
      <c r="AP38" s="1201">
        <f t="shared" si="32"/>
        <v>0</v>
      </c>
      <c r="AQ38" s="1206">
        <f t="shared" si="33"/>
        <v>0</v>
      </c>
      <c r="AR38" s="1313">
        <f t="shared" si="8"/>
        <v>0</v>
      </c>
      <c r="AZ38" s="1204">
        <f t="shared" si="34"/>
        <v>0</v>
      </c>
      <c r="BA38" s="1231" t="str">
        <f t="shared" si="35"/>
        <v>0:0:00</v>
      </c>
      <c r="BB38" s="1273">
        <f t="shared" si="36"/>
        <v>0</v>
      </c>
      <c r="BC38" s="1232" t="s">
        <v>169</v>
      </c>
      <c r="BE38" s="5">
        <f t="shared" si="114"/>
        <v>0</v>
      </c>
      <c r="BF38" s="919">
        <f t="shared" si="115"/>
        <v>0</v>
      </c>
      <c r="BG38" s="376">
        <f t="shared" si="116"/>
        <v>0</v>
      </c>
      <c r="BH38" s="376">
        <f t="shared" si="117"/>
        <v>0</v>
      </c>
      <c r="BM38" s="745">
        <v>6</v>
      </c>
      <c r="BN38" s="745" t="str">
        <f t="shared" si="118"/>
        <v xml:space="preserve"> </v>
      </c>
      <c r="BO38" s="745">
        <f t="shared" si="119"/>
        <v>0</v>
      </c>
      <c r="BP38" s="745">
        <f t="shared" si="120"/>
        <v>0</v>
      </c>
      <c r="BQ38" s="745">
        <f t="shared" si="121"/>
        <v>0</v>
      </c>
      <c r="BR38" s="1429" t="e">
        <f t="shared" si="44"/>
        <v>#N/A</v>
      </c>
      <c r="CA38" s="1069">
        <f t="shared" si="45"/>
        <v>0</v>
      </c>
      <c r="CB38" s="1069">
        <f t="shared" si="46"/>
        <v>0</v>
      </c>
      <c r="CC38" s="1069">
        <f t="shared" si="47"/>
        <v>0</v>
      </c>
      <c r="CD38" s="1069">
        <f t="shared" si="48"/>
        <v>0</v>
      </c>
      <c r="CE38" s="1069">
        <f t="shared" si="49"/>
        <v>0</v>
      </c>
      <c r="CF38" s="1069">
        <f t="shared" si="50"/>
        <v>0</v>
      </c>
      <c r="CG38" s="1069">
        <f t="shared" si="51"/>
        <v>0</v>
      </c>
      <c r="CH38" s="1069">
        <f t="shared" si="52"/>
        <v>0</v>
      </c>
      <c r="CI38" s="1069">
        <f t="shared" si="53"/>
        <v>0</v>
      </c>
      <c r="CJ38" s="1069">
        <f t="shared" si="54"/>
        <v>0</v>
      </c>
      <c r="CK38" s="1069">
        <f t="shared" si="55"/>
        <v>0</v>
      </c>
      <c r="CL38" s="1069">
        <f t="shared" si="56"/>
        <v>0</v>
      </c>
      <c r="CM38" s="6" t="e">
        <f t="shared" ca="1" si="95"/>
        <v>#N/A</v>
      </c>
      <c r="CN38" s="6" t="e">
        <f t="shared" ca="1" si="96"/>
        <v>#N/A</v>
      </c>
      <c r="CO38" s="6" t="e">
        <f t="shared" ca="1" si="97"/>
        <v>#N/A</v>
      </c>
      <c r="CP38" s="6" t="e">
        <f t="shared" ca="1" si="98"/>
        <v>#N/A</v>
      </c>
      <c r="CQ38" s="6">
        <f t="shared" si="99"/>
        <v>0</v>
      </c>
      <c r="CR38" s="6" t="e">
        <f t="shared" ca="1" si="100"/>
        <v>#N/A</v>
      </c>
      <c r="CS38" s="1309" t="e">
        <f t="shared" ca="1" si="101"/>
        <v>#N/A</v>
      </c>
      <c r="CT38" s="1310" t="e">
        <f t="shared" ca="1" si="102"/>
        <v>#N/A</v>
      </c>
      <c r="CU38" s="6" t="e">
        <f t="shared" ca="1" si="57"/>
        <v>#N/A</v>
      </c>
      <c r="CV38" s="6" t="e">
        <f t="shared" ca="1" si="58"/>
        <v>#N/A</v>
      </c>
      <c r="CW38" s="6" t="e">
        <f t="shared" ca="1" si="59"/>
        <v>#N/A</v>
      </c>
      <c r="CX38" s="6" t="e">
        <f t="shared" ca="1" si="60"/>
        <v>#N/A</v>
      </c>
      <c r="CY38" s="6">
        <f t="shared" si="61"/>
        <v>0</v>
      </c>
      <c r="CZ38" s="6" t="e">
        <f t="shared" ca="1" si="62"/>
        <v>#N/A</v>
      </c>
      <c r="DA38" s="1309" t="e">
        <f t="shared" ca="1" si="63"/>
        <v>#N/A</v>
      </c>
      <c r="DC38" s="1418">
        <f t="shared" si="64"/>
        <v>0</v>
      </c>
      <c r="DD38" s="2">
        <f t="shared" si="65"/>
        <v>0</v>
      </c>
      <c r="DE38" s="1419">
        <f t="shared" si="9"/>
        <v>0</v>
      </c>
      <c r="DF38" s="2">
        <f t="shared" si="66"/>
        <v>0</v>
      </c>
      <c r="DG38" s="1420">
        <f t="shared" si="10"/>
        <v>0</v>
      </c>
      <c r="DH38" s="1421">
        <f t="shared" si="67"/>
        <v>0</v>
      </c>
      <c r="DI38" s="1422">
        <f t="shared" si="68"/>
        <v>0</v>
      </c>
      <c r="DJ38" s="1421" t="str">
        <f t="shared" si="69"/>
        <v/>
      </c>
      <c r="DK38" s="1423">
        <f t="shared" si="70"/>
        <v>0</v>
      </c>
      <c r="DM38" s="1421">
        <f t="shared" si="71"/>
        <v>0</v>
      </c>
      <c r="DN38" s="132">
        <f t="shared" si="72"/>
        <v>0</v>
      </c>
      <c r="DO38" s="1417" t="str">
        <f t="shared" si="73"/>
        <v/>
      </c>
      <c r="DP38" s="132">
        <f t="shared" si="74"/>
        <v>0</v>
      </c>
      <c r="DR38" s="566">
        <f t="shared" si="75"/>
        <v>0</v>
      </c>
      <c r="DS38" s="566">
        <f t="shared" si="76"/>
        <v>0</v>
      </c>
      <c r="DT38" s="1502">
        <f t="shared" si="77"/>
        <v>0</v>
      </c>
      <c r="DU38" s="1503"/>
      <c r="DV38" s="566">
        <f t="shared" si="78"/>
        <v>0</v>
      </c>
      <c r="DW38" s="566">
        <f t="shared" si="79"/>
        <v>0</v>
      </c>
      <c r="DX38" s="1502">
        <f t="shared" si="80"/>
        <v>0</v>
      </c>
      <c r="IK38" s="790"/>
      <c r="IL38" s="1865">
        <v>37</v>
      </c>
      <c r="IM38" s="1914" t="s">
        <v>1316</v>
      </c>
      <c r="IN38" s="1865">
        <v>0</v>
      </c>
      <c r="IO38" s="1865">
        <v>7</v>
      </c>
      <c r="KB38" s="742">
        <f>IF(AND($KF38="газетная",$KM38=42),Мат!$P$194,0)+IF(AND($KF38="газетная",$KM38=45),Мат!$P$195,0)+IF(AND($KF38="газетная",$KM38=48.8),Мат!$P$196,0)+IF(AND($KF38="офсетная",$KM38=58),Мат!$P$192,0)+IF(AND($KF38="офсетная",$KM38=60),Мат!$P$198,0)</f>
        <v>0</v>
      </c>
      <c r="KC38" s="1198">
        <f t="shared" si="81"/>
        <v>0</v>
      </c>
      <c r="KD38" s="1325" t="str">
        <f>IF(OR(KF38="газетная",KF38="офсетная",KF38="писчая"),Кальк!$E$10,"del")</f>
        <v>del</v>
      </c>
      <c r="KE38" s="1117"/>
      <c r="KF38" s="1325">
        <f t="shared" si="11"/>
        <v>0</v>
      </c>
      <c r="KG38" s="1325">
        <f>IF(KF38&gt;0,Заказ!$D$8,0)</f>
        <v>0</v>
      </c>
      <c r="KH38" s="1117"/>
      <c r="KI38" s="1323">
        <f t="shared" si="12"/>
        <v>0</v>
      </c>
      <c r="KJ38" s="1117"/>
      <c r="KK38" s="1324">
        <f t="shared" si="13"/>
        <v>0</v>
      </c>
      <c r="KL38" s="1323">
        <f t="shared" si="14"/>
        <v>0</v>
      </c>
      <c r="KM38" s="1323">
        <f t="shared" si="15"/>
        <v>0</v>
      </c>
      <c r="KN38" s="1323">
        <f t="shared" si="16"/>
        <v>0</v>
      </c>
      <c r="KO38" s="1326">
        <f t="shared" si="17"/>
        <v>0</v>
      </c>
      <c r="KP38" s="1119">
        <f t="shared" si="103"/>
        <v>0</v>
      </c>
      <c r="KQ38" s="1315">
        <f t="shared" si="104"/>
        <v>25000</v>
      </c>
      <c r="KR38" s="1327">
        <f t="shared" si="18"/>
        <v>0</v>
      </c>
      <c r="KS38" s="1287" t="str">
        <f t="shared" si="82"/>
        <v>0:0:00</v>
      </c>
      <c r="KT38" s="566"/>
      <c r="KU38" s="1117"/>
      <c r="KV38" s="1117"/>
      <c r="KW38" s="1189">
        <f t="shared" si="83"/>
        <v>0</v>
      </c>
      <c r="KX38" s="1314">
        <f t="shared" ca="1" si="105"/>
        <v>29375</v>
      </c>
      <c r="KY38" s="1275">
        <f t="shared" si="84"/>
        <v>0</v>
      </c>
      <c r="KZ38" s="1119"/>
      <c r="LA38" s="1119"/>
      <c r="LB38" s="1119"/>
      <c r="LC38" s="1255"/>
      <c r="LD38" s="1255"/>
      <c r="LE38" s="1255"/>
      <c r="LF38" s="1189">
        <f t="shared" si="85"/>
        <v>0</v>
      </c>
      <c r="LG38" s="1314">
        <f t="shared" ca="1" si="106"/>
        <v>4375</v>
      </c>
      <c r="LH38" s="1275">
        <f t="shared" si="86"/>
        <v>0</v>
      </c>
      <c r="LI38" s="1119"/>
      <c r="LJ38" s="1119"/>
      <c r="LK38" s="1119"/>
      <c r="LL38" s="1121">
        <f t="shared" si="87"/>
        <v>0</v>
      </c>
      <c r="LM38" s="1117"/>
      <c r="LN38" s="1119"/>
      <c r="LO38" s="1119"/>
      <c r="LP38" s="1119"/>
      <c r="LQ38" s="1119"/>
      <c r="LR38" s="1255"/>
      <c r="LS38" s="1255"/>
      <c r="LT38" s="1119"/>
      <c r="LU38" s="1117"/>
      <c r="LV38" s="1286" t="str">
        <f t="shared" si="19"/>
        <v>тип</v>
      </c>
      <c r="LW38" s="1289" t="str">
        <f>IF(B38&gt;0,LOOKUP($B38,Мат!$A$191:$A$312,Мат!$R$191:$R$312),"")</f>
        <v/>
      </c>
      <c r="LX38" s="1290">
        <f t="shared" si="88"/>
        <v>1</v>
      </c>
    </row>
    <row r="39" spans="1:336" ht="15.75" customHeight="1" x14ac:dyDescent="0.2">
      <c r="A39" s="1184">
        <f t="shared" si="20"/>
        <v>3</v>
      </c>
      <c r="B39" s="116"/>
      <c r="C39" s="106" t="str">
        <f>IF(B39&gt;0,VLOOKUP($B39,Мат!$A$190:$N$314,2)," ")</f>
        <v xml:space="preserve"> </v>
      </c>
      <c r="D39" s="106"/>
      <c r="E39" s="117"/>
      <c r="F39" s="117"/>
      <c r="G39" s="117">
        <v>1</v>
      </c>
      <c r="H39" s="117"/>
      <c r="I39" s="117"/>
      <c r="J39" s="78"/>
      <c r="K39" s="117"/>
      <c r="L39" s="117"/>
      <c r="M39" s="78">
        <v>1</v>
      </c>
      <c r="N39" s="78"/>
      <c r="O39" s="189">
        <f t="shared" si="3"/>
        <v>1</v>
      </c>
      <c r="P39" s="78"/>
      <c r="Q39" s="78"/>
      <c r="R39" s="78"/>
      <c r="S39" s="198">
        <f t="shared" si="109"/>
        <v>0</v>
      </c>
      <c r="T39" s="190">
        <f t="shared" si="110"/>
        <v>1</v>
      </c>
      <c r="U39" s="1073">
        <f t="shared" si="23"/>
        <v>0</v>
      </c>
      <c r="V39" s="1074">
        <f t="shared" si="122"/>
        <v>0</v>
      </c>
      <c r="W39" s="1073">
        <f t="shared" si="24"/>
        <v>0</v>
      </c>
      <c r="X39" s="1312" t="e">
        <f t="shared" ca="1" si="107"/>
        <v>#N/A</v>
      </c>
      <c r="Y39" s="191">
        <f t="shared" si="111"/>
        <v>0</v>
      </c>
      <c r="Z39" s="1075">
        <f t="shared" si="91"/>
        <v>0</v>
      </c>
      <c r="AA39" s="1074">
        <f t="shared" si="26"/>
        <v>0</v>
      </c>
      <c r="AB39" s="1073">
        <f t="shared" si="108"/>
        <v>0</v>
      </c>
      <c r="AC39" s="1076">
        <f t="shared" si="92"/>
        <v>0</v>
      </c>
      <c r="AD39" s="1077" t="e">
        <f t="shared" si="4"/>
        <v>#N/A</v>
      </c>
      <c r="AE39" s="188" t="e">
        <f>VLOOKUP($B39,Мат!$A$191:$N$314,5)</f>
        <v>#N/A</v>
      </c>
      <c r="AF39" s="19">
        <f t="shared" si="27"/>
        <v>1</v>
      </c>
      <c r="AG39" s="1300">
        <f t="shared" si="5"/>
        <v>1</v>
      </c>
      <c r="AH39" s="19">
        <f t="shared" si="112"/>
        <v>1</v>
      </c>
      <c r="AI39" s="189">
        <f t="shared" si="113"/>
        <v>1</v>
      </c>
      <c r="AJ39" s="376">
        <f t="shared" si="6"/>
        <v>0</v>
      </c>
      <c r="AK39" s="376">
        <f t="shared" si="7"/>
        <v>0</v>
      </c>
      <c r="AL39" s="11">
        <v>5</v>
      </c>
      <c r="AM39" s="11">
        <f t="shared" si="29"/>
        <v>0</v>
      </c>
      <c r="AN39" s="11" t="str">
        <f t="shared" si="30"/>
        <v/>
      </c>
      <c r="AO39" s="1201">
        <f t="shared" si="31"/>
        <v>0</v>
      </c>
      <c r="AP39" s="1201">
        <f t="shared" si="32"/>
        <v>0</v>
      </c>
      <c r="AQ39" s="1206">
        <f t="shared" si="33"/>
        <v>0</v>
      </c>
      <c r="AR39" s="1313">
        <f t="shared" si="8"/>
        <v>0</v>
      </c>
      <c r="AZ39" s="1204">
        <f t="shared" si="34"/>
        <v>0</v>
      </c>
      <c r="BA39" s="1231" t="str">
        <f t="shared" si="35"/>
        <v>0:0:00</v>
      </c>
      <c r="BB39" s="1273">
        <f t="shared" si="36"/>
        <v>0</v>
      </c>
      <c r="BC39" s="1232" t="s">
        <v>169</v>
      </c>
      <c r="BE39" s="5">
        <f t="shared" si="114"/>
        <v>0</v>
      </c>
      <c r="BF39" s="919">
        <f t="shared" si="115"/>
        <v>0</v>
      </c>
      <c r="BG39" s="376">
        <f t="shared" si="116"/>
        <v>0</v>
      </c>
      <c r="BH39" s="376">
        <f t="shared" si="117"/>
        <v>0</v>
      </c>
      <c r="BM39" s="745">
        <v>6</v>
      </c>
      <c r="BN39" s="745" t="str">
        <f t="shared" si="118"/>
        <v xml:space="preserve"> </v>
      </c>
      <c r="BO39" s="745">
        <f t="shared" si="119"/>
        <v>0</v>
      </c>
      <c r="BP39" s="745">
        <f t="shared" si="120"/>
        <v>0</v>
      </c>
      <c r="BQ39" s="745">
        <f t="shared" si="121"/>
        <v>0</v>
      </c>
      <c r="BR39" s="1429" t="e">
        <f t="shared" si="44"/>
        <v>#N/A</v>
      </c>
      <c r="CA39" s="1069">
        <f t="shared" si="45"/>
        <v>0</v>
      </c>
      <c r="CB39" s="1069">
        <f t="shared" si="46"/>
        <v>0</v>
      </c>
      <c r="CC39" s="1069">
        <f t="shared" si="47"/>
        <v>0</v>
      </c>
      <c r="CD39" s="1069">
        <f t="shared" si="48"/>
        <v>0</v>
      </c>
      <c r="CE39" s="1069">
        <f t="shared" si="49"/>
        <v>0</v>
      </c>
      <c r="CF39" s="1069">
        <f t="shared" si="50"/>
        <v>0</v>
      </c>
      <c r="CG39" s="1069">
        <f t="shared" si="51"/>
        <v>0</v>
      </c>
      <c r="CH39" s="1069">
        <f t="shared" si="52"/>
        <v>0</v>
      </c>
      <c r="CI39" s="1069">
        <f t="shared" si="53"/>
        <v>0</v>
      </c>
      <c r="CJ39" s="1069">
        <f t="shared" si="54"/>
        <v>0</v>
      </c>
      <c r="CK39" s="1069">
        <f t="shared" si="55"/>
        <v>0</v>
      </c>
      <c r="CL39" s="1069">
        <f t="shared" si="56"/>
        <v>0</v>
      </c>
      <c r="CM39" s="6" t="e">
        <f t="shared" ca="1" si="95"/>
        <v>#N/A</v>
      </c>
      <c r="CN39" s="6" t="e">
        <f t="shared" ca="1" si="96"/>
        <v>#N/A</v>
      </c>
      <c r="CO39" s="6" t="e">
        <f t="shared" ca="1" si="97"/>
        <v>#N/A</v>
      </c>
      <c r="CP39" s="6" t="e">
        <f t="shared" ca="1" si="98"/>
        <v>#N/A</v>
      </c>
      <c r="CQ39" s="6">
        <f t="shared" si="99"/>
        <v>0</v>
      </c>
      <c r="CR39" s="6" t="e">
        <f t="shared" ca="1" si="100"/>
        <v>#N/A</v>
      </c>
      <c r="CS39" s="1309" t="e">
        <f t="shared" ca="1" si="101"/>
        <v>#N/A</v>
      </c>
      <c r="CT39" s="1310" t="e">
        <f t="shared" ca="1" si="102"/>
        <v>#N/A</v>
      </c>
      <c r="CU39" s="6" t="e">
        <f t="shared" ca="1" si="57"/>
        <v>#N/A</v>
      </c>
      <c r="CV39" s="6" t="e">
        <f t="shared" ca="1" si="58"/>
        <v>#N/A</v>
      </c>
      <c r="CW39" s="6" t="e">
        <f t="shared" ca="1" si="59"/>
        <v>#N/A</v>
      </c>
      <c r="CX39" s="6" t="e">
        <f t="shared" ca="1" si="60"/>
        <v>#N/A</v>
      </c>
      <c r="CY39" s="6">
        <f t="shared" si="61"/>
        <v>0</v>
      </c>
      <c r="CZ39" s="6" t="e">
        <f t="shared" ca="1" si="62"/>
        <v>#N/A</v>
      </c>
      <c r="DA39" s="1309" t="e">
        <f t="shared" ca="1" si="63"/>
        <v>#N/A</v>
      </c>
      <c r="DC39" s="1418">
        <f t="shared" si="64"/>
        <v>0</v>
      </c>
      <c r="DD39" s="2">
        <f t="shared" si="65"/>
        <v>0</v>
      </c>
      <c r="DE39" s="1419">
        <f t="shared" si="9"/>
        <v>0</v>
      </c>
      <c r="DF39" s="2">
        <f t="shared" si="66"/>
        <v>0</v>
      </c>
      <c r="DG39" s="1420">
        <f t="shared" si="10"/>
        <v>0</v>
      </c>
      <c r="DH39" s="1421">
        <f t="shared" si="67"/>
        <v>0</v>
      </c>
      <c r="DI39" s="1422">
        <f t="shared" si="68"/>
        <v>0</v>
      </c>
      <c r="DJ39" s="1421" t="str">
        <f t="shared" si="69"/>
        <v/>
      </c>
      <c r="DK39" s="1423">
        <f t="shared" si="70"/>
        <v>0</v>
      </c>
      <c r="DM39" s="1421">
        <f t="shared" si="71"/>
        <v>0</v>
      </c>
      <c r="DN39" s="132">
        <f t="shared" si="72"/>
        <v>0</v>
      </c>
      <c r="DO39" s="1417" t="str">
        <f t="shared" si="73"/>
        <v/>
      </c>
      <c r="DP39" s="132">
        <f t="shared" si="74"/>
        <v>0</v>
      </c>
      <c r="DR39" s="566">
        <f t="shared" si="75"/>
        <v>0</v>
      </c>
      <c r="DS39" s="566">
        <f t="shared" si="76"/>
        <v>0</v>
      </c>
      <c r="DT39" s="1502">
        <f t="shared" si="77"/>
        <v>0</v>
      </c>
      <c r="DU39" s="1503"/>
      <c r="DV39" s="566">
        <f t="shared" si="78"/>
        <v>0</v>
      </c>
      <c r="DW39" s="566">
        <f t="shared" si="79"/>
        <v>0</v>
      </c>
      <c r="DX39" s="1502">
        <f t="shared" si="80"/>
        <v>0</v>
      </c>
      <c r="IK39" s="790"/>
      <c r="IM39" s="742" t="s">
        <v>1258</v>
      </c>
      <c r="IN39" s="1866" t="s">
        <v>906</v>
      </c>
      <c r="IO39" s="1866" t="s">
        <v>1259</v>
      </c>
      <c r="KB39" s="742">
        <f>IF(AND($KF39="газетная",$KM39=42),Мат!$P$194,0)+IF(AND($KF39="газетная",$KM39=45),Мат!$P$195,0)+IF(AND($KF39="газетная",$KM39=48.8),Мат!$P$196,0)+IF(AND($KF39="офсетная",$KM39=58),Мат!$P$192,0)+IF(AND($KF39="офсетная",$KM39=60),Мат!$P$198,0)</f>
        <v>0</v>
      </c>
      <c r="KC39" s="1198">
        <f t="shared" si="81"/>
        <v>0</v>
      </c>
      <c r="KD39" s="1325" t="str">
        <f>IF(OR(KF39="газетная",KF39="офсетная",KF39="писчая"),Кальк!$E$10,"del")</f>
        <v>del</v>
      </c>
      <c r="KE39" s="1117"/>
      <c r="KF39" s="1325">
        <f t="shared" si="11"/>
        <v>0</v>
      </c>
      <c r="KG39" s="1325">
        <f>IF(KF39&gt;0,Заказ!$D$8,0)</f>
        <v>0</v>
      </c>
      <c r="KH39" s="1117"/>
      <c r="KI39" s="1323">
        <f t="shared" si="12"/>
        <v>0</v>
      </c>
      <c r="KJ39" s="1117"/>
      <c r="KK39" s="1324">
        <f t="shared" si="13"/>
        <v>0</v>
      </c>
      <c r="KL39" s="1323">
        <f t="shared" si="14"/>
        <v>0</v>
      </c>
      <c r="KM39" s="1323">
        <f t="shared" si="15"/>
        <v>0</v>
      </c>
      <c r="KN39" s="1323">
        <f t="shared" si="16"/>
        <v>0</v>
      </c>
      <c r="KO39" s="1326">
        <f t="shared" si="17"/>
        <v>0</v>
      </c>
      <c r="KP39" s="1119">
        <f t="shared" si="103"/>
        <v>0</v>
      </c>
      <c r="KQ39" s="1315">
        <f t="shared" si="104"/>
        <v>25000</v>
      </c>
      <c r="KR39" s="1327">
        <f t="shared" si="18"/>
        <v>0</v>
      </c>
      <c r="KS39" s="1287" t="str">
        <f t="shared" si="82"/>
        <v>0:0:00</v>
      </c>
      <c r="KT39" s="566"/>
      <c r="KU39" s="1117"/>
      <c r="KV39" s="1117"/>
      <c r="KW39" s="1189">
        <f t="shared" si="83"/>
        <v>0</v>
      </c>
      <c r="KX39" s="1314">
        <f t="shared" ca="1" si="105"/>
        <v>29375</v>
      </c>
      <c r="KY39" s="1275">
        <f t="shared" si="84"/>
        <v>0</v>
      </c>
      <c r="KZ39" s="1119"/>
      <c r="LA39" s="1119"/>
      <c r="LB39" s="1119"/>
      <c r="LC39" s="1255"/>
      <c r="LD39" s="1255"/>
      <c r="LE39" s="1255"/>
      <c r="LF39" s="1189">
        <f t="shared" si="85"/>
        <v>0</v>
      </c>
      <c r="LG39" s="1314">
        <f t="shared" ca="1" si="106"/>
        <v>4375</v>
      </c>
      <c r="LH39" s="1275">
        <f t="shared" si="86"/>
        <v>0</v>
      </c>
      <c r="LI39" s="1119"/>
      <c r="LJ39" s="1119"/>
      <c r="LK39" s="1119"/>
      <c r="LL39" s="1121">
        <f t="shared" si="87"/>
        <v>0</v>
      </c>
      <c r="LM39" s="1117"/>
      <c r="LN39" s="1119"/>
      <c r="LO39" s="1119"/>
      <c r="LP39" s="1119"/>
      <c r="LQ39" s="1119"/>
      <c r="LR39" s="1255"/>
      <c r="LS39" s="1255"/>
      <c r="LT39" s="1119"/>
      <c r="LU39" s="1117"/>
      <c r="LV39" s="1286" t="str">
        <f t="shared" si="19"/>
        <v>тип</v>
      </c>
      <c r="LW39" s="1289" t="str">
        <f>IF(B39&gt;0,LOOKUP($B39,Мат!$A$191:$A$312,Мат!$R$191:$R$312),"")</f>
        <v/>
      </c>
      <c r="LX39" s="1290">
        <f t="shared" si="88"/>
        <v>1</v>
      </c>
    </row>
    <row r="40" spans="1:336" ht="15.75" customHeight="1" x14ac:dyDescent="0.2">
      <c r="A40" s="1184">
        <f t="shared" si="20"/>
        <v>3</v>
      </c>
      <c r="B40" s="116"/>
      <c r="C40" s="106" t="str">
        <f>IF(B40&gt;0,VLOOKUP($B40,Мат!$A$190:$N$314,2)," ")</f>
        <v xml:space="preserve"> </v>
      </c>
      <c r="D40" s="106"/>
      <c r="E40" s="117"/>
      <c r="F40" s="117"/>
      <c r="G40" s="117">
        <v>1</v>
      </c>
      <c r="H40" s="117"/>
      <c r="I40" s="117"/>
      <c r="J40" s="78"/>
      <c r="K40" s="117"/>
      <c r="L40" s="117"/>
      <c r="M40" s="78">
        <v>1</v>
      </c>
      <c r="N40" s="78"/>
      <c r="O40" s="189">
        <f t="shared" si="3"/>
        <v>1</v>
      </c>
      <c r="P40" s="78"/>
      <c r="Q40" s="78"/>
      <c r="R40" s="78"/>
      <c r="S40" s="198">
        <f t="shared" si="109"/>
        <v>0</v>
      </c>
      <c r="T40" s="190">
        <f t="shared" si="110"/>
        <v>1</v>
      </c>
      <c r="U40" s="1073">
        <f t="shared" si="23"/>
        <v>0</v>
      </c>
      <c r="V40" s="1074">
        <f t="shared" si="122"/>
        <v>0</v>
      </c>
      <c r="W40" s="1073">
        <f t="shared" si="24"/>
        <v>0</v>
      </c>
      <c r="X40" s="1312" t="e">
        <f t="shared" ca="1" si="107"/>
        <v>#N/A</v>
      </c>
      <c r="Y40" s="191">
        <f t="shared" si="111"/>
        <v>0</v>
      </c>
      <c r="Z40" s="1075">
        <f t="shared" si="91"/>
        <v>0</v>
      </c>
      <c r="AA40" s="1074">
        <f t="shared" si="26"/>
        <v>0</v>
      </c>
      <c r="AB40" s="1073">
        <f t="shared" si="108"/>
        <v>0</v>
      </c>
      <c r="AC40" s="1076">
        <f t="shared" si="92"/>
        <v>0</v>
      </c>
      <c r="AD40" s="1077" t="e">
        <f t="shared" si="4"/>
        <v>#N/A</v>
      </c>
      <c r="AE40" s="188" t="e">
        <f>VLOOKUP($B40,Мат!$A$191:$N$314,5)</f>
        <v>#N/A</v>
      </c>
      <c r="AF40" s="19">
        <f t="shared" si="27"/>
        <v>1</v>
      </c>
      <c r="AG40" s="1300">
        <f t="shared" si="5"/>
        <v>1</v>
      </c>
      <c r="AH40" s="19">
        <f t="shared" si="112"/>
        <v>1</v>
      </c>
      <c r="AI40" s="189">
        <f t="shared" si="113"/>
        <v>1</v>
      </c>
      <c r="AJ40" s="376">
        <f t="shared" si="6"/>
        <v>0</v>
      </c>
      <c r="AK40" s="376">
        <f t="shared" si="7"/>
        <v>0</v>
      </c>
      <c r="AL40" s="11">
        <v>5</v>
      </c>
      <c r="AM40" s="11">
        <f t="shared" si="29"/>
        <v>0</v>
      </c>
      <c r="AN40" s="11" t="str">
        <f t="shared" si="30"/>
        <v/>
      </c>
      <c r="AO40" s="1201">
        <f t="shared" si="31"/>
        <v>0</v>
      </c>
      <c r="AP40" s="1201">
        <f t="shared" si="32"/>
        <v>0</v>
      </c>
      <c r="AQ40" s="1206">
        <f t="shared" si="33"/>
        <v>0</v>
      </c>
      <c r="AR40" s="1313">
        <f t="shared" si="8"/>
        <v>0</v>
      </c>
      <c r="AZ40" s="1204">
        <f t="shared" si="34"/>
        <v>0</v>
      </c>
      <c r="BA40" s="1231" t="str">
        <f t="shared" si="35"/>
        <v>0:0:00</v>
      </c>
      <c r="BB40" s="1273">
        <f t="shared" si="36"/>
        <v>0</v>
      </c>
      <c r="BC40" s="1232" t="s">
        <v>169</v>
      </c>
      <c r="BE40" s="5">
        <f t="shared" si="114"/>
        <v>0</v>
      </c>
      <c r="BF40" s="919">
        <f t="shared" si="115"/>
        <v>0</v>
      </c>
      <c r="BG40" s="376">
        <f t="shared" si="116"/>
        <v>0</v>
      </c>
      <c r="BH40" s="376">
        <f t="shared" si="117"/>
        <v>0</v>
      </c>
      <c r="BM40" s="745">
        <v>6</v>
      </c>
      <c r="BN40" s="745" t="str">
        <f t="shared" si="118"/>
        <v xml:space="preserve"> </v>
      </c>
      <c r="BO40" s="745">
        <f t="shared" si="119"/>
        <v>0</v>
      </c>
      <c r="BP40" s="745">
        <f t="shared" si="120"/>
        <v>0</v>
      </c>
      <c r="BQ40" s="745">
        <f t="shared" si="121"/>
        <v>0</v>
      </c>
      <c r="BR40" s="1429" t="e">
        <f t="shared" si="44"/>
        <v>#N/A</v>
      </c>
      <c r="CA40" s="1069">
        <f t="shared" si="45"/>
        <v>0</v>
      </c>
      <c r="CB40" s="1069">
        <f t="shared" si="46"/>
        <v>0</v>
      </c>
      <c r="CC40" s="1069">
        <f t="shared" si="47"/>
        <v>0</v>
      </c>
      <c r="CD40" s="1069">
        <f t="shared" si="48"/>
        <v>0</v>
      </c>
      <c r="CE40" s="1069">
        <f t="shared" si="49"/>
        <v>0</v>
      </c>
      <c r="CF40" s="1069">
        <f t="shared" si="50"/>
        <v>0</v>
      </c>
      <c r="CG40" s="1069">
        <f t="shared" si="51"/>
        <v>0</v>
      </c>
      <c r="CH40" s="1069">
        <f t="shared" si="52"/>
        <v>0</v>
      </c>
      <c r="CI40" s="1069">
        <f t="shared" si="53"/>
        <v>0</v>
      </c>
      <c r="CJ40" s="1069">
        <f t="shared" si="54"/>
        <v>0</v>
      </c>
      <c r="CK40" s="1069">
        <f t="shared" si="55"/>
        <v>0</v>
      </c>
      <c r="CL40" s="1069">
        <f t="shared" si="56"/>
        <v>0</v>
      </c>
      <c r="CM40" s="6" t="e">
        <f t="shared" ca="1" si="95"/>
        <v>#N/A</v>
      </c>
      <c r="CN40" s="6" t="e">
        <f t="shared" ca="1" si="96"/>
        <v>#N/A</v>
      </c>
      <c r="CO40" s="6" t="e">
        <f t="shared" ca="1" si="97"/>
        <v>#N/A</v>
      </c>
      <c r="CP40" s="6" t="e">
        <f t="shared" ca="1" si="98"/>
        <v>#N/A</v>
      </c>
      <c r="CQ40" s="6">
        <f t="shared" si="99"/>
        <v>0</v>
      </c>
      <c r="CR40" s="6" t="e">
        <f t="shared" ca="1" si="100"/>
        <v>#N/A</v>
      </c>
      <c r="CS40" s="1309" t="e">
        <f t="shared" ca="1" si="101"/>
        <v>#N/A</v>
      </c>
      <c r="CT40" s="1310" t="e">
        <f t="shared" ca="1" si="102"/>
        <v>#N/A</v>
      </c>
      <c r="CU40" s="6" t="e">
        <f t="shared" ca="1" si="57"/>
        <v>#N/A</v>
      </c>
      <c r="CV40" s="6" t="e">
        <f t="shared" ca="1" si="58"/>
        <v>#N/A</v>
      </c>
      <c r="CW40" s="6" t="e">
        <f t="shared" ca="1" si="59"/>
        <v>#N/A</v>
      </c>
      <c r="CX40" s="6" t="e">
        <f t="shared" ca="1" si="60"/>
        <v>#N/A</v>
      </c>
      <c r="CY40" s="6">
        <f t="shared" si="61"/>
        <v>0</v>
      </c>
      <c r="CZ40" s="6" t="e">
        <f t="shared" ca="1" si="62"/>
        <v>#N/A</v>
      </c>
      <c r="DA40" s="1309" t="e">
        <f t="shared" ca="1" si="63"/>
        <v>#N/A</v>
      </c>
      <c r="DC40" s="1418">
        <f t="shared" si="64"/>
        <v>0</v>
      </c>
      <c r="DD40" s="2">
        <f t="shared" si="65"/>
        <v>0</v>
      </c>
      <c r="DE40" s="1419">
        <f t="shared" si="9"/>
        <v>0</v>
      </c>
      <c r="DF40" s="2">
        <f t="shared" si="66"/>
        <v>0</v>
      </c>
      <c r="DG40" s="1420">
        <f t="shared" si="10"/>
        <v>0</v>
      </c>
      <c r="DH40" s="1421">
        <f t="shared" si="67"/>
        <v>0</v>
      </c>
      <c r="DI40" s="1422">
        <f t="shared" si="68"/>
        <v>0</v>
      </c>
      <c r="DJ40" s="1421" t="str">
        <f t="shared" si="69"/>
        <v/>
      </c>
      <c r="DK40" s="1423">
        <f t="shared" si="70"/>
        <v>0</v>
      </c>
      <c r="DM40" s="1421">
        <f t="shared" si="71"/>
        <v>0</v>
      </c>
      <c r="DN40" s="132">
        <f t="shared" si="72"/>
        <v>0</v>
      </c>
      <c r="DO40" s="1417" t="str">
        <f t="shared" si="73"/>
        <v/>
      </c>
      <c r="DP40" s="132">
        <f t="shared" si="74"/>
        <v>0</v>
      </c>
      <c r="DR40" s="566">
        <f t="shared" si="75"/>
        <v>0</v>
      </c>
      <c r="DS40" s="566">
        <f t="shared" si="76"/>
        <v>0</v>
      </c>
      <c r="DT40" s="1502">
        <f t="shared" si="77"/>
        <v>0</v>
      </c>
      <c r="DU40" s="1503"/>
      <c r="DV40" s="566">
        <f t="shared" si="78"/>
        <v>0</v>
      </c>
      <c r="DW40" s="566">
        <f t="shared" si="79"/>
        <v>0</v>
      </c>
      <c r="DX40" s="1502">
        <f t="shared" si="80"/>
        <v>0</v>
      </c>
      <c r="IK40" s="790"/>
      <c r="IL40" s="786"/>
      <c r="IM40" s="790"/>
      <c r="IN40" s="786"/>
      <c r="KB40" s="742">
        <f>IF(AND($KF40="газетная",$KM40=42),Мат!$P$194,0)+IF(AND($KF40="газетная",$KM40=45),Мат!$P$195,0)+IF(AND($KF40="газетная",$KM40=48.8),Мат!$P$196,0)+IF(AND($KF40="офсетная",$KM40=58),Мат!$P$192,0)+IF(AND($KF40="офсетная",$KM40=60),Мат!$P$198,0)</f>
        <v>0</v>
      </c>
      <c r="KC40" s="1198">
        <f t="shared" si="81"/>
        <v>0</v>
      </c>
      <c r="KD40" s="1325" t="str">
        <f>IF(OR(KF40="газетная",KF40="офсетная",KF40="писчая"),Кальк!$E$10,"del")</f>
        <v>del</v>
      </c>
      <c r="KE40" s="1117"/>
      <c r="KF40" s="1325">
        <f t="shared" si="11"/>
        <v>0</v>
      </c>
      <c r="KG40" s="1325">
        <f>IF(KF40&gt;0,Заказ!$D$8,0)</f>
        <v>0</v>
      </c>
      <c r="KH40" s="1117"/>
      <c r="KI40" s="1323">
        <f t="shared" si="12"/>
        <v>0</v>
      </c>
      <c r="KJ40" s="1117"/>
      <c r="KK40" s="1324">
        <f t="shared" si="13"/>
        <v>0</v>
      </c>
      <c r="KL40" s="1323">
        <f t="shared" si="14"/>
        <v>0</v>
      </c>
      <c r="KM40" s="1323">
        <f t="shared" si="15"/>
        <v>0</v>
      </c>
      <c r="KN40" s="1323">
        <f t="shared" si="16"/>
        <v>0</v>
      </c>
      <c r="KO40" s="1326">
        <f t="shared" si="17"/>
        <v>0</v>
      </c>
      <c r="KP40" s="1119">
        <f t="shared" si="103"/>
        <v>0</v>
      </c>
      <c r="KQ40" s="1315">
        <f t="shared" si="104"/>
        <v>25000</v>
      </c>
      <c r="KR40" s="1327">
        <f t="shared" si="18"/>
        <v>0</v>
      </c>
      <c r="KS40" s="1287" t="str">
        <f t="shared" si="82"/>
        <v>0:0:00</v>
      </c>
      <c r="KT40" s="566"/>
      <c r="KU40" s="1117"/>
      <c r="KV40" s="1117"/>
      <c r="KW40" s="1189">
        <f t="shared" si="83"/>
        <v>0</v>
      </c>
      <c r="KX40" s="1314">
        <f t="shared" ca="1" si="105"/>
        <v>29375</v>
      </c>
      <c r="KY40" s="1275">
        <f t="shared" si="84"/>
        <v>0</v>
      </c>
      <c r="KZ40" s="1119"/>
      <c r="LA40" s="1119"/>
      <c r="LB40" s="1119"/>
      <c r="LC40" s="1255"/>
      <c r="LD40" s="1255"/>
      <c r="LE40" s="1255"/>
      <c r="LF40" s="1189">
        <f t="shared" si="85"/>
        <v>0</v>
      </c>
      <c r="LG40" s="1314">
        <f t="shared" ca="1" si="106"/>
        <v>4375</v>
      </c>
      <c r="LH40" s="1275">
        <f t="shared" si="86"/>
        <v>0</v>
      </c>
      <c r="LI40" s="1119"/>
      <c r="LJ40" s="1119"/>
      <c r="LK40" s="1119"/>
      <c r="LL40" s="1121">
        <f t="shared" si="87"/>
        <v>0</v>
      </c>
      <c r="LM40" s="1117"/>
      <c r="LN40" s="1119"/>
      <c r="LO40" s="1119"/>
      <c r="LP40" s="1119"/>
      <c r="LQ40" s="1119"/>
      <c r="LR40" s="1255"/>
      <c r="LS40" s="1255"/>
      <c r="LT40" s="1119"/>
      <c r="LU40" s="1117"/>
      <c r="LV40" s="1286" t="str">
        <f t="shared" si="19"/>
        <v>тип</v>
      </c>
      <c r="LW40" s="1289" t="str">
        <f>IF(B40&gt;0,LOOKUP($B40,Мат!$A$191:$A$312,Мат!$R$191:$R$312),"")</f>
        <v/>
      </c>
      <c r="LX40" s="1290">
        <f t="shared" si="88"/>
        <v>1</v>
      </c>
    </row>
    <row r="41" spans="1:336" ht="15.75" customHeight="1" x14ac:dyDescent="0.2">
      <c r="A41" s="1184">
        <f t="shared" si="20"/>
        <v>3</v>
      </c>
      <c r="B41" s="116"/>
      <c r="C41" s="106" t="str">
        <f>IF(B41&gt;0,VLOOKUP($B41,Мат!$A$190:$N$314,2)," ")</f>
        <v xml:space="preserve"> </v>
      </c>
      <c r="D41" s="106"/>
      <c r="E41" s="117"/>
      <c r="F41" s="117"/>
      <c r="G41" s="117">
        <v>1</v>
      </c>
      <c r="H41" s="117"/>
      <c r="I41" s="117"/>
      <c r="J41" s="78"/>
      <c r="K41" s="117"/>
      <c r="L41" s="117"/>
      <c r="M41" s="78">
        <v>1</v>
      </c>
      <c r="N41" s="78"/>
      <c r="O41" s="189">
        <f t="shared" si="3"/>
        <v>1</v>
      </c>
      <c r="P41" s="78"/>
      <c r="Q41" s="78"/>
      <c r="R41" s="78"/>
      <c r="S41" s="198">
        <f t="shared" si="109"/>
        <v>0</v>
      </c>
      <c r="T41" s="190">
        <f t="shared" si="110"/>
        <v>1</v>
      </c>
      <c r="U41" s="1073">
        <f t="shared" si="23"/>
        <v>0</v>
      </c>
      <c r="V41" s="1074">
        <f t="shared" si="122"/>
        <v>0</v>
      </c>
      <c r="W41" s="1073">
        <f t="shared" si="24"/>
        <v>0</v>
      </c>
      <c r="X41" s="1312" t="e">
        <f t="shared" ca="1" si="107"/>
        <v>#N/A</v>
      </c>
      <c r="Y41" s="191">
        <f t="shared" si="111"/>
        <v>0</v>
      </c>
      <c r="Z41" s="1075">
        <f t="shared" si="91"/>
        <v>0</v>
      </c>
      <c r="AA41" s="1074">
        <f t="shared" si="26"/>
        <v>0</v>
      </c>
      <c r="AB41" s="1073">
        <f t="shared" si="108"/>
        <v>0</v>
      </c>
      <c r="AC41" s="1076">
        <f t="shared" si="92"/>
        <v>0</v>
      </c>
      <c r="AD41" s="1077" t="e">
        <f t="shared" si="4"/>
        <v>#N/A</v>
      </c>
      <c r="AE41" s="188" t="e">
        <f>VLOOKUP($B41,Мат!$A$191:$N$314,5)</f>
        <v>#N/A</v>
      </c>
      <c r="AF41" s="19">
        <f t="shared" si="27"/>
        <v>1</v>
      </c>
      <c r="AG41" s="1300">
        <f t="shared" si="5"/>
        <v>1</v>
      </c>
      <c r="AH41" s="19">
        <f t="shared" si="112"/>
        <v>1</v>
      </c>
      <c r="AI41" s="189">
        <f t="shared" si="113"/>
        <v>1</v>
      </c>
      <c r="AJ41" s="376">
        <f t="shared" si="6"/>
        <v>0</v>
      </c>
      <c r="AK41" s="376">
        <f t="shared" si="7"/>
        <v>0</v>
      </c>
      <c r="AL41" s="11">
        <v>5</v>
      </c>
      <c r="AM41" s="11">
        <f t="shared" si="29"/>
        <v>0</v>
      </c>
      <c r="AN41" s="11" t="str">
        <f t="shared" si="30"/>
        <v/>
      </c>
      <c r="AO41" s="1201">
        <f t="shared" si="31"/>
        <v>0</v>
      </c>
      <c r="AP41" s="1201">
        <f t="shared" si="32"/>
        <v>0</v>
      </c>
      <c r="AQ41" s="1206">
        <f t="shared" si="33"/>
        <v>0</v>
      </c>
      <c r="AR41" s="1313">
        <f t="shared" si="8"/>
        <v>0</v>
      </c>
      <c r="AZ41" s="1205">
        <f t="shared" si="34"/>
        <v>0</v>
      </c>
      <c r="BA41" s="274" t="str">
        <f t="shared" si="35"/>
        <v>0:0:00</v>
      </c>
      <c r="BB41" s="1274">
        <f t="shared" si="36"/>
        <v>0</v>
      </c>
      <c r="BC41" s="1233" t="s">
        <v>169</v>
      </c>
      <c r="BE41" s="5">
        <f t="shared" si="114"/>
        <v>0</v>
      </c>
      <c r="BF41" s="919">
        <f t="shared" si="115"/>
        <v>0</v>
      </c>
      <c r="BG41" s="376">
        <f t="shared" si="116"/>
        <v>0</v>
      </c>
      <c r="BH41" s="376">
        <f t="shared" si="117"/>
        <v>0</v>
      </c>
      <c r="BM41" s="745">
        <v>6</v>
      </c>
      <c r="BN41" s="745" t="str">
        <f t="shared" si="118"/>
        <v xml:space="preserve"> </v>
      </c>
      <c r="BO41" s="745">
        <f t="shared" si="119"/>
        <v>0</v>
      </c>
      <c r="BP41" s="745">
        <f t="shared" si="120"/>
        <v>0</v>
      </c>
      <c r="BQ41" s="745">
        <f t="shared" si="121"/>
        <v>0</v>
      </c>
      <c r="BR41" s="1429" t="e">
        <f t="shared" si="44"/>
        <v>#N/A</v>
      </c>
      <c r="CA41" s="1069">
        <f t="shared" si="45"/>
        <v>0</v>
      </c>
      <c r="CB41" s="1069">
        <f t="shared" si="46"/>
        <v>0</v>
      </c>
      <c r="CC41" s="1069">
        <f t="shared" si="47"/>
        <v>0</v>
      </c>
      <c r="CD41" s="1069">
        <f t="shared" si="48"/>
        <v>0</v>
      </c>
      <c r="CE41" s="1069">
        <f t="shared" si="49"/>
        <v>0</v>
      </c>
      <c r="CF41" s="1069">
        <f t="shared" si="50"/>
        <v>0</v>
      </c>
      <c r="CG41" s="1069">
        <f t="shared" si="51"/>
        <v>0</v>
      </c>
      <c r="CH41" s="1069">
        <f t="shared" si="52"/>
        <v>0</v>
      </c>
      <c r="CI41" s="1069">
        <f t="shared" si="53"/>
        <v>0</v>
      </c>
      <c r="CJ41" s="1069">
        <f t="shared" si="54"/>
        <v>0</v>
      </c>
      <c r="CK41" s="1069">
        <f t="shared" si="55"/>
        <v>0</v>
      </c>
      <c r="CL41" s="1069">
        <f t="shared" si="56"/>
        <v>0</v>
      </c>
      <c r="CM41" s="6" t="e">
        <f t="shared" ca="1" si="95"/>
        <v>#N/A</v>
      </c>
      <c r="CN41" s="6" t="e">
        <f t="shared" ca="1" si="96"/>
        <v>#N/A</v>
      </c>
      <c r="CO41" s="6" t="e">
        <f t="shared" ca="1" si="97"/>
        <v>#N/A</v>
      </c>
      <c r="CP41" s="6" t="e">
        <f t="shared" ca="1" si="98"/>
        <v>#N/A</v>
      </c>
      <c r="CQ41" s="6">
        <f t="shared" si="99"/>
        <v>0</v>
      </c>
      <c r="CR41" s="6" t="e">
        <f t="shared" ca="1" si="100"/>
        <v>#N/A</v>
      </c>
      <c r="CS41" s="1309" t="e">
        <f t="shared" ca="1" si="101"/>
        <v>#N/A</v>
      </c>
      <c r="CT41" s="1310" t="e">
        <f t="shared" ca="1" si="102"/>
        <v>#N/A</v>
      </c>
      <c r="CU41" s="6" t="e">
        <f t="shared" ca="1" si="57"/>
        <v>#N/A</v>
      </c>
      <c r="CV41" s="6" t="e">
        <f t="shared" ca="1" si="58"/>
        <v>#N/A</v>
      </c>
      <c r="CW41" s="6" t="e">
        <f t="shared" ca="1" si="59"/>
        <v>#N/A</v>
      </c>
      <c r="CX41" s="6" t="e">
        <f t="shared" ca="1" si="60"/>
        <v>#N/A</v>
      </c>
      <c r="CY41" s="6">
        <f t="shared" si="61"/>
        <v>0</v>
      </c>
      <c r="CZ41" s="6" t="e">
        <f t="shared" ca="1" si="62"/>
        <v>#N/A</v>
      </c>
      <c r="DA41" s="1309" t="e">
        <f t="shared" ca="1" si="63"/>
        <v>#N/A</v>
      </c>
      <c r="DC41" s="1418">
        <f t="shared" si="64"/>
        <v>0</v>
      </c>
      <c r="DD41" s="18">
        <f t="shared" si="65"/>
        <v>0</v>
      </c>
      <c r="DE41" s="1424">
        <f t="shared" si="9"/>
        <v>0</v>
      </c>
      <c r="DF41" s="2">
        <f t="shared" si="66"/>
        <v>0</v>
      </c>
      <c r="DG41" s="1420">
        <f t="shared" si="10"/>
        <v>0</v>
      </c>
      <c r="DH41" s="1421">
        <f t="shared" si="67"/>
        <v>0</v>
      </c>
      <c r="DI41" s="1422">
        <f t="shared" si="68"/>
        <v>0</v>
      </c>
      <c r="DJ41" s="1421" t="str">
        <f t="shared" si="69"/>
        <v/>
      </c>
      <c r="DK41" s="1423">
        <f t="shared" si="70"/>
        <v>0</v>
      </c>
      <c r="DM41" s="1421">
        <f t="shared" si="71"/>
        <v>0</v>
      </c>
      <c r="DN41" s="132">
        <f t="shared" si="72"/>
        <v>0</v>
      </c>
      <c r="DO41" s="1417" t="str">
        <f t="shared" si="73"/>
        <v/>
      </c>
      <c r="DP41" s="132">
        <f t="shared" si="74"/>
        <v>0</v>
      </c>
      <c r="DR41" s="566">
        <f t="shared" si="75"/>
        <v>0</v>
      </c>
      <c r="DS41" s="566">
        <f t="shared" si="76"/>
        <v>0</v>
      </c>
      <c r="DT41" s="1502">
        <f t="shared" si="77"/>
        <v>0</v>
      </c>
      <c r="DU41" s="1503"/>
      <c r="DV41" s="566">
        <f t="shared" si="78"/>
        <v>0</v>
      </c>
      <c r="DW41" s="566">
        <f t="shared" si="79"/>
        <v>0</v>
      </c>
      <c r="DX41" s="1502">
        <f t="shared" si="80"/>
        <v>0</v>
      </c>
      <c r="IK41" s="790"/>
      <c r="IL41" s="786"/>
      <c r="IM41" s="790"/>
      <c r="IN41" s="786"/>
      <c r="KB41" s="742">
        <f>IF(AND($KF41="газетная",$KM41=42),Мат!$P$194,0)+IF(AND($KF41="газетная",$KM41=45),Мат!$P$195,0)+IF(AND($KF41="газетная",$KM41=48.8),Мат!$P$196,0)+IF(AND($KF41="офсетная",$KM41=58),Мат!$P$192,0)+IF(AND($KF41="офсетная",$KM41=60),Мат!$P$198,0)</f>
        <v>0</v>
      </c>
      <c r="KC41" s="1198">
        <f t="shared" si="81"/>
        <v>0</v>
      </c>
      <c r="KD41" s="1325" t="str">
        <f>IF(OR(KF41="газетная",KF41="офсетная",KF41="писчая"),Кальк!$E$10,"del")</f>
        <v>del</v>
      </c>
      <c r="KE41" s="1117"/>
      <c r="KF41" s="1325">
        <f t="shared" si="11"/>
        <v>0</v>
      </c>
      <c r="KG41" s="1325">
        <f>IF(KF41&gt;0,Заказ!$D$8,0)</f>
        <v>0</v>
      </c>
      <c r="KH41" s="1117"/>
      <c r="KI41" s="1323">
        <f t="shared" si="12"/>
        <v>0</v>
      </c>
      <c r="KJ41" s="1117"/>
      <c r="KK41" s="1324">
        <f t="shared" si="13"/>
        <v>0</v>
      </c>
      <c r="KL41" s="1323">
        <f t="shared" si="14"/>
        <v>0</v>
      </c>
      <c r="KM41" s="1323">
        <f t="shared" si="15"/>
        <v>0</v>
      </c>
      <c r="KN41" s="1323">
        <f t="shared" si="16"/>
        <v>0</v>
      </c>
      <c r="KO41" s="1326">
        <f t="shared" si="17"/>
        <v>0</v>
      </c>
      <c r="KP41" s="1119">
        <f>IF(KN41&gt;0,$KP$30,0)</f>
        <v>0</v>
      </c>
      <c r="KQ41" s="1315">
        <f t="shared" si="104"/>
        <v>25000</v>
      </c>
      <c r="KR41" s="1327">
        <f t="shared" si="18"/>
        <v>0</v>
      </c>
      <c r="KS41" s="1287" t="str">
        <f t="shared" si="82"/>
        <v>0:0:00</v>
      </c>
      <c r="KT41" s="566"/>
      <c r="KU41" s="1117"/>
      <c r="KV41" s="1117"/>
      <c r="KW41" s="1189">
        <f t="shared" si="83"/>
        <v>0</v>
      </c>
      <c r="KX41" s="1314">
        <f t="shared" ca="1" si="105"/>
        <v>29375</v>
      </c>
      <c r="KY41" s="1275">
        <f t="shared" si="84"/>
        <v>0</v>
      </c>
      <c r="KZ41" s="1119"/>
      <c r="LA41" s="1119"/>
      <c r="LB41" s="1119"/>
      <c r="LC41" s="1255"/>
      <c r="LD41" s="1255"/>
      <c r="LE41" s="1255"/>
      <c r="LF41" s="1189">
        <f t="shared" si="85"/>
        <v>0</v>
      </c>
      <c r="LG41" s="1314">
        <f t="shared" ca="1" si="106"/>
        <v>4375</v>
      </c>
      <c r="LH41" s="1275">
        <f t="shared" si="86"/>
        <v>0</v>
      </c>
      <c r="LI41" s="1119"/>
      <c r="LJ41" s="1119"/>
      <c r="LK41" s="1119"/>
      <c r="LL41" s="1121">
        <f t="shared" si="87"/>
        <v>0</v>
      </c>
      <c r="LM41" s="1117"/>
      <c r="LN41" s="1119"/>
      <c r="LO41" s="1119"/>
      <c r="LP41" s="1119"/>
      <c r="LQ41" s="1119"/>
      <c r="LR41" s="1255"/>
      <c r="LS41" s="1255"/>
      <c r="LT41" s="1119"/>
      <c r="LU41" s="1117"/>
      <c r="LV41" s="1286" t="str">
        <f t="shared" si="19"/>
        <v>тип</v>
      </c>
      <c r="LW41" s="1289" t="str">
        <f>IF(B41&gt;0,LOOKUP($B41,Мат!$A$191:$A$312,Мат!$R$191:$R$312),"")</f>
        <v/>
      </c>
      <c r="LX41" s="1290">
        <f t="shared" si="88"/>
        <v>1</v>
      </c>
    </row>
    <row r="42" spans="1:336" x14ac:dyDescent="0.2">
      <c r="A42" s="115">
        <f t="shared" si="20"/>
        <v>3</v>
      </c>
      <c r="B42" s="118">
        <f>MAX(B30:B41)+1</f>
        <v>6</v>
      </c>
      <c r="C42" s="106" t="s">
        <v>137</v>
      </c>
      <c r="D42" s="106"/>
      <c r="E42" s="119">
        <f>MAX(E30:E41)+1</f>
        <v>2</v>
      </c>
      <c r="F42" s="106" t="s">
        <v>137</v>
      </c>
      <c r="G42" s="106" t="s">
        <v>137</v>
      </c>
      <c r="H42" s="106" t="s">
        <v>137</v>
      </c>
      <c r="I42" s="106" t="s">
        <v>137</v>
      </c>
      <c r="L42" s="25"/>
      <c r="Q42" s="842">
        <f>IF(P30&gt;0,IF(Q30/P30&gt;=2,1,0),0)+IF(P31&gt;0,IF(Q31/P31&gt;=2,1,0),0)+IF(P32&gt;0,IF(Q32/P32&gt;=2,1,0),0)+IF(P33&gt;0,IF(Q33/P33&gt;=2,1,0),0)+IF(P34&gt;0,IF(Q34/P34&gt;=2,1,0),0)+IF(P35&gt;0,IF(Q35/P35&gt;=2,1,0),0)+IF(P36&gt;0,IF(Q36/P36&gt;=2,1,0),0)+IF(P37&gt;0,IF(Q37/P37&gt;=2,1,0),0)+IF(P38&gt;0,IF(Q38/P38&gt;=2,1,0),0)+IF(P39&gt;0,IF(Q39/P39&gt;=2,1,0),0)+IF(P40&gt;0,IF(Q40/P40&gt;=2,1,0),0)+IF(P41&gt;0,IF(Q41/P41&gt;=2,1,0),0)</f>
        <v>0</v>
      </c>
      <c r="T42" s="728">
        <f>IF(SUM(IF(R30&gt;0,T30,0)+IF(R31&gt;0,T31,0)+IF(R32&gt;0,T32,0)+IF(R33&gt;0,T33,0)+IF(R34&gt;0,T34,0)+IF(R35&gt;0,T35,0)+IF(R36&gt;0,T36,0)+IF(R37&gt;0,T37,0)+IF(R38&gt;0,T38,0)+IF(R39&gt;0,T39,0)+IF(R40&gt;0,T40,0)+IF(R41&gt;0,T41,0))&gt;=8,8,IF(R30&gt;0,T30,0)+IF(R31&gt;0,T31,0)+IF(R32&gt;0,T32,0)+IF(R33&gt;0,T33,0)+IF(R34&gt;0,T34,0)+IF(R35&gt;0,T35,0)+IF(R36&gt;0,T36,0)+IF(R37&gt;0,T37,0)+IF(R38&gt;0,T38,0)+IF(R39&gt;0,T39,0)+IF(R40&gt;0,T40,0)+IF(R41&gt;0,T41,0))</f>
        <v>1</v>
      </c>
      <c r="U42" s="11" t="s">
        <v>137</v>
      </c>
      <c r="V42" s="11" t="s">
        <v>137</v>
      </c>
      <c r="W42" s="11" t="s">
        <v>137</v>
      </c>
      <c r="AC42" s="199">
        <f>IF(OR($B$30=2,$B$34=2,$B$35=2,$B$36=2,$B$37=2,$B$38=2,$B$39=2,$B$40=2,$B$41=2),100,0)</f>
        <v>0</v>
      </c>
      <c r="AD42" s="199">
        <f>IF(OR($B$30=3,$B$34=3,$B$35=3,$B$36=3,$B$37=3,$B$38=3,$B$39=3,$B$40=3,$B$41=3),100,0)</f>
        <v>0</v>
      </c>
      <c r="AZ42" s="968">
        <f>SUM(AZ30:AZ41)</f>
        <v>1.056</v>
      </c>
      <c r="BA42" s="969" t="str">
        <f>CONCATENATE(TRUNC(AZ42,0),":",INT((AZ42-(TRUNC(AZ42,0)))*60),":","00")</f>
        <v>1:3:00</v>
      </c>
      <c r="BF42" s="840">
        <f>SUM(BF30:BF41)</f>
        <v>0</v>
      </c>
      <c r="BG42" s="840">
        <f t="shared" ref="BG42" si="123">SUM(BG30:BG41)</f>
        <v>0</v>
      </c>
      <c r="BH42" s="840">
        <f>SUM(BH30:BH41)</f>
        <v>25000</v>
      </c>
      <c r="DC42" s="1416"/>
      <c r="DE42" s="1416"/>
      <c r="DI42" s="1500">
        <f>SUM(DI30:DI41)</f>
        <v>0</v>
      </c>
      <c r="DK42" s="1500">
        <f>SUM(DK30:DK41)</f>
        <v>0</v>
      </c>
      <c r="DN42" s="1501">
        <f>SUM(DN30:DN41)</f>
        <v>0</v>
      </c>
      <c r="DP42" s="1501">
        <f>SUM(DP30:DP41)</f>
        <v>0</v>
      </c>
      <c r="DR42" s="1504">
        <f>IF(SUM(DR30:DR41)&gt;0,AVERAGEIF(DR30:DR41,"&gt;0"),0)</f>
        <v>0</v>
      </c>
      <c r="DS42" s="1504">
        <f>IF(SUM(DS30:DS41)&gt;0,AVERAGEIF(DS30:DS41,"&gt;0"),0)</f>
        <v>0</v>
      </c>
      <c r="DT42" s="1505">
        <f>SUM(DT30:DT41)</f>
        <v>0</v>
      </c>
      <c r="DU42" s="1503"/>
      <c r="DV42" s="1504">
        <f>IF(SUM(DV30:DV41)&gt;0,AVERAGEIF(DV30:DV41,"&gt;0"),0)</f>
        <v>0</v>
      </c>
      <c r="DW42" s="1504">
        <f>IF(SUM(DW30:DW41)&gt;0,AVERAGEIF(DW30:DW41,"&gt;0"),0)</f>
        <v>0</v>
      </c>
      <c r="DX42" s="1506">
        <f>SUM(DX30:DX41)</f>
        <v>0</v>
      </c>
      <c r="IK42" s="790"/>
      <c r="IL42" s="786"/>
      <c r="IM42" s="790"/>
      <c r="IN42" s="786"/>
      <c r="KF42" s="842" t="s">
        <v>1015</v>
      </c>
    </row>
    <row r="43" spans="1:336" ht="25.5" x14ac:dyDescent="0.2">
      <c r="A43" s="120"/>
      <c r="B43" s="121"/>
      <c r="C43" s="122"/>
      <c r="D43" s="122"/>
      <c r="E43" s="122"/>
      <c r="F43" s="122"/>
      <c r="G43" s="25"/>
      <c r="H43" s="122"/>
      <c r="I43" s="122"/>
      <c r="J43" s="25"/>
      <c r="K43" s="25"/>
      <c r="L43" s="25"/>
      <c r="M43" s="25"/>
      <c r="N43" s="25"/>
      <c r="Q43" s="742"/>
      <c r="R43" s="742"/>
      <c r="T43" s="743"/>
      <c r="CT43" s="11" t="s">
        <v>1004</v>
      </c>
      <c r="DK43" s="132">
        <f>DI42+DK42</f>
        <v>0</v>
      </c>
      <c r="DP43" s="132">
        <f>DN42+DP42</f>
        <v>0</v>
      </c>
      <c r="DR43" s="1503"/>
      <c r="DS43" s="1503">
        <f>DR42+DS42</f>
        <v>0</v>
      </c>
      <c r="DT43" s="1503"/>
      <c r="DU43" s="1503"/>
      <c r="DV43" s="1503"/>
      <c r="DW43" s="1503">
        <f>DV42+DW42</f>
        <v>0</v>
      </c>
      <c r="DX43" s="1503"/>
      <c r="IK43" s="790"/>
      <c r="IL43" s="786"/>
      <c r="IM43" s="790"/>
      <c r="IN43" s="786"/>
      <c r="KD43" t="s">
        <v>905</v>
      </c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 s="1130" t="s">
        <v>873</v>
      </c>
      <c r="KU43" s="1131"/>
      <c r="KV43" s="1132"/>
      <c r="KW43" s="1130" t="s">
        <v>874</v>
      </c>
      <c r="KX43" s="1227"/>
      <c r="KY43" s="1227"/>
      <c r="KZ43" s="1229"/>
      <c r="LA43" s="1227"/>
      <c r="LB43" s="1227"/>
      <c r="LC43" s="1229"/>
      <c r="LD43" s="1228"/>
      <c r="LE43" s="1132"/>
      <c r="LF43" s="1133" t="s">
        <v>875</v>
      </c>
      <c r="LG43" s="1229"/>
      <c r="LH43" s="1229"/>
      <c r="LI43" s="1133"/>
      <c r="LJ43" s="1229"/>
      <c r="LK43" s="1229"/>
      <c r="LL43" s="1133"/>
      <c r="LM43" s="1133"/>
      <c r="LN43" s="1130" t="s">
        <v>876</v>
      </c>
      <c r="LO43" s="1227"/>
      <c r="LP43" s="1227"/>
      <c r="LQ43" s="1132"/>
      <c r="LR43"/>
      <c r="LS43"/>
      <c r="LT43"/>
      <c r="LU43"/>
    </row>
    <row r="44" spans="1:336" ht="38.25" customHeight="1" x14ac:dyDescent="0.2">
      <c r="B44" s="8" t="s">
        <v>415</v>
      </c>
      <c r="C44" s="123" t="s">
        <v>383</v>
      </c>
      <c r="D44" s="124"/>
      <c r="E44" s="140">
        <v>0</v>
      </c>
      <c r="F44" s="6" t="s">
        <v>176</v>
      </c>
      <c r="G44" s="6" t="s">
        <v>177</v>
      </c>
      <c r="H44" s="6" t="s">
        <v>178</v>
      </c>
      <c r="I44" s="6" t="s">
        <v>179</v>
      </c>
      <c r="J44" s="6" t="s">
        <v>392</v>
      </c>
      <c r="K44" s="6" t="s">
        <v>180</v>
      </c>
      <c r="L44" s="6" t="s">
        <v>220</v>
      </c>
      <c r="M44" s="6" t="s">
        <v>219</v>
      </c>
      <c r="N44" s="58" t="s">
        <v>416</v>
      </c>
      <c r="O44" s="2229" t="s">
        <v>652</v>
      </c>
      <c r="P44" s="2230"/>
      <c r="Q44" s="2230"/>
      <c r="R44" s="742"/>
      <c r="S44" s="2241" t="s">
        <v>6</v>
      </c>
      <c r="T44" s="2242"/>
      <c r="U44" s="2243"/>
      <c r="Y44" s="947"/>
      <c r="Z44" s="948"/>
      <c r="AA44" s="948"/>
      <c r="AB44" s="948"/>
      <c r="AC44" s="949"/>
      <c r="AY44" s="1079" t="s">
        <v>771</v>
      </c>
      <c r="AZ44" s="1079"/>
      <c r="BA44" s="1079"/>
      <c r="BB44" s="1079"/>
      <c r="BC44" s="1079"/>
      <c r="BM44" s="745"/>
      <c r="BN44" s="838" t="s">
        <v>753</v>
      </c>
      <c r="IK44" s="790"/>
      <c r="IM44" s="796"/>
      <c r="KC44" s="727" t="s">
        <v>251</v>
      </c>
      <c r="KD44" s="1102" t="s">
        <v>877</v>
      </c>
      <c r="KE44" s="1103" t="s">
        <v>72</v>
      </c>
      <c r="KF44" s="1104" t="s">
        <v>260</v>
      </c>
      <c r="KG44" s="1104" t="s">
        <v>878</v>
      </c>
      <c r="KH44" s="1105" t="s">
        <v>735</v>
      </c>
      <c r="KI44" s="1106" t="s">
        <v>879</v>
      </c>
      <c r="KJ44" s="1107" t="s">
        <v>880</v>
      </c>
      <c r="KK44" s="1108" t="s">
        <v>881</v>
      </c>
      <c r="KL44" s="1106" t="s">
        <v>882</v>
      </c>
      <c r="KM44" s="1109" t="s">
        <v>65</v>
      </c>
      <c r="KN44" s="1107" t="s">
        <v>883</v>
      </c>
      <c r="KO44" s="1106" t="s">
        <v>902</v>
      </c>
      <c r="KP44" s="1107" t="s">
        <v>226</v>
      </c>
      <c r="KQ44" s="1107" t="s">
        <v>884</v>
      </c>
      <c r="KR44" s="1107" t="s">
        <v>885</v>
      </c>
      <c r="KS44" s="1110" t="s">
        <v>886</v>
      </c>
      <c r="KT44" s="1111" t="s">
        <v>887</v>
      </c>
      <c r="KU44" s="1111" t="s">
        <v>888</v>
      </c>
      <c r="KV44" s="1112" t="s">
        <v>889</v>
      </c>
      <c r="KW44" s="1249" t="s">
        <v>890</v>
      </c>
      <c r="KX44" s="1249" t="s">
        <v>960</v>
      </c>
      <c r="KY44" s="1249" t="s">
        <v>947</v>
      </c>
      <c r="KZ44" s="1250" t="s">
        <v>891</v>
      </c>
      <c r="LA44" s="1250" t="s">
        <v>948</v>
      </c>
      <c r="LB44" s="1250" t="s">
        <v>949</v>
      </c>
      <c r="LC44" s="1252" t="s">
        <v>892</v>
      </c>
      <c r="LD44" s="1252" t="s">
        <v>952</v>
      </c>
      <c r="LE44" s="1252" t="s">
        <v>953</v>
      </c>
      <c r="LF44" s="1251" t="s">
        <v>893</v>
      </c>
      <c r="LG44" s="1251" t="s">
        <v>950</v>
      </c>
      <c r="LH44" s="1251" t="s">
        <v>951</v>
      </c>
      <c r="LI44" s="1113" t="s">
        <v>894</v>
      </c>
      <c r="LJ44" s="1113" t="s">
        <v>954</v>
      </c>
      <c r="LK44" s="1113" t="s">
        <v>955</v>
      </c>
      <c r="LL44" s="1253" t="s">
        <v>895</v>
      </c>
      <c r="LM44" s="1253" t="s">
        <v>903</v>
      </c>
      <c r="LN44" s="1254" t="s">
        <v>896</v>
      </c>
      <c r="LO44" s="1254" t="s">
        <v>956</v>
      </c>
      <c r="LP44" s="1254" t="s">
        <v>957</v>
      </c>
      <c r="LQ44" s="1256" t="s">
        <v>897</v>
      </c>
      <c r="LR44" s="1257" t="s">
        <v>898</v>
      </c>
      <c r="LS44" s="1257" t="s">
        <v>899</v>
      </c>
      <c r="LT44" s="1259" t="s">
        <v>900</v>
      </c>
      <c r="LU44" s="1114" t="s">
        <v>901</v>
      </c>
      <c r="LV44" s="1212" t="s">
        <v>904</v>
      </c>
      <c r="LW44" s="11"/>
    </row>
    <row r="45" spans="1:336" ht="16.5" customHeight="1" x14ac:dyDescent="0.2">
      <c r="B45" s="13">
        <f t="shared" ref="B45:B56" si="124">LOOKUP($E30,$B$13:$B$26,$A$13:$A$26)</f>
        <v>12</v>
      </c>
      <c r="C45" s="106" t="str">
        <f>C30</f>
        <v>газетная                              все форматы</v>
      </c>
      <c r="D45" s="106"/>
      <c r="E45" s="138">
        <f>IF(B44&gt;0,E44+1,E44)</f>
        <v>1</v>
      </c>
      <c r="F45" s="125"/>
      <c r="G45" s="125"/>
      <c r="H45" s="126"/>
      <c r="I45" s="126"/>
      <c r="J45" s="126"/>
      <c r="K45" s="126"/>
      <c r="L45" s="126"/>
      <c r="M45" s="126"/>
      <c r="N45" s="127">
        <f t="shared" ref="N45:N56" si="125">SUM(F45:M45)</f>
        <v>0</v>
      </c>
      <c r="Q45" s="742"/>
      <c r="R45" s="605" t="str">
        <f>IF($E45&gt;0,VLOOKUP($B30,Мат!$A$191:$T$320,19),0)</f>
        <v>газетная</v>
      </c>
      <c r="S45" s="941">
        <v>52</v>
      </c>
      <c r="T45" s="941">
        <v>77</v>
      </c>
      <c r="U45" s="941">
        <v>98</v>
      </c>
      <c r="Y45" s="947"/>
      <c r="Z45" s="948"/>
      <c r="AA45" s="948"/>
      <c r="AB45" s="950"/>
      <c r="AC45" s="949"/>
      <c r="AY45" s="1080" t="s">
        <v>756</v>
      </c>
      <c r="AZ45" s="1080" t="s">
        <v>757</v>
      </c>
      <c r="BA45" s="1080" t="s">
        <v>758</v>
      </c>
      <c r="BB45" s="1080" t="s">
        <v>759</v>
      </c>
      <c r="BC45" s="1080" t="s">
        <v>760</v>
      </c>
      <c r="BL45" s="11" t="s">
        <v>986</v>
      </c>
      <c r="BM45" s="745" t="s">
        <v>270</v>
      </c>
      <c r="BN45" s="946" t="s">
        <v>755</v>
      </c>
      <c r="KC45" s="796"/>
      <c r="KD45" s="1117" t="str">
        <f>IF($KR45&gt;0,Заказ!$I$1,"del")</f>
        <v>del</v>
      </c>
      <c r="KE45" s="1117"/>
      <c r="KF45" s="6" t="s">
        <v>684</v>
      </c>
      <c r="KG45" s="1117">
        <f>IF(AND($KF45="газетная",$KR45&gt;0),Заказ!$D$8,0)</f>
        <v>0</v>
      </c>
      <c r="KH45" s="1117"/>
      <c r="KI45" s="1117" t="str">
        <f>IF($KF$45="газетная",LOOKUP($KF45,$KF$30:$KF$41,$KI$30:$KI$41),0)</f>
        <v>СityLine</v>
      </c>
      <c r="KJ45" s="1117"/>
      <c r="KK45" s="1134">
        <v>76</v>
      </c>
      <c r="KL45" s="1134">
        <f>IF($KF$30="газетная",$K$30,0)</f>
        <v>57.8</v>
      </c>
      <c r="KM45" s="1134">
        <v>42</v>
      </c>
      <c r="KN45" s="1118">
        <f>SUMIFS($KN$30:$KN$41,$KF$30:$KF$41,$KF45,$KK$30:$KK$41,$KK45,$KM$30:$KM$41,$KM45)</f>
        <v>0</v>
      </c>
      <c r="KO45" s="1116" t="str">
        <f>IF(KF30="газетная",Заказ!F13,0)</f>
        <v>4+4</v>
      </c>
      <c r="KP45" s="1117">
        <f>IF(KF30="газетная",Заказ!C11,0)</f>
        <v>25000</v>
      </c>
      <c r="KQ45" s="1117">
        <f t="shared" ref="KQ45:KQ66" si="126">SUMIFS($KQ$30:$KQ$41,$KF$30:$KF$41,$KF45,$KK$30:$KK$41,$KK45,$KM$30:$KM$41,$KM45)</f>
        <v>0</v>
      </c>
      <c r="KR45" s="1117">
        <f>SUMIFS($KR$30:$KR$41,$KF$30:$KF$41,$KF45,$KK$30:$KK$41,$KK45,$KM$30:$KM$41,$KM45)</f>
        <v>0</v>
      </c>
      <c r="KS45" s="1140" t="str">
        <f>CONCATENATE(TRUNC(SUMIFS($KS$30:$KS$41,$KF$30:$KF$41,$KF45,$KK$30:$KK$41,$KK45,$KM$30:$KM$41,$KM45),0),":",INT((SUMIFS($KS$30:$KS$41,$KF$30:$KF$41,$KF45,$KK$30:$KK$41,$KK45,$KM$30:$KM$41,$KM45)-(TRUNC(SUMIFS($KS$30:$KS$41,$KF$30:$KF$41,$KF45,$KK$30:$KK$41,$KK45,$KM$30:$KM$41,$KM45),0)))*60),":","00")</f>
        <v>0:0:00</v>
      </c>
      <c r="KT45" s="1140" t="str">
        <f>CONCATENATE(TRUNC(SUMIFS($KT$30:$KT$41,$KF$30:$KF$41,$KF45,$KK$30:$KK$41,$KK45,$KM$30:$KM$41,$KM45),0),":",INT((SUMIFS($KT$30:$KT$41,$KF$30:$KF$41,$KF45,$KK$30:$KK$41,$KK45,$KM$30:$KM$41,$KM45)-(TRUNC(SUMIFS($KT$30:$KT$41,$KF$30:$KF$41,$KF45,$KK$30:$KK$41,$KK45,$KM$30:$KM$41,$KM45),0)))*60),":","00")</f>
        <v>0:0:00</v>
      </c>
      <c r="KU45" s="1117"/>
      <c r="KV45" s="1117"/>
      <c r="KW45" s="1189">
        <f t="shared" ref="KW45:KW68" si="127">SUMIFS($KW$30:$KW$41,$KF$30:$KF$41,$KF45,$KK$30:$KK$41,$KK45,$KM$30:$KM$41,$KM45)</f>
        <v>0</v>
      </c>
      <c r="KX45" s="1119">
        <f>SUMIFS($KX$30:$KX$41,$KF$30:$KF$41,$KF45,$KK$30:$KK$41,$KK45,$KM$30:$KM$41,$KM45)</f>
        <v>0</v>
      </c>
      <c r="KY45" s="1119">
        <f>SUMIFS($KY$30:$KY$41,$KF$30:$KF$41,$KF45,$KK$30:$KK$41,$KK45,$KM$30:$KM$41,$KM45)</f>
        <v>0</v>
      </c>
      <c r="KZ45" s="1119"/>
      <c r="LA45" s="1119"/>
      <c r="LB45" s="1119"/>
      <c r="LC45" s="1255"/>
      <c r="LD45" s="1255"/>
      <c r="LE45" s="1255"/>
      <c r="LF45" s="1189">
        <f t="shared" ref="LF45:LF68" si="128">SUMIFS($LF$30:$LF$41,$KF$30:$KF$41,$KF45,$KK$30:$KK$41,$KK45,$KM$30:$KM$41,$KM45)</f>
        <v>0</v>
      </c>
      <c r="LG45" s="1119">
        <f>SUMIFS($LG$30:$LG$41,$KF$30:$KF$41,$KF45,$KK$30:$KK$41,$KK45,$KM$30:$KM$41,$KM45)</f>
        <v>0</v>
      </c>
      <c r="LH45" s="1119">
        <f>SUMIFS($LH$30:$LH$41,$KF$30:$KF$41,$KF45,$KK$30:$KK$41,$KK45,$KM$30:$KM$41,$KM45)</f>
        <v>0</v>
      </c>
      <c r="LI45" s="1119"/>
      <c r="LJ45" s="1119"/>
      <c r="LK45" s="1119"/>
      <c r="LL45" s="1191"/>
      <c r="LM45" s="1117"/>
      <c r="LN45" s="1119"/>
      <c r="LO45" s="1119"/>
      <c r="LP45" s="1119"/>
      <c r="LQ45" s="1119"/>
      <c r="LR45" s="1255"/>
      <c r="LS45" s="1255"/>
      <c r="LT45" s="1119"/>
      <c r="LU45" s="1210"/>
      <c r="LV45" s="1116" t="str">
        <f>IF(LW45&gt;0,"тип","зак")</f>
        <v>зак</v>
      </c>
      <c r="LW45" s="1211">
        <f t="shared" ref="LW45:LW68" si="129">SUMIFS($LX$30:$LX$41,$KF$30:$KF$41,$KF45,$KK$30:$KK$41,$KK45,$KM$30:$KM$41,$KM45)</f>
        <v>0</v>
      </c>
    </row>
    <row r="46" spans="1:336" ht="16.5" customHeight="1" x14ac:dyDescent="0.2">
      <c r="B46" s="927">
        <f>LOOKUP($E31,$B$13:$B$26,$A$13:$A$26)</f>
        <v>12</v>
      </c>
      <c r="C46" s="928" t="str">
        <f t="shared" ref="C46:C48" si="130">C31</f>
        <v>газетная.                             все форматы</v>
      </c>
      <c r="D46" s="928"/>
      <c r="E46" s="138">
        <f>IF(B45&gt;0,E45+1,E45)</f>
        <v>2</v>
      </c>
      <c r="F46" s="125"/>
      <c r="G46" s="125"/>
      <c r="H46" s="126"/>
      <c r="I46" s="126"/>
      <c r="J46" s="126"/>
      <c r="K46" s="126"/>
      <c r="L46" s="126"/>
      <c r="M46" s="126"/>
      <c r="N46" s="127">
        <f t="shared" si="125"/>
        <v>0</v>
      </c>
      <c r="Q46" s="742"/>
      <c r="R46" s="605" t="str">
        <f>IF($E46&gt;0,VLOOKUP($B31,Мат!$A$191:$T$320,19),0)</f>
        <v>газетная</v>
      </c>
      <c r="S46" s="941">
        <v>55</v>
      </c>
      <c r="T46" s="941">
        <v>79</v>
      </c>
      <c r="U46" s="941">
        <v>100</v>
      </c>
      <c r="Y46" s="947"/>
      <c r="Z46" s="948"/>
      <c r="AA46" s="1115"/>
      <c r="AB46" s="950"/>
      <c r="AC46" s="949"/>
      <c r="AY46" s="1081">
        <v>1</v>
      </c>
      <c r="AZ46" s="1081" t="s">
        <v>141</v>
      </c>
      <c r="BA46" s="1081">
        <v>2</v>
      </c>
      <c r="BB46" s="1081">
        <v>2</v>
      </c>
      <c r="BC46" s="934">
        <v>0.13300000000000001</v>
      </c>
      <c r="BL46" s="11" t="s">
        <v>987</v>
      </c>
      <c r="BM46" s="745" t="s">
        <v>712</v>
      </c>
      <c r="BN46" s="945" t="s">
        <v>754</v>
      </c>
      <c r="KC46" s="796"/>
      <c r="KD46" s="1117" t="str">
        <f>IF($KR46&gt;0,Заказ!$I$1,"del")</f>
        <v>del</v>
      </c>
      <c r="KE46" s="1117"/>
      <c r="KF46" s="6" t="s">
        <v>684</v>
      </c>
      <c r="KG46" s="1117">
        <f>IF(AND($KF46="газетная",$KR46&gt;0),Заказ!$D$8,0)</f>
        <v>0</v>
      </c>
      <c r="KH46" s="1117"/>
      <c r="KI46" s="1117" t="str">
        <f t="shared" ref="KI46:KI65" si="131">IF($KF$45="газетная",LOOKUP($KF46,$KF$30:$KF$41,$KI$30:$KI$41),0)</f>
        <v>СityLine</v>
      </c>
      <c r="KJ46" s="1117"/>
      <c r="KK46" s="1134">
        <v>76</v>
      </c>
      <c r="KL46" s="1134">
        <f t="shared" ref="KL46:KL68" si="132">IF($KR46&gt;0,$K$30,0)</f>
        <v>0</v>
      </c>
      <c r="KM46" s="1134">
        <v>45</v>
      </c>
      <c r="KN46" s="1118">
        <f t="shared" ref="KN46:KN68" si="133">SUMIFS($KN$30:$KN$41,$KF$30:$KF$41,$KF46,$KK$30:$KK$41,$KK46,$KM$30:$KM$41,$KM46)</f>
        <v>0</v>
      </c>
      <c r="KO46" s="1116">
        <f>IF($KR46&gt;0,Заказ!$F$13,0)</f>
        <v>0</v>
      </c>
      <c r="KP46" s="1117">
        <f>IF($KR46&gt;0,Заказ!$C$11,0)</f>
        <v>0</v>
      </c>
      <c r="KQ46" s="1117">
        <f t="shared" si="126"/>
        <v>0</v>
      </c>
      <c r="KR46" s="1117">
        <f t="shared" ref="KR46:KR68" si="134">SUMIFS($KR$30:$KR$41,$KF$30:$KF$41,$KF46,$KK$30:$KK$41,$KK46,$KM$30:$KM$41,$KM46)</f>
        <v>0</v>
      </c>
      <c r="KS46" s="1140" t="str">
        <f t="shared" ref="KS46:KS68" si="135">CONCATENATE(TRUNC(SUMIFS($KS$30:$KS$41,$KF$30:$KF$41,$KF46,$KK$30:$KK$41,$KK46,$KM$30:$KM$41,$KM46),0),":",INT((SUMIFS($KS$30:$KS$41,$KF$30:$KF$41,$KF46,$KK$30:$KK$41,$KK46,$KM$30:$KM$41,$KM46)-(TRUNC(SUMIFS($KS$30:$KS$41,$KF$30:$KF$41,$KF46,$KK$30:$KK$41,$KK46,$KM$30:$KM$41,$KM46),0)))*60),":","00")</f>
        <v>0:0:00</v>
      </c>
      <c r="KT46" s="1140" t="str">
        <f t="shared" ref="KT46:KT68" si="136">CONCATENATE(TRUNC(SUMIFS($KT$30:$KT$41,$KF$30:$KF$41,$KF46,$KK$30:$KK$41,$KK46,$KM$30:$KM$41,$KM46),0),":",INT((SUMIFS($KT$30:$KT$41,$KF$30:$KF$41,$KF46,$KK$30:$KK$41,$KK46,$KM$30:$KM$41,$KM46)-(TRUNC(SUMIFS($KT$30:$KT$41,$KF$30:$KF$41,$KF46,$KK$30:$KK$41,$KK46,$KM$30:$KM$41,$KM46),0)))*60),":","00")</f>
        <v>0:0:00</v>
      </c>
      <c r="KU46" s="1117"/>
      <c r="KV46" s="1117"/>
      <c r="KW46" s="1189">
        <f>SUMIFS($KW$30:$KW$41,$KF$30:$KF$41,$KF46,$KK$30:$KK$41,$KK46,$KM$30:$KM$41,$KM46)</f>
        <v>0</v>
      </c>
      <c r="KX46" s="1119">
        <f>SUMIFS($KX$30:$KX$41,$KF$30:$KF$41,$KF46,$KK$30:$KK$41,$KK46,$KM$30:$KM$41,$KM46)</f>
        <v>0</v>
      </c>
      <c r="KY46" s="1119">
        <f t="shared" ref="KY46:KY68" si="137">SUMIFS($KY$30:$KY$41,$KF$30:$KF$41,$KF46,$KK$30:$KK$41,$KK46,$KM$30:$KM$41,$KM46)</f>
        <v>0</v>
      </c>
      <c r="KZ46" s="1119"/>
      <c r="LA46" s="1119"/>
      <c r="LB46" s="1119"/>
      <c r="LC46" s="1255"/>
      <c r="LD46" s="1255"/>
      <c r="LE46" s="1255"/>
      <c r="LF46" s="1189">
        <f t="shared" si="128"/>
        <v>0</v>
      </c>
      <c r="LG46" s="1119">
        <f t="shared" ref="LG46:LG68" si="138">SUMIFS($LG$30:$LG$41,$KF$30:$KF$41,$KF46,$KK$30:$KK$41,$KK46,$KM$30:$KM$41,$KM46)</f>
        <v>0</v>
      </c>
      <c r="LH46" s="1119">
        <f t="shared" ref="LH46:LH68" si="139">SUMIFS($LH$30:$LH$41,$KF$30:$KF$41,$KF46,$KK$30:$KK$41,$KK46,$KM$30:$KM$41,$KM46)</f>
        <v>0</v>
      </c>
      <c r="LI46" s="1119"/>
      <c r="LJ46" s="1119"/>
      <c r="LK46" s="1119"/>
      <c r="LL46" s="1191"/>
      <c r="LM46" s="1117"/>
      <c r="LN46" s="1119"/>
      <c r="LO46" s="1119"/>
      <c r="LP46" s="1119"/>
      <c r="LQ46" s="1119"/>
      <c r="LR46" s="1255"/>
      <c r="LS46" s="1255"/>
      <c r="LT46" s="1119"/>
      <c r="LU46" s="1210"/>
      <c r="LV46" s="1116" t="str">
        <f t="shared" ref="LV46:LV68" si="140">IF(LW46&gt;0,"тип","зак")</f>
        <v>зак</v>
      </c>
      <c r="LW46" s="1211">
        <f t="shared" si="129"/>
        <v>0</v>
      </c>
    </row>
    <row r="47" spans="1:336" ht="16.5" customHeight="1" x14ac:dyDescent="0.2">
      <c r="B47" s="927">
        <f t="shared" si="124"/>
        <v>0</v>
      </c>
      <c r="C47" s="928" t="str">
        <f t="shared" si="130"/>
        <v xml:space="preserve"> </v>
      </c>
      <c r="D47" s="928"/>
      <c r="E47" s="138">
        <f t="shared" ref="E47:E50" si="141">IF(B46&gt;0,E46+1,E46)</f>
        <v>3</v>
      </c>
      <c r="F47" s="125"/>
      <c r="G47" s="125"/>
      <c r="H47" s="126"/>
      <c r="I47" s="126"/>
      <c r="J47" s="126"/>
      <c r="K47" s="126"/>
      <c r="L47" s="126"/>
      <c r="M47" s="126"/>
      <c r="N47" s="127">
        <f t="shared" si="125"/>
        <v>0</v>
      </c>
      <c r="Q47" s="742"/>
      <c r="R47" s="605" t="e">
        <f>IF($E47&gt;0,VLOOKUP($B32,Мат!$A$191:$T$320,19),0)</f>
        <v>#N/A</v>
      </c>
      <c r="S47" s="941">
        <v>57</v>
      </c>
      <c r="T47" s="941">
        <v>82</v>
      </c>
      <c r="U47" s="941">
        <v>102</v>
      </c>
      <c r="Y47" s="947"/>
      <c r="Z47" s="947"/>
      <c r="AA47" s="947"/>
      <c r="AB47" s="947"/>
      <c r="AC47" s="949"/>
      <c r="AY47" s="1081">
        <v>1</v>
      </c>
      <c r="AZ47" s="1081" t="s">
        <v>142</v>
      </c>
      <c r="BA47" s="1081">
        <v>3</v>
      </c>
      <c r="BB47" s="1081">
        <v>3</v>
      </c>
      <c r="BC47" s="1082">
        <v>0.2</v>
      </c>
      <c r="KC47" s="796"/>
      <c r="KD47" s="1117" t="str">
        <f>IF($KR47&gt;0,Заказ!$I$1,"del")</f>
        <v>del</v>
      </c>
      <c r="KE47" s="1117"/>
      <c r="KF47" s="6" t="s">
        <v>684</v>
      </c>
      <c r="KG47" s="1117">
        <f>IF(AND($KF47="газетная",$KR47&gt;0),Заказ!$D$8,0)</f>
        <v>0</v>
      </c>
      <c r="KH47" s="1117"/>
      <c r="KI47" s="1117" t="str">
        <f t="shared" si="131"/>
        <v>СityLine</v>
      </c>
      <c r="KJ47" s="1117"/>
      <c r="KK47" s="1134">
        <v>38</v>
      </c>
      <c r="KL47" s="1136">
        <f t="shared" si="132"/>
        <v>0</v>
      </c>
      <c r="KM47" s="1134">
        <v>42</v>
      </c>
      <c r="KN47" s="1118">
        <f t="shared" si="133"/>
        <v>0</v>
      </c>
      <c r="KO47" s="1116">
        <f>IF($KR47&gt;0,Заказ!$F$13,0)</f>
        <v>0</v>
      </c>
      <c r="KP47" s="1117">
        <f>IF($KR47&gt;0,Заказ!$C$11,0)</f>
        <v>0</v>
      </c>
      <c r="KQ47" s="1117">
        <f t="shared" si="126"/>
        <v>0</v>
      </c>
      <c r="KR47" s="1117">
        <f t="shared" si="134"/>
        <v>0</v>
      </c>
      <c r="KS47" s="1140" t="str">
        <f t="shared" si="135"/>
        <v>0:0:00</v>
      </c>
      <c r="KT47" s="1140" t="str">
        <f t="shared" si="136"/>
        <v>0:0:00</v>
      </c>
      <c r="KU47" s="1117"/>
      <c r="KV47" s="1117"/>
      <c r="KW47" s="1189">
        <f t="shared" si="127"/>
        <v>0</v>
      </c>
      <c r="KX47" s="1119">
        <f t="shared" ref="KX47:KX68" si="142">SUMIFS($KX$30:$KX$41,$KF$30:$KF$41,$KF47,$KK$30:$KK$41,$KK47,$KM$30:$KM$41,$KM47)</f>
        <v>0</v>
      </c>
      <c r="KY47" s="1119">
        <f t="shared" si="137"/>
        <v>0</v>
      </c>
      <c r="KZ47" s="1119"/>
      <c r="LA47" s="1119"/>
      <c r="LB47" s="1119"/>
      <c r="LC47" s="1255"/>
      <c r="LD47" s="1255"/>
      <c r="LE47" s="1255"/>
      <c r="LF47" s="1189">
        <f t="shared" si="128"/>
        <v>0</v>
      </c>
      <c r="LG47" s="1119">
        <f t="shared" si="138"/>
        <v>0</v>
      </c>
      <c r="LH47" s="1119">
        <f t="shared" si="139"/>
        <v>0</v>
      </c>
      <c r="LI47" s="1119"/>
      <c r="LJ47" s="1119"/>
      <c r="LK47" s="1119"/>
      <c r="LL47" s="1191"/>
      <c r="LM47" s="1117"/>
      <c r="LN47" s="1119"/>
      <c r="LO47" s="1119"/>
      <c r="LP47" s="1119"/>
      <c r="LQ47" s="1119"/>
      <c r="LR47" s="1255"/>
      <c r="LS47" s="1255"/>
      <c r="LT47" s="1119"/>
      <c r="LU47" s="1210"/>
      <c r="LV47" s="1116" t="str">
        <f t="shared" si="140"/>
        <v>зак</v>
      </c>
      <c r="LW47" s="1211">
        <f t="shared" si="129"/>
        <v>0</v>
      </c>
    </row>
    <row r="48" spans="1:336" ht="16.5" customHeight="1" x14ac:dyDescent="0.2">
      <c r="B48" s="927">
        <f t="shared" si="124"/>
        <v>0</v>
      </c>
      <c r="C48" s="928" t="str">
        <f t="shared" si="130"/>
        <v xml:space="preserve"> </v>
      </c>
      <c r="D48" s="928"/>
      <c r="E48" s="138">
        <f t="shared" si="141"/>
        <v>3</v>
      </c>
      <c r="F48" s="125"/>
      <c r="G48" s="125"/>
      <c r="H48" s="126"/>
      <c r="I48" s="126"/>
      <c r="J48" s="126"/>
      <c r="K48" s="126"/>
      <c r="L48" s="126"/>
      <c r="M48" s="126"/>
      <c r="N48" s="127">
        <f t="shared" si="125"/>
        <v>0</v>
      </c>
      <c r="Q48" s="742"/>
      <c r="R48" s="605" t="e">
        <f>IF($E48&gt;0,VLOOKUP($B33,Мат!$A$191:$T$320,19),0)</f>
        <v>#N/A</v>
      </c>
      <c r="S48" s="941">
        <v>60</v>
      </c>
      <c r="T48" s="941">
        <v>84</v>
      </c>
      <c r="U48" s="941">
        <v>104</v>
      </c>
      <c r="Y48" s="951"/>
      <c r="Z48" s="947"/>
      <c r="AA48" s="947"/>
      <c r="AB48" s="952"/>
      <c r="AC48" s="949"/>
      <c r="AY48" s="1083">
        <v>1</v>
      </c>
      <c r="AZ48" s="1083" t="s">
        <v>143</v>
      </c>
      <c r="BA48" s="1083">
        <v>4</v>
      </c>
      <c r="BB48" s="1083">
        <v>4</v>
      </c>
      <c r="BC48" s="934">
        <v>0.26700000000000002</v>
      </c>
      <c r="BL48" s="11" t="s">
        <v>988</v>
      </c>
      <c r="BM48" s="745" t="s">
        <v>270</v>
      </c>
      <c r="BN48" s="946" t="s">
        <v>755</v>
      </c>
      <c r="KC48" s="796"/>
      <c r="KD48" s="1117" t="str">
        <f>IF($KR48&gt;0,Заказ!$I$1,"del")</f>
        <v>del</v>
      </c>
      <c r="KE48" s="1117"/>
      <c r="KF48" s="6" t="s">
        <v>684</v>
      </c>
      <c r="KG48" s="1117">
        <f>IF(AND($KF48="газетная",$KR48&gt;0),Заказ!$D$8,0)</f>
        <v>0</v>
      </c>
      <c r="KH48" s="1117"/>
      <c r="KI48" s="1117" t="str">
        <f t="shared" si="131"/>
        <v>СityLine</v>
      </c>
      <c r="KJ48" s="1117"/>
      <c r="KK48" s="1134">
        <v>38</v>
      </c>
      <c r="KL48" s="1136">
        <f t="shared" si="132"/>
        <v>0</v>
      </c>
      <c r="KM48" s="1134">
        <v>45</v>
      </c>
      <c r="KN48" s="1118">
        <f t="shared" si="133"/>
        <v>0</v>
      </c>
      <c r="KO48" s="1116">
        <f>IF($KR48&gt;0,Заказ!$F$13,0)</f>
        <v>0</v>
      </c>
      <c r="KP48" s="1117">
        <f>IF($KR48&gt;0,Заказ!$C$11,0)</f>
        <v>0</v>
      </c>
      <c r="KQ48" s="1117">
        <f t="shared" si="126"/>
        <v>0</v>
      </c>
      <c r="KR48" s="1117">
        <f t="shared" si="134"/>
        <v>0</v>
      </c>
      <c r="KS48" s="1140" t="str">
        <f t="shared" si="135"/>
        <v>0:0:00</v>
      </c>
      <c r="KT48" s="1140" t="str">
        <f t="shared" si="136"/>
        <v>0:0:00</v>
      </c>
      <c r="KU48" s="1117"/>
      <c r="KV48" s="1117"/>
      <c r="KW48" s="1189">
        <f t="shared" si="127"/>
        <v>0</v>
      </c>
      <c r="KX48" s="1119">
        <f t="shared" si="142"/>
        <v>0</v>
      </c>
      <c r="KY48" s="1119">
        <f t="shared" si="137"/>
        <v>0</v>
      </c>
      <c r="KZ48" s="1119"/>
      <c r="LA48" s="1119"/>
      <c r="LB48" s="1119"/>
      <c r="LC48" s="1255"/>
      <c r="LD48" s="1255"/>
      <c r="LE48" s="1255"/>
      <c r="LF48" s="1189">
        <f t="shared" si="128"/>
        <v>0</v>
      </c>
      <c r="LG48" s="1119">
        <f t="shared" si="138"/>
        <v>0</v>
      </c>
      <c r="LH48" s="1119">
        <f t="shared" si="139"/>
        <v>0</v>
      </c>
      <c r="LI48" s="1119"/>
      <c r="LJ48" s="1119"/>
      <c r="LK48" s="1119"/>
      <c r="LL48" s="1191"/>
      <c r="LM48" s="1117"/>
      <c r="LN48" s="1119"/>
      <c r="LO48" s="1119"/>
      <c r="LP48" s="1119"/>
      <c r="LQ48" s="1119"/>
      <c r="LR48" s="1255"/>
      <c r="LS48" s="1255"/>
      <c r="LT48" s="1119"/>
      <c r="LU48" s="1210"/>
      <c r="LV48" s="1116" t="str">
        <f t="shared" si="140"/>
        <v>зак</v>
      </c>
      <c r="LW48" s="1211">
        <f t="shared" si="129"/>
        <v>0</v>
      </c>
    </row>
    <row r="49" spans="1:335" ht="16.5" customHeight="1" x14ac:dyDescent="0.2">
      <c r="B49" s="13">
        <f t="shared" si="124"/>
        <v>0</v>
      </c>
      <c r="C49" s="106" t="str">
        <f t="shared" ref="C49:C56" si="143">C34</f>
        <v xml:space="preserve"> </v>
      </c>
      <c r="D49" s="106"/>
      <c r="E49" s="138">
        <f t="shared" si="141"/>
        <v>3</v>
      </c>
      <c r="F49" s="125"/>
      <c r="G49" s="125"/>
      <c r="H49" s="126"/>
      <c r="I49" s="126"/>
      <c r="J49" s="126"/>
      <c r="K49" s="126"/>
      <c r="L49" s="126"/>
      <c r="M49" s="126"/>
      <c r="N49" s="127">
        <f t="shared" si="125"/>
        <v>0</v>
      </c>
      <c r="Q49" s="742"/>
      <c r="R49" s="605" t="e">
        <f>IF($E49&gt;0,VLOOKUP($B34,Мат!$A$191:$T$320,19),0)</f>
        <v>#N/A</v>
      </c>
      <c r="S49" s="941">
        <v>61</v>
      </c>
      <c r="T49" s="941">
        <v>85</v>
      </c>
      <c r="U49" s="941">
        <v>107</v>
      </c>
      <c r="Y49" s="948"/>
      <c r="Z49" s="948"/>
      <c r="AA49" s="948"/>
      <c r="AB49" s="948"/>
      <c r="AC49" s="949"/>
      <c r="AY49" s="1083">
        <v>1</v>
      </c>
      <c r="AZ49" s="1083" t="s">
        <v>144</v>
      </c>
      <c r="BA49" s="1083">
        <v>5</v>
      </c>
      <c r="BB49" s="1083">
        <v>5</v>
      </c>
      <c r="BC49" s="934">
        <v>0.33400000000000002</v>
      </c>
      <c r="BL49" s="11" t="s">
        <v>990</v>
      </c>
      <c r="BM49" s="745" t="s">
        <v>712</v>
      </c>
      <c r="BN49" s="945" t="s">
        <v>989</v>
      </c>
      <c r="KC49" s="796"/>
      <c r="KD49" s="1117" t="str">
        <f>IF($KR49&gt;0,Заказ!$I$1,"del")</f>
        <v>del</v>
      </c>
      <c r="KE49" s="1117"/>
      <c r="KF49" s="6" t="s">
        <v>684</v>
      </c>
      <c r="KG49" s="1117">
        <f>IF(AND($KF49="газетная",$KR49&gt;0),Заказ!$D$8,0)</f>
        <v>0</v>
      </c>
      <c r="KH49" s="1117"/>
      <c r="KI49" s="1117" t="str">
        <f t="shared" si="131"/>
        <v>СityLine</v>
      </c>
      <c r="KJ49" s="1117"/>
      <c r="KK49" s="1134">
        <v>80</v>
      </c>
      <c r="KL49" s="1136">
        <f t="shared" si="132"/>
        <v>0</v>
      </c>
      <c r="KM49" s="1134">
        <v>42</v>
      </c>
      <c r="KN49" s="1118">
        <f t="shared" si="133"/>
        <v>0</v>
      </c>
      <c r="KO49" s="1116">
        <f>IF($KR49&gt;0,Заказ!$F$13,0)</f>
        <v>0</v>
      </c>
      <c r="KP49" s="1117">
        <f>IF($KR49&gt;0,Заказ!$C$11,0)</f>
        <v>0</v>
      </c>
      <c r="KQ49" s="1117">
        <f t="shared" si="126"/>
        <v>0</v>
      </c>
      <c r="KR49" s="1117">
        <f t="shared" si="134"/>
        <v>0</v>
      </c>
      <c r="KS49" s="1140" t="str">
        <f t="shared" si="135"/>
        <v>0:0:00</v>
      </c>
      <c r="KT49" s="1140" t="str">
        <f t="shared" si="136"/>
        <v>0:0:00</v>
      </c>
      <c r="KU49" s="1117"/>
      <c r="KV49" s="1117"/>
      <c r="KW49" s="1189">
        <f t="shared" si="127"/>
        <v>0</v>
      </c>
      <c r="KX49" s="1119">
        <f t="shared" si="142"/>
        <v>0</v>
      </c>
      <c r="KY49" s="1119">
        <f t="shared" si="137"/>
        <v>0</v>
      </c>
      <c r="KZ49" s="1119"/>
      <c r="LA49" s="1119"/>
      <c r="LB49" s="1119"/>
      <c r="LC49" s="1255"/>
      <c r="LD49" s="1255"/>
      <c r="LE49" s="1255"/>
      <c r="LF49" s="1189">
        <f t="shared" si="128"/>
        <v>0</v>
      </c>
      <c r="LG49" s="1119">
        <f t="shared" si="138"/>
        <v>0</v>
      </c>
      <c r="LH49" s="1119">
        <f t="shared" si="139"/>
        <v>0</v>
      </c>
      <c r="LI49" s="1119"/>
      <c r="LJ49" s="1119"/>
      <c r="LK49" s="1119"/>
      <c r="LL49" s="1191"/>
      <c r="LM49" s="1117"/>
      <c r="LN49" s="1119"/>
      <c r="LO49" s="1119"/>
      <c r="LP49" s="1119"/>
      <c r="LQ49" s="1119"/>
      <c r="LR49" s="1255"/>
      <c r="LS49" s="1255"/>
      <c r="LT49" s="1119"/>
      <c r="LU49" s="1210"/>
      <c r="LV49" s="1116" t="str">
        <f t="shared" si="140"/>
        <v>зак</v>
      </c>
      <c r="LW49" s="1211">
        <f t="shared" si="129"/>
        <v>0</v>
      </c>
    </row>
    <row r="50" spans="1:335" ht="16.5" customHeight="1" x14ac:dyDescent="0.2">
      <c r="B50" s="13">
        <f t="shared" si="124"/>
        <v>0</v>
      </c>
      <c r="C50" s="106" t="str">
        <f t="shared" si="143"/>
        <v xml:space="preserve"> </v>
      </c>
      <c r="D50" s="106"/>
      <c r="E50" s="138">
        <f t="shared" si="141"/>
        <v>3</v>
      </c>
      <c r="F50" s="125"/>
      <c r="G50" s="125"/>
      <c r="H50" s="126"/>
      <c r="I50" s="126"/>
      <c r="J50" s="126"/>
      <c r="K50" s="126"/>
      <c r="L50" s="126"/>
      <c r="M50" s="126"/>
      <c r="N50" s="127">
        <f t="shared" si="125"/>
        <v>0</v>
      </c>
      <c r="Q50" s="742"/>
      <c r="R50" s="605" t="e">
        <f>IF($E50&gt;0,VLOOKUP($B35,Мат!$A$191:$T$320,19),0)</f>
        <v>#N/A</v>
      </c>
      <c r="S50" s="941">
        <v>63</v>
      </c>
      <c r="T50" s="941">
        <v>86</v>
      </c>
      <c r="U50" s="941">
        <v>108</v>
      </c>
      <c r="Y50" s="947"/>
      <c r="Z50" s="948"/>
      <c r="AA50" s="948"/>
      <c r="AB50" s="948"/>
      <c r="AC50" s="949"/>
      <c r="AY50" s="1083">
        <v>1</v>
      </c>
      <c r="AZ50" s="1083" t="s">
        <v>145</v>
      </c>
      <c r="BA50" s="1083">
        <v>6</v>
      </c>
      <c r="BB50" s="1083">
        <v>6</v>
      </c>
      <c r="BC50" s="934">
        <v>0.40100000000000002</v>
      </c>
      <c r="DA50" s="1519" t="s">
        <v>1061</v>
      </c>
      <c r="DB50" s="1519"/>
      <c r="DC50" s="1519" t="s">
        <v>1183</v>
      </c>
      <c r="DD50" s="1519" t="s">
        <v>1184</v>
      </c>
      <c r="DE50" s="1519" t="s">
        <v>1185</v>
      </c>
      <c r="DF50" s="1519" t="s">
        <v>1186</v>
      </c>
      <c r="DG50" s="1520" t="s">
        <v>1187</v>
      </c>
      <c r="DO50" s="1519" t="s">
        <v>1188</v>
      </c>
      <c r="KC50" s="796"/>
      <c r="KD50" s="1117" t="str">
        <f>IF($KR50&gt;0,Заказ!$I$1,"del")</f>
        <v>del</v>
      </c>
      <c r="KE50" s="1117"/>
      <c r="KF50" s="6" t="s">
        <v>684</v>
      </c>
      <c r="KG50" s="1117">
        <f>IF(AND($KF50="газетная",$KR50&gt;0),Заказ!$D$8,0)</f>
        <v>0</v>
      </c>
      <c r="KH50" s="1117"/>
      <c r="KI50" s="1117" t="str">
        <f t="shared" si="131"/>
        <v>СityLine</v>
      </c>
      <c r="KJ50" s="1117"/>
      <c r="KK50" s="1134">
        <v>80</v>
      </c>
      <c r="KL50" s="1136">
        <f t="shared" si="132"/>
        <v>0</v>
      </c>
      <c r="KM50" s="1134">
        <v>45</v>
      </c>
      <c r="KN50" s="1118">
        <f t="shared" si="133"/>
        <v>0</v>
      </c>
      <c r="KO50" s="1116">
        <f>IF($KR50&gt;0,Заказ!$F$13,0)</f>
        <v>0</v>
      </c>
      <c r="KP50" s="1117">
        <f>IF($KR50&gt;0,Заказ!$C$11,0)</f>
        <v>0</v>
      </c>
      <c r="KQ50" s="1117">
        <f t="shared" si="126"/>
        <v>0</v>
      </c>
      <c r="KR50" s="1117">
        <f t="shared" si="134"/>
        <v>0</v>
      </c>
      <c r="KS50" s="1140" t="str">
        <f t="shared" si="135"/>
        <v>0:0:00</v>
      </c>
      <c r="KT50" s="1140" t="str">
        <f t="shared" si="136"/>
        <v>0:0:00</v>
      </c>
      <c r="KU50" s="1117"/>
      <c r="KV50" s="1117"/>
      <c r="KW50" s="1189">
        <f t="shared" si="127"/>
        <v>0</v>
      </c>
      <c r="KX50" s="1119">
        <f t="shared" si="142"/>
        <v>0</v>
      </c>
      <c r="KY50" s="1119">
        <f t="shared" si="137"/>
        <v>0</v>
      </c>
      <c r="KZ50" s="1119"/>
      <c r="LA50" s="1119"/>
      <c r="LB50" s="1119"/>
      <c r="LC50" s="1255"/>
      <c r="LD50" s="1255"/>
      <c r="LE50" s="1255"/>
      <c r="LF50" s="1189">
        <f t="shared" si="128"/>
        <v>0</v>
      </c>
      <c r="LG50" s="1119">
        <f t="shared" si="138"/>
        <v>0</v>
      </c>
      <c r="LH50" s="1119">
        <f t="shared" si="139"/>
        <v>0</v>
      </c>
      <c r="LI50" s="1119"/>
      <c r="LJ50" s="1119"/>
      <c r="LK50" s="1119"/>
      <c r="LL50" s="1191"/>
      <c r="LM50" s="1117"/>
      <c r="LN50" s="1119"/>
      <c r="LO50" s="1119"/>
      <c r="LP50" s="1119"/>
      <c r="LQ50" s="1119"/>
      <c r="LR50" s="1255"/>
      <c r="LS50" s="1255"/>
      <c r="LT50" s="1119"/>
      <c r="LU50" s="1210"/>
      <c r="LV50" s="1116" t="str">
        <f t="shared" si="140"/>
        <v>зак</v>
      </c>
      <c r="LW50" s="1211">
        <f t="shared" si="129"/>
        <v>0</v>
      </c>
    </row>
    <row r="51" spans="1:335" ht="16.5" customHeight="1" x14ac:dyDescent="0.2">
      <c r="B51" s="13">
        <f t="shared" si="124"/>
        <v>0</v>
      </c>
      <c r="C51" s="106" t="str">
        <f t="shared" si="143"/>
        <v xml:space="preserve"> </v>
      </c>
      <c r="D51" s="106"/>
      <c r="E51" s="138">
        <f>IF(B50&gt;0,E50+1,E50)</f>
        <v>3</v>
      </c>
      <c r="F51" s="125"/>
      <c r="G51" s="125"/>
      <c r="H51" s="126"/>
      <c r="I51" s="126"/>
      <c r="J51" s="126"/>
      <c r="K51" s="126"/>
      <c r="L51" s="126"/>
      <c r="M51" s="126"/>
      <c r="N51" s="127">
        <f t="shared" si="125"/>
        <v>0</v>
      </c>
      <c r="Q51" s="742"/>
      <c r="R51" s="605" t="e">
        <f>IF($E51&gt;0,VLOOKUP($B36,Мат!$A$191:$T$320,19),0)</f>
        <v>#N/A</v>
      </c>
      <c r="S51" s="941">
        <v>65</v>
      </c>
      <c r="T51" s="941">
        <v>88</v>
      </c>
      <c r="U51" s="941">
        <v>110</v>
      </c>
      <c r="Y51" s="947"/>
      <c r="Z51" s="948"/>
      <c r="AA51" s="948"/>
      <c r="AB51" s="950"/>
      <c r="AC51" s="949"/>
      <c r="AY51" s="1083">
        <v>1</v>
      </c>
      <c r="AZ51" s="1083" t="s">
        <v>146</v>
      </c>
      <c r="BA51" s="1083">
        <v>8</v>
      </c>
      <c r="BB51" s="1083">
        <v>8</v>
      </c>
      <c r="BC51" s="934">
        <v>0.41699999999999998</v>
      </c>
      <c r="BM51" s="1301" t="s">
        <v>712</v>
      </c>
      <c r="BN51" s="1303">
        <f ca="1">IFERROR((VLOOKUP(Исх!Z30/Исх!T30/INT(Исх!G30),INDIRECT(Исх!BR30),Исх!H30+8*(Исх!AG30-1))-INDEX(INDIRECT(Исх!BR30),MATCH(Исх!Z30/Исх!T30/INT(Исх!G30),INDEX(INDIRECT(Исх!BR30),0,1))+1,Исх!H30+8*(Исх!AG30-1)))/(VLOOKUP(Исх!Z30/Исх!T30/INT(Исх!G30),INDIRECT(Исх!BR30),1)-INDEX(INDIRECT(Исх!BR30),MATCH(Исх!Z30/Исх!T30/INT(Исх!G30),INDEX(INDIRECT(Исх!BR30),0,1))+1,1))*(Исх!Z30/Исх!T30/INT(Исх!G30)-VLOOKUP(Исх!Z30/Исх!T30/INT(Исх!G30),INDIRECT(Исх!BR30),1)),0)</f>
        <v>0</v>
      </c>
      <c r="BP51" s="1304">
        <f ca="1">IFERROR((VLOOKUP(Исх!Z30/Исх!T30/INT(Исх!G30)*INT(Исх!G30),INDIRECT(Исх!BR30),Исх!H30+8*(Исх!AG30-1))-INDEX(INDIRECT(Исх!BR30),MATCH(Исх!Z30/Исх!T30/INT(Исх!G30)*INT(Исх!G30),INDEX(INDIRECT(Исх!BR30),0,1))+1,Исх!H30+8*(Исх!AG30-1)))/(VLOOKUP(Исх!Z30/Исх!T30/INT(Исх!G30)*INT(Исх!G30),INDIRECT(Исх!BR30),1)-INDEX(INDIRECT(Исх!BR30),MATCH(Исх!Z30/Исх!T30/INT(Исх!G30)*INT(Исх!G30),INDEX(INDIRECT(Исх!BR30),0,1))+1,1))*(Исх!Z30/Исх!T30/INT(Исх!G30)*INT(Исх!G30)-VLOOKUP(Исх!Z30/Исх!T30/INT(Исх!G30)*INT(Исх!G30),INDIRECT(Исх!BR30),1)),0)</f>
        <v>0</v>
      </c>
      <c r="BQ51" s="795">
        <f ca="1">IFERROR((VLOOKUP(Исх!Z30/Исх!T30*Исх!M30,INDIRECT(Исх!BR30),Исх!$F30+1)-INDEX(INDIRECT(Исх!BR30),MATCH(Исх!Z30/Исх!T30*Исх!M30,INDEX(INDIRECT(Исх!BR30),0,1))+1,Исх!$F30+1))/(VLOOKUP(Исх!Z30/Исх!T30*Исх!M30,INDIRECT(Исх!BR30),1)-INDEX(INDIRECT(Исх!BR30),MATCH(Исх!Z30/Исх!T30*Исх!M30,INDEX(INDIRECT(Исх!BR30),0,1))+1,1))*(Исх!Z30/Исх!T30*Исх!M30-VLOOKUP(Исх!Z30/Исх!T30*Исх!M30,INDIRECT(Исх!BR30),1)),0)</f>
        <v>0</v>
      </c>
      <c r="DA51" s="1519">
        <v>1</v>
      </c>
      <c r="DB51" s="1519" t="s">
        <v>455</v>
      </c>
      <c r="DC51" s="1523">
        <f>SUMIFS($DG$30:$DG$41,$DF$30:$DF$41,$DB51,$DD$30:$DD$41,$DA51)</f>
        <v>0</v>
      </c>
      <c r="DD51" s="1524">
        <f>SUMIFS($DN$30:$DN$41,$DF$30:$DF$41,$DB51,$DD$30:$DD$41,$DA51)</f>
        <v>0</v>
      </c>
      <c r="DE51" s="1524">
        <f>SUMIFS($DP$30:$DP$41,$DF$30:$DF$41,$DB51,$DD$30:$DD$41,$DA51)</f>
        <v>0</v>
      </c>
      <c r="DF51" s="1523">
        <f>DD51+DE51</f>
        <v>0</v>
      </c>
      <c r="DG51" s="1522">
        <f>SUMIFS($DX$30:$DX$41,$DF$30:$DF$41,$DB51,$DD$30:$DD$41,$DA51)</f>
        <v>0</v>
      </c>
      <c r="DH51" s="1503">
        <f>IF(DC51&gt;1,DG51/DC51*1000,0)</f>
        <v>0</v>
      </c>
      <c r="DO51" s="1523">
        <f>SUMIFS($S$30:$S$41,$DF$30:$DF$41,$DB51,$DD$30:$DD$41,$DA51)</f>
        <v>0</v>
      </c>
      <c r="KC51" s="796"/>
      <c r="KD51" s="1117" t="str">
        <f>IF($KR51&gt;0,Заказ!$I$1,"del")</f>
        <v>del</v>
      </c>
      <c r="KE51" s="1117"/>
      <c r="KF51" s="6" t="s">
        <v>684</v>
      </c>
      <c r="KG51" s="1117">
        <f>IF(AND($KF51="газетная",$KR51&gt;0),Заказ!$D$8,0)</f>
        <v>0</v>
      </c>
      <c r="KH51" s="1117"/>
      <c r="KI51" s="1117" t="str">
        <f t="shared" si="131"/>
        <v>СityLine</v>
      </c>
      <c r="KJ51" s="1117"/>
      <c r="KK51" s="1134">
        <v>40</v>
      </c>
      <c r="KL51" s="1136">
        <f t="shared" si="132"/>
        <v>0</v>
      </c>
      <c r="KM51" s="1134">
        <v>42</v>
      </c>
      <c r="KN51" s="1118">
        <f t="shared" si="133"/>
        <v>0</v>
      </c>
      <c r="KO51" s="1116">
        <f>IF($KR51&gt;0,Заказ!$F$13,0)</f>
        <v>0</v>
      </c>
      <c r="KP51" s="1117">
        <f>IF($KR51&gt;0,Заказ!$C$11,0)</f>
        <v>0</v>
      </c>
      <c r="KQ51" s="1117">
        <f t="shared" si="126"/>
        <v>0</v>
      </c>
      <c r="KR51" s="1117">
        <f t="shared" si="134"/>
        <v>0</v>
      </c>
      <c r="KS51" s="1140" t="str">
        <f t="shared" si="135"/>
        <v>0:0:00</v>
      </c>
      <c r="KT51" s="1140" t="str">
        <f t="shared" si="136"/>
        <v>0:0:00</v>
      </c>
      <c r="KU51" s="1117"/>
      <c r="KV51" s="1117"/>
      <c r="KW51" s="1189">
        <f t="shared" si="127"/>
        <v>0</v>
      </c>
      <c r="KX51" s="1119">
        <f t="shared" si="142"/>
        <v>0</v>
      </c>
      <c r="KY51" s="1119">
        <f t="shared" si="137"/>
        <v>0</v>
      </c>
      <c r="KZ51" s="1119"/>
      <c r="LA51" s="1119"/>
      <c r="LB51" s="1119"/>
      <c r="LC51" s="1255"/>
      <c r="LD51" s="1255"/>
      <c r="LE51" s="1255"/>
      <c r="LF51" s="1189">
        <f t="shared" si="128"/>
        <v>0</v>
      </c>
      <c r="LG51" s="1119">
        <f t="shared" si="138"/>
        <v>0</v>
      </c>
      <c r="LH51" s="1119">
        <f t="shared" si="139"/>
        <v>0</v>
      </c>
      <c r="LI51" s="1119"/>
      <c r="LJ51" s="1119"/>
      <c r="LK51" s="1119"/>
      <c r="LL51" s="1191"/>
      <c r="LM51" s="1117"/>
      <c r="LN51" s="1119"/>
      <c r="LO51" s="1119"/>
      <c r="LP51" s="1119"/>
      <c r="LQ51" s="1119"/>
      <c r="LR51" s="1255"/>
      <c r="LS51" s="1255"/>
      <c r="LT51" s="1119"/>
      <c r="LU51" s="1210"/>
      <c r="LV51" s="1116" t="str">
        <f t="shared" si="140"/>
        <v>зак</v>
      </c>
      <c r="LW51" s="1211">
        <f t="shared" si="129"/>
        <v>0</v>
      </c>
    </row>
    <row r="52" spans="1:335" ht="16.5" customHeight="1" x14ac:dyDescent="0.2">
      <c r="B52" s="13">
        <f t="shared" si="124"/>
        <v>0</v>
      </c>
      <c r="C52" s="106" t="str">
        <f t="shared" si="143"/>
        <v xml:space="preserve"> </v>
      </c>
      <c r="D52" s="106"/>
      <c r="E52" s="138">
        <f t="shared" ref="E52:E57" si="144">IF(B51&gt;0,E51+1,E51)</f>
        <v>3</v>
      </c>
      <c r="F52" s="125"/>
      <c r="G52" s="125"/>
      <c r="H52" s="126"/>
      <c r="I52" s="126"/>
      <c r="J52" s="126"/>
      <c r="K52" s="126"/>
      <c r="L52" s="126"/>
      <c r="M52" s="126"/>
      <c r="N52" s="127">
        <f t="shared" si="125"/>
        <v>0</v>
      </c>
      <c r="Q52" s="742"/>
      <c r="R52" s="605" t="e">
        <f>IF($E52&gt;0,VLOOKUP($B37,Мат!$A$191:$T$320,19),0)</f>
        <v>#N/A</v>
      </c>
      <c r="S52" s="941">
        <v>68</v>
      </c>
      <c r="T52" s="941">
        <v>90</v>
      </c>
      <c r="U52" s="941">
        <v>120</v>
      </c>
      <c r="Y52" s="947"/>
      <c r="Z52" s="948"/>
      <c r="AA52" s="948"/>
      <c r="AB52" s="950"/>
      <c r="AC52" s="949"/>
      <c r="AY52" s="1083">
        <v>1.5</v>
      </c>
      <c r="AZ52" s="1081" t="s">
        <v>761</v>
      </c>
      <c r="BA52" s="1083">
        <v>2</v>
      </c>
      <c r="BB52" s="1083">
        <v>2</v>
      </c>
      <c r="BC52" s="934">
        <v>0.13300000000000001</v>
      </c>
      <c r="BP52" s="11" t="s">
        <v>996</v>
      </c>
      <c r="DA52" s="1519">
        <v>2</v>
      </c>
      <c r="DB52" s="1519" t="s">
        <v>455</v>
      </c>
      <c r="DC52" s="1523">
        <f>SUMIFS($DG$30:$DG$41,$DF$30:$DF$41,$DB52,$DD$30:$DD$41,$DA52)</f>
        <v>0</v>
      </c>
      <c r="DD52" s="1524">
        <f t="shared" ref="DD52:DD53" si="145">SUMIFS($DN$30:$DN$41,$DF$30:$DF$41,$DB52,$DD$30:$DD$41,$DA52)</f>
        <v>0</v>
      </c>
      <c r="DE52" s="1524">
        <f t="shared" ref="DE52:DE53" si="146">SUMIFS($DP$30:$DP$41,$DF$30:$DF$41,$DB52,$DD$30:$DD$41,$DA52)</f>
        <v>0</v>
      </c>
      <c r="DF52" s="1523">
        <f>DD52+DE52</f>
        <v>0</v>
      </c>
      <c r="DG52" s="1522">
        <f t="shared" ref="DG52:DG53" si="147">SUMIFS($DX$30:$DX$41,$DF$30:$DF$41,$DB52,$DD$30:$DD$41,$DA52)</f>
        <v>0</v>
      </c>
      <c r="DH52" s="1503">
        <f>IF(DC52&gt;1,DG52/DC52*1000,0)</f>
        <v>0</v>
      </c>
      <c r="DO52" s="1523">
        <f t="shared" ref="DO52:DO53" si="148">SUMIFS($S$30:$S$41,$DF$30:$DF$41,$DB52,$DD$30:$DD$41,$DA52)</f>
        <v>0</v>
      </c>
      <c r="KC52" s="796"/>
      <c r="KD52" s="1117" t="str">
        <f>IF($KR52&gt;0,Заказ!$I$1,"del")</f>
        <v>del</v>
      </c>
      <c r="KE52" s="1117"/>
      <c r="KF52" s="6" t="s">
        <v>684</v>
      </c>
      <c r="KG52" s="1117">
        <f>IF(AND($KF52="газетная",$KR52&gt;0),Заказ!$D$8,0)</f>
        <v>0</v>
      </c>
      <c r="KH52" s="1117"/>
      <c r="KI52" s="1117" t="str">
        <f t="shared" si="131"/>
        <v>СityLine</v>
      </c>
      <c r="KJ52" s="1117"/>
      <c r="KK52" s="1134">
        <v>40</v>
      </c>
      <c r="KL52" s="1136">
        <f t="shared" si="132"/>
        <v>0</v>
      </c>
      <c r="KM52" s="1134">
        <v>45</v>
      </c>
      <c r="KN52" s="1118">
        <f t="shared" si="133"/>
        <v>0</v>
      </c>
      <c r="KO52" s="1116">
        <f>IF($KR52&gt;0,Заказ!$F$13,0)</f>
        <v>0</v>
      </c>
      <c r="KP52" s="1117">
        <f>IF($KR52&gt;0,Заказ!$C$11,0)</f>
        <v>0</v>
      </c>
      <c r="KQ52" s="1117">
        <f t="shared" si="126"/>
        <v>0</v>
      </c>
      <c r="KR52" s="1117">
        <f t="shared" si="134"/>
        <v>0</v>
      </c>
      <c r="KS52" s="1140" t="str">
        <f t="shared" si="135"/>
        <v>0:0:00</v>
      </c>
      <c r="KT52" s="1140" t="str">
        <f t="shared" si="136"/>
        <v>0:0:00</v>
      </c>
      <c r="KU52" s="1117"/>
      <c r="KV52" s="1117"/>
      <c r="KW52" s="1189">
        <f>SUMIFS($KW$30:$KW$41,$KF$30:$KF$41,$KF52,$KK$30:$KK$41,$KK52,$KM$30:$KM$41,$KM52)</f>
        <v>0</v>
      </c>
      <c r="KX52" s="1119">
        <f t="shared" si="142"/>
        <v>0</v>
      </c>
      <c r="KY52" s="1119">
        <f t="shared" si="137"/>
        <v>0</v>
      </c>
      <c r="KZ52" s="1119"/>
      <c r="LA52" s="1119"/>
      <c r="LB52" s="1119"/>
      <c r="LC52" s="1255"/>
      <c r="LD52" s="1255"/>
      <c r="LE52" s="1255"/>
      <c r="LF52" s="1189">
        <f t="shared" si="128"/>
        <v>0</v>
      </c>
      <c r="LG52" s="1119">
        <f t="shared" si="138"/>
        <v>0</v>
      </c>
      <c r="LH52" s="1119">
        <f t="shared" si="139"/>
        <v>0</v>
      </c>
      <c r="LI52" s="1119"/>
      <c r="LJ52" s="1119"/>
      <c r="LK52" s="1119"/>
      <c r="LL52" s="1191"/>
      <c r="LM52" s="1117"/>
      <c r="LN52" s="1119"/>
      <c r="LO52" s="1119"/>
      <c r="LP52" s="1119"/>
      <c r="LQ52" s="1119"/>
      <c r="LR52" s="1255"/>
      <c r="LS52" s="1255"/>
      <c r="LT52" s="1119"/>
      <c r="LU52" s="1210"/>
      <c r="LV52" s="1116" t="str">
        <f t="shared" si="140"/>
        <v>зак</v>
      </c>
      <c r="LW52" s="1211">
        <f t="shared" si="129"/>
        <v>0</v>
      </c>
    </row>
    <row r="53" spans="1:335" ht="16.5" customHeight="1" x14ac:dyDescent="0.2">
      <c r="B53" s="13">
        <f t="shared" si="124"/>
        <v>0</v>
      </c>
      <c r="C53" s="106" t="str">
        <f t="shared" si="143"/>
        <v xml:space="preserve"> </v>
      </c>
      <c r="D53" s="106"/>
      <c r="E53" s="138">
        <f t="shared" si="144"/>
        <v>3</v>
      </c>
      <c r="F53" s="125"/>
      <c r="G53" s="125"/>
      <c r="H53" s="126"/>
      <c r="I53" s="126"/>
      <c r="J53" s="126"/>
      <c r="K53" s="126"/>
      <c r="L53" s="126"/>
      <c r="M53" s="126"/>
      <c r="N53" s="127">
        <f t="shared" si="125"/>
        <v>0</v>
      </c>
      <c r="Q53" s="742"/>
      <c r="R53" s="605" t="e">
        <f>IF($E53&gt;0,VLOOKUP($B38,Мат!$A$191:$T$320,19),0)</f>
        <v>#N/A</v>
      </c>
      <c r="S53" s="941">
        <v>70</v>
      </c>
      <c r="T53" s="941">
        <v>92</v>
      </c>
      <c r="U53" s="941">
        <v>140</v>
      </c>
      <c r="Y53" s="947"/>
      <c r="Z53" s="947"/>
      <c r="AA53" s="947"/>
      <c r="AB53" s="947"/>
      <c r="AC53" s="949"/>
      <c r="AY53" s="1083">
        <v>1.5</v>
      </c>
      <c r="AZ53" s="1081" t="s">
        <v>762</v>
      </c>
      <c r="BA53" s="1083">
        <v>3</v>
      </c>
      <c r="BB53" s="1083">
        <v>3</v>
      </c>
      <c r="BC53" s="1082">
        <v>0.2</v>
      </c>
      <c r="BN53" s="1302">
        <f>Исх!Z30/Исх!T30/INT(Исх!G30)</f>
        <v>25000</v>
      </c>
      <c r="BP53" s="11" t="s">
        <v>1000</v>
      </c>
      <c r="BQ53" s="11" t="s">
        <v>1001</v>
      </c>
      <c r="DA53" s="1519">
        <v>3</v>
      </c>
      <c r="DB53" s="1519" t="s">
        <v>455</v>
      </c>
      <c r="DC53" s="1523">
        <f>SUMIFS($DG$30:$DG$41,$DF$30:$DF$41,$DB53,$DD$30:$DD$41,$DA53)</f>
        <v>0</v>
      </c>
      <c r="DD53" s="1524">
        <f t="shared" si="145"/>
        <v>0</v>
      </c>
      <c r="DE53" s="1524">
        <f t="shared" si="146"/>
        <v>0</v>
      </c>
      <c r="DF53" s="1523">
        <f>DD53+DE53</f>
        <v>0</v>
      </c>
      <c r="DG53" s="1522">
        <f t="shared" si="147"/>
        <v>0</v>
      </c>
      <c r="DH53" s="1503">
        <f>IF(DC53&gt;1,DG53/DC53*1000,0)</f>
        <v>0</v>
      </c>
      <c r="DO53" s="1523">
        <f t="shared" si="148"/>
        <v>0</v>
      </c>
      <c r="KC53" s="796"/>
      <c r="KD53" s="1117" t="str">
        <f>IF($KR53&gt;0,Заказ!$I$1,"del")</f>
        <v>del</v>
      </c>
      <c r="KE53" s="1117"/>
      <c r="KF53" s="6" t="s">
        <v>684</v>
      </c>
      <c r="KG53" s="1117">
        <f>IF(AND($KF53="газетная",$KR53&gt;0),Заказ!$D$8,0)</f>
        <v>0</v>
      </c>
      <c r="KH53" s="1117"/>
      <c r="KI53" s="1117" t="str">
        <f t="shared" si="131"/>
        <v>СityLine</v>
      </c>
      <c r="KJ53" s="1117"/>
      <c r="KK53" s="1135">
        <v>70</v>
      </c>
      <c r="KL53" s="1136">
        <f t="shared" si="132"/>
        <v>0</v>
      </c>
      <c r="KM53" s="1135">
        <v>42</v>
      </c>
      <c r="KN53" s="1118">
        <f t="shared" si="133"/>
        <v>0</v>
      </c>
      <c r="KO53" s="1116">
        <f>IF($KR53&gt;0,Заказ!$F$13,0)</f>
        <v>0</v>
      </c>
      <c r="KP53" s="1117">
        <f>IF($KR53&gt;0,Заказ!$C$11,0)</f>
        <v>0</v>
      </c>
      <c r="KQ53" s="1117">
        <f t="shared" si="126"/>
        <v>0</v>
      </c>
      <c r="KR53" s="1117">
        <f>SUMIFS($KR$30:$KR$41,$KF$30:$KF$41,$KF53,$KK$30:$KK$41,$KK53,$KM$30:$KM$41,$KM53)</f>
        <v>0</v>
      </c>
      <c r="KS53" s="1140" t="str">
        <f t="shared" si="135"/>
        <v>0:0:00</v>
      </c>
      <c r="KT53" s="1140" t="str">
        <f t="shared" si="136"/>
        <v>0:0:00</v>
      </c>
      <c r="KU53" s="1117"/>
      <c r="KV53" s="1117"/>
      <c r="KW53" s="1189">
        <f>SUMIFS($KW$30:$KW$41,$KF$30:$KF$41,$KF53,$KK$30:$KK$41,$KK53,$KM$30:$KM$41,$KM53)</f>
        <v>0</v>
      </c>
      <c r="KX53" s="1119">
        <f t="shared" si="142"/>
        <v>0</v>
      </c>
      <c r="KY53" s="1119">
        <f t="shared" si="137"/>
        <v>0</v>
      </c>
      <c r="KZ53" s="1119"/>
      <c r="LA53" s="1119"/>
      <c r="LB53" s="1119"/>
      <c r="LC53" s="1255"/>
      <c r="LD53" s="1255"/>
      <c r="LE53" s="1255"/>
      <c r="LF53" s="1189">
        <f t="shared" si="128"/>
        <v>0</v>
      </c>
      <c r="LG53" s="1119">
        <f t="shared" si="138"/>
        <v>0</v>
      </c>
      <c r="LH53" s="1119">
        <f t="shared" si="139"/>
        <v>0</v>
      </c>
      <c r="LI53" s="1119"/>
      <c r="LJ53" s="1119"/>
      <c r="LK53" s="1119"/>
      <c r="LL53" s="1191"/>
      <c r="LM53" s="1117"/>
      <c r="LN53" s="1119"/>
      <c r="LO53" s="1119"/>
      <c r="LP53" s="1119"/>
      <c r="LQ53" s="1119"/>
      <c r="LR53" s="1255"/>
      <c r="LS53" s="1255"/>
      <c r="LT53" s="1119"/>
      <c r="LU53" s="1210"/>
      <c r="LV53" s="1116" t="str">
        <f t="shared" si="140"/>
        <v>зак</v>
      </c>
      <c r="LW53" s="1211">
        <f t="shared" si="129"/>
        <v>0</v>
      </c>
    </row>
    <row r="54" spans="1:335" ht="16.5" customHeight="1" x14ac:dyDescent="0.2">
      <c r="B54" s="13">
        <f t="shared" si="124"/>
        <v>0</v>
      </c>
      <c r="C54" s="106" t="str">
        <f t="shared" si="143"/>
        <v xml:space="preserve"> </v>
      </c>
      <c r="D54" s="106"/>
      <c r="E54" s="138">
        <f t="shared" si="144"/>
        <v>3</v>
      </c>
      <c r="F54" s="125"/>
      <c r="G54" s="125"/>
      <c r="H54" s="126"/>
      <c r="I54" s="126"/>
      <c r="J54" s="126"/>
      <c r="K54" s="126"/>
      <c r="L54" s="126"/>
      <c r="M54" s="126"/>
      <c r="N54" s="127">
        <f t="shared" si="125"/>
        <v>0</v>
      </c>
      <c r="Q54" s="742"/>
      <c r="R54" s="605" t="e">
        <f>IF($E54&gt;0,VLOOKUP($B39,Мат!$A$191:$T$320,19),0)</f>
        <v>#N/A</v>
      </c>
      <c r="S54" s="941">
        <v>71</v>
      </c>
      <c r="T54" s="941">
        <v>94</v>
      </c>
      <c r="U54" s="941"/>
      <c r="V54" s="80"/>
      <c r="X54" s="80"/>
      <c r="Y54" s="951"/>
      <c r="Z54" s="947"/>
      <c r="AA54" s="947"/>
      <c r="AB54" s="952"/>
      <c r="AC54" s="949"/>
      <c r="AY54" s="1083">
        <v>1.5</v>
      </c>
      <c r="AZ54" s="1083" t="s">
        <v>765</v>
      </c>
      <c r="BA54" s="1083">
        <v>4</v>
      </c>
      <c r="BB54" s="1083">
        <v>4</v>
      </c>
      <c r="BC54" s="934">
        <v>0.26700000000000002</v>
      </c>
      <c r="BN54" s="1302">
        <f>Исх!H30+8*(Исх!AG30-1)</f>
        <v>16</v>
      </c>
      <c r="BP54" s="11" t="s">
        <v>1002</v>
      </c>
      <c r="BQ54" s="11" t="s">
        <v>1003</v>
      </c>
      <c r="DA54" s="1519"/>
      <c r="DB54" s="1519"/>
      <c r="DC54" s="1521"/>
      <c r="DD54" s="1519"/>
      <c r="DE54" s="1519"/>
      <c r="DF54" s="1521"/>
      <c r="DO54" s="795"/>
      <c r="KC54" s="796"/>
      <c r="KD54" s="1117" t="str">
        <f>IF($KR54&gt;0,Заказ!$I$1,"del")</f>
        <v>del</v>
      </c>
      <c r="KE54" s="1117"/>
      <c r="KF54" s="6" t="s">
        <v>684</v>
      </c>
      <c r="KG54" s="1117">
        <f>IF(AND($KF54="газетная",$KR54&gt;0),Заказ!$D$8,0)</f>
        <v>0</v>
      </c>
      <c r="KH54" s="1117"/>
      <c r="KI54" s="1117" t="str">
        <f t="shared" si="131"/>
        <v>СityLine</v>
      </c>
      <c r="KJ54" s="1117"/>
      <c r="KK54" s="1135">
        <v>70</v>
      </c>
      <c r="KL54" s="1136">
        <f t="shared" si="132"/>
        <v>0</v>
      </c>
      <c r="KM54" s="1135">
        <v>45</v>
      </c>
      <c r="KN54" s="1118">
        <f t="shared" si="133"/>
        <v>0</v>
      </c>
      <c r="KO54" s="1116">
        <f>IF($KR54&gt;0,Заказ!$F$13,0)</f>
        <v>0</v>
      </c>
      <c r="KP54" s="1117">
        <f>IF($KR54&gt;0,Заказ!$C$11,0)</f>
        <v>0</v>
      </c>
      <c r="KQ54" s="1117">
        <f t="shared" si="126"/>
        <v>0</v>
      </c>
      <c r="KR54" s="1117">
        <f t="shared" si="134"/>
        <v>0</v>
      </c>
      <c r="KS54" s="1140" t="str">
        <f t="shared" si="135"/>
        <v>0:0:00</v>
      </c>
      <c r="KT54" s="1140" t="str">
        <f t="shared" si="136"/>
        <v>0:0:00</v>
      </c>
      <c r="KU54" s="1117"/>
      <c r="KV54" s="1117"/>
      <c r="KW54" s="1189">
        <f>SUMIFS($KW$30:$KW$41,$KF$30:$KF$41,$KF54,$KK$30:$KK$41,$KK54,$KM$30:$KM$41,$KM54)</f>
        <v>0</v>
      </c>
      <c r="KX54" s="1119">
        <f t="shared" si="142"/>
        <v>0</v>
      </c>
      <c r="KY54" s="1119">
        <f t="shared" si="137"/>
        <v>0</v>
      </c>
      <c r="KZ54" s="1119"/>
      <c r="LA54" s="1119"/>
      <c r="LB54" s="1119"/>
      <c r="LC54" s="1255"/>
      <c r="LD54" s="1255"/>
      <c r="LE54" s="1255"/>
      <c r="LF54" s="1189">
        <f t="shared" si="128"/>
        <v>0</v>
      </c>
      <c r="LG54" s="1119">
        <f t="shared" si="138"/>
        <v>0</v>
      </c>
      <c r="LH54" s="1119">
        <f t="shared" si="139"/>
        <v>0</v>
      </c>
      <c r="LI54" s="1119"/>
      <c r="LJ54" s="1119"/>
      <c r="LK54" s="1119"/>
      <c r="LL54" s="1191"/>
      <c r="LM54" s="1117"/>
      <c r="LN54" s="1119"/>
      <c r="LO54" s="1119"/>
      <c r="LP54" s="1119"/>
      <c r="LQ54" s="1119"/>
      <c r="LR54" s="1255"/>
      <c r="LS54" s="1255"/>
      <c r="LT54" s="1119"/>
      <c r="LU54" s="1210"/>
      <c r="LV54" s="1116" t="str">
        <f t="shared" si="140"/>
        <v>зак</v>
      </c>
      <c r="LW54" s="1211">
        <f t="shared" si="129"/>
        <v>0</v>
      </c>
    </row>
    <row r="55" spans="1:335" ht="16.5" customHeight="1" x14ac:dyDescent="0.2">
      <c r="B55" s="13">
        <f t="shared" si="124"/>
        <v>0</v>
      </c>
      <c r="C55" s="106" t="str">
        <f t="shared" si="143"/>
        <v xml:space="preserve"> </v>
      </c>
      <c r="D55" s="106"/>
      <c r="E55" s="138">
        <f t="shared" si="144"/>
        <v>3</v>
      </c>
      <c r="F55" s="125"/>
      <c r="G55" s="125"/>
      <c r="H55" s="126"/>
      <c r="I55" s="126"/>
      <c r="J55" s="126"/>
      <c r="K55" s="126"/>
      <c r="L55" s="126"/>
      <c r="M55" s="126"/>
      <c r="N55" s="127">
        <f t="shared" si="125"/>
        <v>0</v>
      </c>
      <c r="R55" s="605" t="e">
        <f>IF($E55&gt;0,VLOOKUP($B40,Мат!$A$191:$T$320,19),0)</f>
        <v>#N/A</v>
      </c>
      <c r="S55" s="941">
        <v>75</v>
      </c>
      <c r="T55" s="941">
        <v>96</v>
      </c>
      <c r="U55" s="1117"/>
      <c r="V55" s="80"/>
      <c r="X55" s="80"/>
      <c r="Y55" s="948"/>
      <c r="Z55" s="948"/>
      <c r="AA55" s="948"/>
      <c r="AB55" s="948"/>
      <c r="AC55" s="949"/>
      <c r="AY55" s="1083">
        <v>1.5</v>
      </c>
      <c r="AZ55" s="1081" t="s">
        <v>767</v>
      </c>
      <c r="BA55" s="1083">
        <v>5</v>
      </c>
      <c r="BB55" s="1083">
        <v>5</v>
      </c>
      <c r="BC55" s="934">
        <v>0.33400000000000002</v>
      </c>
      <c r="DA55" s="1519">
        <v>1</v>
      </c>
      <c r="DB55" s="1519" t="s">
        <v>1033</v>
      </c>
      <c r="DC55" s="1523">
        <f>SUMIFS($DG$30:$DG$41,$DF$30:$DF$41,$DB55,$DD$30:$DD$41,$DA55)</f>
        <v>0</v>
      </c>
      <c r="DD55" s="1524">
        <f>SUMIFS($DI$30:$DI$41,$DF$30:$DF$41,$DB55,$DD$30:$DD$41,$DA55)</f>
        <v>0</v>
      </c>
      <c r="DE55" s="1524">
        <f>SUMIFS($DK$30:$DK$41,$DF$30:$DF$41,$DB55,$DD$30:$DD$41,$DA55)</f>
        <v>0</v>
      </c>
      <c r="DF55" s="1523">
        <f>DD55+DE55</f>
        <v>0</v>
      </c>
      <c r="DG55" s="1522">
        <f>SUMIFS($DT$30:$DT$41,$DF$30:$DF$41,$DB55,$DD$30:$DD$41,$DA55)</f>
        <v>0</v>
      </c>
      <c r="DH55" s="1503">
        <f>IF(DC55&gt;1,DG55/DC55*1000,0)</f>
        <v>0</v>
      </c>
      <c r="DO55" s="1523">
        <f>SUMIFS($S$30:$S$41,$DF$30:$DF$41,$DB55,$DD$30:$DD$41,$DA55)</f>
        <v>0</v>
      </c>
      <c r="KC55" s="796"/>
      <c r="KD55" s="1117" t="str">
        <f>IF($KR55&gt;0,Заказ!$I$1,"del")</f>
        <v>del</v>
      </c>
      <c r="KE55" s="1117"/>
      <c r="KF55" s="6" t="s">
        <v>684</v>
      </c>
      <c r="KG55" s="1117">
        <f>IF(AND($KF55="газетная",$KR55&gt;0),Заказ!$D$8,0)</f>
        <v>0</v>
      </c>
      <c r="KH55" s="1117"/>
      <c r="KI55" s="1117" t="str">
        <f t="shared" si="131"/>
        <v>СityLine</v>
      </c>
      <c r="KJ55" s="1117"/>
      <c r="KK55" s="1135">
        <v>35</v>
      </c>
      <c r="KL55" s="1136">
        <f t="shared" si="132"/>
        <v>0</v>
      </c>
      <c r="KM55" s="1135">
        <v>42</v>
      </c>
      <c r="KN55" s="1118">
        <f t="shared" si="133"/>
        <v>0</v>
      </c>
      <c r="KO55" s="1116">
        <f>IF($KR55&gt;0,Заказ!$F$13,0)</f>
        <v>0</v>
      </c>
      <c r="KP55" s="1117">
        <f>IF($KR55&gt;0,Заказ!$C$11,0)</f>
        <v>0</v>
      </c>
      <c r="KQ55" s="1117">
        <f t="shared" si="126"/>
        <v>0</v>
      </c>
      <c r="KR55" s="1117">
        <f t="shared" si="134"/>
        <v>0</v>
      </c>
      <c r="KS55" s="1140" t="str">
        <f t="shared" si="135"/>
        <v>0:0:00</v>
      </c>
      <c r="KT55" s="1140" t="str">
        <f t="shared" si="136"/>
        <v>0:0:00</v>
      </c>
      <c r="KU55" s="1117"/>
      <c r="KV55" s="1117"/>
      <c r="KW55" s="1189">
        <f t="shared" si="127"/>
        <v>0</v>
      </c>
      <c r="KX55" s="1119">
        <f t="shared" si="142"/>
        <v>0</v>
      </c>
      <c r="KY55" s="1119">
        <f t="shared" si="137"/>
        <v>0</v>
      </c>
      <c r="KZ55" s="1119"/>
      <c r="LA55" s="1119"/>
      <c r="LB55" s="1119"/>
      <c r="LC55" s="1255"/>
      <c r="LD55" s="1255"/>
      <c r="LE55" s="1255"/>
      <c r="LF55" s="1189">
        <f t="shared" si="128"/>
        <v>0</v>
      </c>
      <c r="LG55" s="1119">
        <f t="shared" si="138"/>
        <v>0</v>
      </c>
      <c r="LH55" s="1119">
        <f t="shared" si="139"/>
        <v>0</v>
      </c>
      <c r="LI55" s="1119"/>
      <c r="LJ55" s="1119"/>
      <c r="LK55" s="1119"/>
      <c r="LL55" s="1191"/>
      <c r="LM55" s="1117"/>
      <c r="LN55" s="1119"/>
      <c r="LO55" s="1119"/>
      <c r="LP55" s="1119"/>
      <c r="LQ55" s="1119"/>
      <c r="LR55" s="1255"/>
      <c r="LS55" s="1255"/>
      <c r="LT55" s="1119"/>
      <c r="LU55" s="1210"/>
      <c r="LV55" s="1116" t="str">
        <f t="shared" si="140"/>
        <v>зак</v>
      </c>
      <c r="LW55" s="1211">
        <f t="shared" si="129"/>
        <v>0</v>
      </c>
    </row>
    <row r="56" spans="1:335" ht="16.5" customHeight="1" x14ac:dyDescent="0.2">
      <c r="B56" s="13">
        <f t="shared" si="124"/>
        <v>0</v>
      </c>
      <c r="C56" s="106" t="str">
        <f t="shared" si="143"/>
        <v xml:space="preserve"> </v>
      </c>
      <c r="D56" s="106"/>
      <c r="E56" s="138">
        <f t="shared" si="144"/>
        <v>3</v>
      </c>
      <c r="F56" s="125"/>
      <c r="G56" s="125"/>
      <c r="H56" s="126"/>
      <c r="I56" s="126"/>
      <c r="J56" s="126"/>
      <c r="K56" s="126"/>
      <c r="L56" s="126"/>
      <c r="M56" s="126"/>
      <c r="N56" s="127">
        <f t="shared" si="125"/>
        <v>0</v>
      </c>
      <c r="R56" s="605" t="e">
        <f>IF($E56&gt;0,VLOOKUP($B41,Мат!$A$191:$T$320,19),0)</f>
        <v>#N/A</v>
      </c>
      <c r="T56" s="80"/>
      <c r="U56" s="80"/>
      <c r="V56" s="80"/>
      <c r="X56" s="80"/>
      <c r="Y56" s="947"/>
      <c r="Z56" s="948"/>
      <c r="AA56" s="948"/>
      <c r="AB56" s="948"/>
      <c r="AC56" s="949"/>
      <c r="AY56" s="1083">
        <v>1.5</v>
      </c>
      <c r="AZ56" s="1081" t="s">
        <v>767</v>
      </c>
      <c r="BA56" s="1083">
        <v>5</v>
      </c>
      <c r="BB56" s="1083">
        <v>7</v>
      </c>
      <c r="BC56" s="934">
        <v>0.40899999999999997</v>
      </c>
      <c r="BL56" s="11" t="s">
        <v>991</v>
      </c>
      <c r="BN56" s="11">
        <f ca="1">VLOOKUP(Z30/T30/INT(G30),INDIRECT(BR30),H30+8*(AG30-1))</f>
        <v>17.5</v>
      </c>
      <c r="BP56" s="11">
        <f ca="1">VLOOKUP(Исх!Z30/Исх!T30/INT(Исх!G30)*INT(Исх!G30),INDIRECT(Исх!BR30),Исх!H30+8*(Исх!AG30-1))</f>
        <v>17.5</v>
      </c>
      <c r="BQ56" s="11">
        <f ca="1">VLOOKUP(Исх!Z30/Исх!T30*Исх!M30,INDIRECT(Исх!BR30),Исх!$F30+1)</f>
        <v>10.3</v>
      </c>
      <c r="DA56" s="1519">
        <v>2</v>
      </c>
      <c r="DB56" s="1519" t="s">
        <v>1033</v>
      </c>
      <c r="DC56" s="1523">
        <f t="shared" ref="DC56:DC57" si="149">SUMIFS($DG$30:$DG$41,$DF$30:$DF$41,$DB56,$DD$30:$DD$41,$DA56)</f>
        <v>0</v>
      </c>
      <c r="DD56" s="1524">
        <f t="shared" ref="DD56:DD57" si="150">SUMIFS($DI$30:$DI$41,$DF$30:$DF$41,$DB56,$DD$30:$DD$41,$DA56)</f>
        <v>0</v>
      </c>
      <c r="DE56" s="1524">
        <f t="shared" ref="DE56:DE57" si="151">SUMIFS($DK$30:$DK$41,$DF$30:$DF$41,$DB56,$DD$30:$DD$41,$DA56)</f>
        <v>0</v>
      </c>
      <c r="DF56" s="1523">
        <f>DD56+DE56</f>
        <v>0</v>
      </c>
      <c r="DG56" s="1522">
        <f t="shared" ref="DG56:DG57" si="152">SUMIFS($DT$30:$DT$41,$DF$30:$DF$41,$DB56,$DD$30:$DD$41,$DA56)</f>
        <v>0</v>
      </c>
      <c r="DH56" s="1503">
        <f>IF(DC56&gt;1,DG56/DC56*1000,0)</f>
        <v>0</v>
      </c>
      <c r="DO56" s="1523">
        <f t="shared" ref="DO56:DO57" si="153">SUMIFS($S$30:$S$41,$DF$30:$DF$41,$DB56,$DD$30:$DD$41,$DA56)</f>
        <v>0</v>
      </c>
      <c r="KC56" s="796"/>
      <c r="KD56" s="1117" t="str">
        <f>IF($KR56&gt;0,Заказ!$I$1,"del")</f>
        <v>del</v>
      </c>
      <c r="KE56" s="1117"/>
      <c r="KF56" s="6" t="s">
        <v>684</v>
      </c>
      <c r="KG56" s="1117">
        <f>IF(AND($KF56="газетная",$KR56&gt;0),Заказ!$D$8,0)</f>
        <v>0</v>
      </c>
      <c r="KH56" s="1117"/>
      <c r="KI56" s="1117" t="str">
        <f t="shared" si="131"/>
        <v>СityLine</v>
      </c>
      <c r="KJ56" s="1117"/>
      <c r="KK56" s="1135">
        <v>35</v>
      </c>
      <c r="KL56" s="1136">
        <f t="shared" si="132"/>
        <v>0</v>
      </c>
      <c r="KM56" s="1135">
        <v>45</v>
      </c>
      <c r="KN56" s="1118">
        <f t="shared" si="133"/>
        <v>0</v>
      </c>
      <c r="KO56" s="1116">
        <f>IF($KR56&gt;0,Заказ!$F$13,0)</f>
        <v>0</v>
      </c>
      <c r="KP56" s="1117">
        <f>IF($KR56&gt;0,Заказ!$C$11,0)</f>
        <v>0</v>
      </c>
      <c r="KQ56" s="1117">
        <f t="shared" si="126"/>
        <v>0</v>
      </c>
      <c r="KR56" s="1117">
        <f t="shared" si="134"/>
        <v>0</v>
      </c>
      <c r="KS56" s="1140" t="str">
        <f t="shared" si="135"/>
        <v>0:0:00</v>
      </c>
      <c r="KT56" s="1140" t="str">
        <f t="shared" si="136"/>
        <v>0:0:00</v>
      </c>
      <c r="KU56" s="1117"/>
      <c r="KV56" s="1117"/>
      <c r="KW56" s="1189">
        <f t="shared" si="127"/>
        <v>0</v>
      </c>
      <c r="KX56" s="1119">
        <f t="shared" si="142"/>
        <v>0</v>
      </c>
      <c r="KY56" s="1119">
        <f t="shared" si="137"/>
        <v>0</v>
      </c>
      <c r="KZ56" s="1119"/>
      <c r="LA56" s="1119"/>
      <c r="LB56" s="1119"/>
      <c r="LC56" s="1255"/>
      <c r="LD56" s="1255"/>
      <c r="LE56" s="1255"/>
      <c r="LF56" s="1189">
        <f t="shared" si="128"/>
        <v>0</v>
      </c>
      <c r="LG56" s="1119">
        <f t="shared" si="138"/>
        <v>0</v>
      </c>
      <c r="LH56" s="1119">
        <f t="shared" si="139"/>
        <v>0</v>
      </c>
      <c r="LI56" s="1119"/>
      <c r="LJ56" s="1119"/>
      <c r="LK56" s="1119"/>
      <c r="LL56" s="1191"/>
      <c r="LM56" s="1117"/>
      <c r="LN56" s="1119"/>
      <c r="LO56" s="1119"/>
      <c r="LP56" s="1119"/>
      <c r="LQ56" s="1119"/>
      <c r="LR56" s="1255"/>
      <c r="LS56" s="1255"/>
      <c r="LT56" s="1119"/>
      <c r="LU56" s="1210"/>
      <c r="LV56" s="1116" t="str">
        <f t="shared" si="140"/>
        <v>зак</v>
      </c>
      <c r="LW56" s="1211">
        <f t="shared" si="129"/>
        <v>0</v>
      </c>
    </row>
    <row r="57" spans="1:335" ht="15.75" customHeight="1" x14ac:dyDescent="0.2">
      <c r="B57" s="13"/>
      <c r="C57" s="106"/>
      <c r="D57" s="106"/>
      <c r="E57" s="115">
        <f t="shared" si="144"/>
        <v>3</v>
      </c>
      <c r="F57" s="128">
        <v>2E-3</v>
      </c>
      <c r="G57" s="128">
        <v>2E-3</v>
      </c>
      <c r="H57" s="128">
        <v>0.01</v>
      </c>
      <c r="I57" s="128">
        <v>1.9E-2</v>
      </c>
      <c r="J57" s="128">
        <v>0.02</v>
      </c>
      <c r="K57" s="128">
        <v>0.02</v>
      </c>
      <c r="U57" s="80"/>
      <c r="V57" s="80"/>
      <c r="W57" s="80"/>
      <c r="X57" s="80"/>
      <c r="Y57" s="947"/>
      <c r="Z57" s="948"/>
      <c r="AA57" s="948"/>
      <c r="AB57" s="950"/>
      <c r="AC57" s="953"/>
      <c r="AD57" s="80"/>
      <c r="AE57" s="80"/>
      <c r="AF57" s="80"/>
      <c r="AG57" s="80"/>
      <c r="AH57" s="80"/>
      <c r="AI57" s="80"/>
      <c r="AY57" s="1083">
        <v>1.5</v>
      </c>
      <c r="AZ57" s="1083" t="s">
        <v>769</v>
      </c>
      <c r="BA57" s="1083">
        <v>6</v>
      </c>
      <c r="BB57" s="1083">
        <v>6</v>
      </c>
      <c r="BC57" s="934">
        <v>0.40100000000000002</v>
      </c>
      <c r="BL57" s="11" t="s">
        <v>991</v>
      </c>
      <c r="BN57" s="11">
        <f ca="1">VLOOKUP(Исх!Z30/Исх!T30/INT(Исх!G30),INDIRECT(Исх!BR30),Исх!H30+8*(Исх!AG30-1))</f>
        <v>17.5</v>
      </c>
      <c r="BP57" s="11">
        <f ca="1">VLOOKUP(Исх!Z30/Исх!T30/INT(Исх!G30)*INT(Исх!G30),INDIRECT(Исх!BR30),Исх!H30+8*(Исх!AG30-1))</f>
        <v>17.5</v>
      </c>
      <c r="BQ57" s="11">
        <f ca="1">VLOOKUP(Исх!Z30/Исх!T30*Исх!M30,INDIRECT(Исх!BR30),Исх!$F30+1)</f>
        <v>10.3</v>
      </c>
      <c r="DA57" s="1519">
        <v>3</v>
      </c>
      <c r="DB57" s="1519" t="s">
        <v>1033</v>
      </c>
      <c r="DC57" s="1523">
        <f t="shared" si="149"/>
        <v>0</v>
      </c>
      <c r="DD57" s="1524">
        <f t="shared" si="150"/>
        <v>0</v>
      </c>
      <c r="DE57" s="1524">
        <f t="shared" si="151"/>
        <v>0</v>
      </c>
      <c r="DF57" s="1523">
        <f>DD57+DE57</f>
        <v>0</v>
      </c>
      <c r="DG57" s="1522">
        <f t="shared" si="152"/>
        <v>0</v>
      </c>
      <c r="DH57" s="1503">
        <f>IF(DC57&gt;1,DG57/DC57*1000,0)</f>
        <v>0</v>
      </c>
      <c r="DO57" s="1523">
        <f t="shared" si="153"/>
        <v>0</v>
      </c>
      <c r="KC57" s="796"/>
      <c r="KD57" s="1117" t="str">
        <f>IF($KR57&gt;0,Заказ!$I$1,"del")</f>
        <v>del</v>
      </c>
      <c r="KE57" s="1117"/>
      <c r="KF57" s="6" t="s">
        <v>684</v>
      </c>
      <c r="KG57" s="1117">
        <f>IF(AND($KF57="газетная",$KR57&gt;0),Заказ!$D$8,0)</f>
        <v>0</v>
      </c>
      <c r="KH57" s="1117"/>
      <c r="KI57" s="1117" t="str">
        <f t="shared" si="131"/>
        <v>СityLine</v>
      </c>
      <c r="KJ57" s="1117"/>
      <c r="KK57" s="1139">
        <v>76</v>
      </c>
      <c r="KL57" s="1139">
        <f t="shared" si="132"/>
        <v>0</v>
      </c>
      <c r="KM57" s="1139">
        <v>48.8</v>
      </c>
      <c r="KN57" s="1118">
        <f t="shared" si="133"/>
        <v>0</v>
      </c>
      <c r="KO57" s="1116">
        <f>IF($KR57&gt;0,Заказ!$F$13,0)</f>
        <v>0</v>
      </c>
      <c r="KP57" s="1117">
        <f>IF($KR57&gt;0,Заказ!$C$11,0)</f>
        <v>0</v>
      </c>
      <c r="KQ57" s="1117">
        <f t="shared" si="126"/>
        <v>0</v>
      </c>
      <c r="KR57" s="1117">
        <f t="shared" si="134"/>
        <v>0</v>
      </c>
      <c r="KS57" s="1140" t="str">
        <f t="shared" si="135"/>
        <v>0:0:00</v>
      </c>
      <c r="KT57" s="1140" t="str">
        <f t="shared" si="136"/>
        <v>0:0:00</v>
      </c>
      <c r="KU57" s="1117"/>
      <c r="KV57" s="1117"/>
      <c r="KW57" s="1189">
        <f t="shared" si="127"/>
        <v>0</v>
      </c>
      <c r="KX57" s="1119">
        <f t="shared" si="142"/>
        <v>0</v>
      </c>
      <c r="KY57" s="1119">
        <f t="shared" si="137"/>
        <v>0</v>
      </c>
      <c r="KZ57" s="1119"/>
      <c r="LA57" s="1119"/>
      <c r="LB57" s="1119"/>
      <c r="LC57" s="1255"/>
      <c r="LD57" s="1255"/>
      <c r="LE57" s="1255"/>
      <c r="LF57" s="1189">
        <f t="shared" si="128"/>
        <v>0</v>
      </c>
      <c r="LG57" s="1119">
        <f t="shared" si="138"/>
        <v>0</v>
      </c>
      <c r="LH57" s="1119">
        <f t="shared" si="139"/>
        <v>0</v>
      </c>
      <c r="LI57" s="1119"/>
      <c r="LJ57" s="1119"/>
      <c r="LK57" s="1119"/>
      <c r="LL57" s="1191"/>
      <c r="LM57" s="1117"/>
      <c r="LN57" s="1119"/>
      <c r="LO57" s="1119"/>
      <c r="LP57" s="1119"/>
      <c r="LQ57" s="1119"/>
      <c r="LR57" s="1255"/>
      <c r="LS57" s="1255"/>
      <c r="LT57" s="1119"/>
      <c r="LU57" s="1210"/>
      <c r="LV57" s="1116" t="str">
        <f t="shared" si="140"/>
        <v>зак</v>
      </c>
      <c r="LW57" s="1211">
        <f t="shared" si="129"/>
        <v>0</v>
      </c>
    </row>
    <row r="58" spans="1:335" ht="19.5" customHeight="1" thickBot="1" x14ac:dyDescent="0.25">
      <c r="B58" s="13"/>
      <c r="C58" s="106"/>
      <c r="D58" s="106"/>
      <c r="E58" s="106"/>
      <c r="F58" s="106"/>
      <c r="G58" s="106"/>
      <c r="H58" s="106"/>
      <c r="I58" s="106"/>
      <c r="J58" s="106"/>
      <c r="K58" s="128"/>
      <c r="L58" s="128"/>
      <c r="M58" s="128"/>
      <c r="N58" s="128"/>
      <c r="O58" s="128"/>
      <c r="P58" s="128"/>
      <c r="Q58" s="80"/>
      <c r="R58" s="11" t="s">
        <v>334</v>
      </c>
      <c r="S58" s="80"/>
      <c r="T58" s="80"/>
      <c r="U58" s="80"/>
      <c r="V58" s="80"/>
      <c r="W58" s="80"/>
      <c r="Y58" s="947"/>
      <c r="Z58" s="948"/>
      <c r="AA58" s="948"/>
      <c r="AB58" s="950"/>
      <c r="AC58" s="953"/>
      <c r="AD58" s="80"/>
      <c r="AE58" s="80"/>
      <c r="AF58" s="80"/>
      <c r="AG58" s="80"/>
      <c r="AH58" s="80"/>
      <c r="AI58" s="80"/>
      <c r="AY58" s="1083">
        <v>1.5</v>
      </c>
      <c r="AZ58" s="1083" t="s">
        <v>849</v>
      </c>
      <c r="BA58" s="1083">
        <v>8</v>
      </c>
      <c r="BB58" s="1083">
        <v>8</v>
      </c>
      <c r="BC58" s="934">
        <v>0.41699999999999998</v>
      </c>
      <c r="BL58" s="11" t="s">
        <v>992</v>
      </c>
      <c r="BN58" s="11">
        <f ca="1">INDEX(INDIRECT(Исх!BR30),MATCH(Исх!Z30/Исх!T30/INT(Исх!G30),INDEX(INDIRECT(Исх!BR30),0,1))+1,Исх!H30+8*(Исх!AG30-1))</f>
        <v>14.5</v>
      </c>
      <c r="BP58" s="11">
        <f ca="1">INDEX(INDIRECT(Исх!BR30),MATCH(Исх!Z30/Исх!T30/INT(Исх!G30)*INT(Исх!G30),INDEX(INDIRECT(Исх!BR30),0,1))+1,Исх!H30+8*(Исх!AG30-1))</f>
        <v>14.5</v>
      </c>
      <c r="BQ58" s="11">
        <f ca="1">INDEX(INDIRECT(Исх!BR30),MATCH(Исх!Z30/Исх!T30*Исх!M30,INDEX(INDIRECT(Исх!BR30),0,1))+1,Исх!$F30+1)</f>
        <v>9.5</v>
      </c>
      <c r="KC58" s="796"/>
      <c r="KD58" s="1117" t="str">
        <f>IF($KR58&gt;0,Заказ!$I$1,"del")</f>
        <v>del</v>
      </c>
      <c r="KE58" s="1117"/>
      <c r="KF58" s="6" t="s">
        <v>684</v>
      </c>
      <c r="KG58" s="1117">
        <f>IF(AND($KF58="газетная",$KR58&gt;0),Заказ!$D$8,0)</f>
        <v>0</v>
      </c>
      <c r="KH58" s="1117"/>
      <c r="KI58" s="1117" t="str">
        <f t="shared" si="131"/>
        <v>СityLine</v>
      </c>
      <c r="KJ58" s="1117"/>
      <c r="KK58" s="1139">
        <v>38</v>
      </c>
      <c r="KL58" s="1139">
        <f t="shared" si="132"/>
        <v>0</v>
      </c>
      <c r="KM58" s="1139">
        <v>48.8</v>
      </c>
      <c r="KN58" s="1118">
        <f t="shared" si="133"/>
        <v>0</v>
      </c>
      <c r="KO58" s="1116">
        <f>IF($KR58&gt;0,Заказ!$F$13,0)</f>
        <v>0</v>
      </c>
      <c r="KP58" s="1117">
        <f>IF($KR58&gt;0,Заказ!$C$11,0)</f>
        <v>0</v>
      </c>
      <c r="KQ58" s="1117">
        <f t="shared" si="126"/>
        <v>0</v>
      </c>
      <c r="KR58" s="1117">
        <f t="shared" si="134"/>
        <v>0</v>
      </c>
      <c r="KS58" s="1140" t="str">
        <f t="shared" si="135"/>
        <v>0:0:00</v>
      </c>
      <c r="KT58" s="1140" t="str">
        <f t="shared" si="136"/>
        <v>0:0:00</v>
      </c>
      <c r="KU58" s="1117"/>
      <c r="KV58" s="1117"/>
      <c r="KW58" s="1189">
        <f t="shared" si="127"/>
        <v>0</v>
      </c>
      <c r="KX58" s="1119">
        <f t="shared" si="142"/>
        <v>0</v>
      </c>
      <c r="KY58" s="1119">
        <f t="shared" si="137"/>
        <v>0</v>
      </c>
      <c r="KZ58" s="1119"/>
      <c r="LA58" s="1119"/>
      <c r="LB58" s="1119"/>
      <c r="LC58" s="1255"/>
      <c r="LD58" s="1255"/>
      <c r="LE58" s="1255"/>
      <c r="LF58" s="1189">
        <f t="shared" si="128"/>
        <v>0</v>
      </c>
      <c r="LG58" s="1119">
        <f t="shared" si="138"/>
        <v>0</v>
      </c>
      <c r="LH58" s="1119">
        <f t="shared" si="139"/>
        <v>0</v>
      </c>
      <c r="LI58" s="1119"/>
      <c r="LJ58" s="1119"/>
      <c r="LK58" s="1119"/>
      <c r="LL58" s="1191"/>
      <c r="LM58" s="1117"/>
      <c r="LN58" s="1119"/>
      <c r="LO58" s="1119"/>
      <c r="LP58" s="1119"/>
      <c r="LQ58" s="1119"/>
      <c r="LR58" s="1255"/>
      <c r="LS58" s="1255"/>
      <c r="LT58" s="1119"/>
      <c r="LU58" s="1210"/>
      <c r="LV58" s="1116" t="str">
        <f t="shared" si="140"/>
        <v>зак</v>
      </c>
      <c r="LW58" s="1211">
        <f t="shared" si="129"/>
        <v>0</v>
      </c>
    </row>
    <row r="59" spans="1:335" ht="51" customHeight="1" thickBot="1" x14ac:dyDescent="0.25">
      <c r="B59" s="8">
        <v>0</v>
      </c>
      <c r="C59" s="123" t="s">
        <v>53</v>
      </c>
      <c r="D59" s="129"/>
      <c r="E59" s="1071" t="s">
        <v>852</v>
      </c>
      <c r="F59" s="107" t="s">
        <v>260</v>
      </c>
      <c r="G59" s="130" t="s">
        <v>66</v>
      </c>
      <c r="H59" s="130"/>
      <c r="I59" s="1070" t="s">
        <v>851</v>
      </c>
      <c r="J59" s="3" t="s">
        <v>415</v>
      </c>
      <c r="K59" s="7" t="s">
        <v>165</v>
      </c>
      <c r="L59" s="7" t="s">
        <v>129</v>
      </c>
      <c r="M59" s="7" t="s">
        <v>130</v>
      </c>
      <c r="N59" s="7" t="s">
        <v>212</v>
      </c>
      <c r="O59" s="7" t="s">
        <v>110</v>
      </c>
      <c r="P59" s="181"/>
      <c r="Q59" s="2239" t="s">
        <v>697</v>
      </c>
      <c r="R59" s="2240"/>
      <c r="S59" s="2240"/>
      <c r="T59" s="2240"/>
      <c r="U59" s="762" t="s">
        <v>168</v>
      </c>
      <c r="V59" s="763" t="s">
        <v>98</v>
      </c>
      <c r="W59" s="764" t="s">
        <v>166</v>
      </c>
      <c r="X59" s="750"/>
      <c r="Y59" s="947"/>
      <c r="Z59" s="947"/>
      <c r="AA59" s="947"/>
      <c r="AB59" s="947"/>
      <c r="AC59" s="953"/>
      <c r="AY59" s="1083">
        <v>2</v>
      </c>
      <c r="AZ59" s="1081" t="s">
        <v>761</v>
      </c>
      <c r="BA59" s="1083">
        <v>2</v>
      </c>
      <c r="BB59" s="1083">
        <v>4</v>
      </c>
      <c r="BC59" s="934">
        <v>0.26600000000000001</v>
      </c>
      <c r="BL59" s="11" t="s">
        <v>993</v>
      </c>
      <c r="BN59" s="11">
        <f ca="1">(VLOOKUP(Исх!Z30/Исх!T30/INT(Исх!G30),INDIRECT(Исх!BR30),1))</f>
        <v>25000</v>
      </c>
      <c r="BP59" s="11">
        <f ca="1">(VLOOKUP(Исх!Z30/Исх!T30/INT(Исх!G30)*INT(Исх!G30),INDIRECT(Исх!BR30),1))</f>
        <v>25000</v>
      </c>
      <c r="BQ59" s="11">
        <f ca="1">VLOOKUP(Исх!Z30/Исх!T30*Исх!M30,INDIRECT(Исх!BR30),1)</f>
        <v>25000</v>
      </c>
      <c r="BS59" s="2219" t="s">
        <v>68</v>
      </c>
      <c r="BT59" s="2219" t="s">
        <v>681</v>
      </c>
      <c r="BU59" s="2219" t="s">
        <v>682</v>
      </c>
      <c r="BV59" s="2219"/>
      <c r="BW59" s="2219"/>
      <c r="BX59" s="2219"/>
      <c r="BY59" s="2219"/>
      <c r="KC59" s="796"/>
      <c r="KD59" s="1117" t="str">
        <f>IF($KR59&gt;0,Заказ!$I$1,"del")</f>
        <v>del</v>
      </c>
      <c r="KE59" s="1117"/>
      <c r="KF59" s="6" t="s">
        <v>684</v>
      </c>
      <c r="KG59" s="1117">
        <f>IF(AND($KF59="газетная",$KR59&gt;0),Заказ!$D$8,0)</f>
        <v>0</v>
      </c>
      <c r="KH59" s="1117"/>
      <c r="KI59" s="1117" t="str">
        <f t="shared" si="131"/>
        <v>СityLine</v>
      </c>
      <c r="KJ59" s="1117"/>
      <c r="KK59" s="1139">
        <v>80</v>
      </c>
      <c r="KL59" s="1139">
        <f t="shared" si="132"/>
        <v>0</v>
      </c>
      <c r="KM59" s="1139">
        <v>48.8</v>
      </c>
      <c r="KN59" s="1118">
        <f t="shared" si="133"/>
        <v>0</v>
      </c>
      <c r="KO59" s="1116">
        <f>IF($KR59&gt;0,Заказ!$F$13,0)</f>
        <v>0</v>
      </c>
      <c r="KP59" s="1117">
        <f>IF($KR59&gt;0,Заказ!$C$11,0)</f>
        <v>0</v>
      </c>
      <c r="KQ59" s="1117">
        <f t="shared" si="126"/>
        <v>0</v>
      </c>
      <c r="KR59" s="1117">
        <f t="shared" si="134"/>
        <v>0</v>
      </c>
      <c r="KS59" s="1140" t="str">
        <f t="shared" si="135"/>
        <v>0:0:00</v>
      </c>
      <c r="KT59" s="1140" t="str">
        <f t="shared" si="136"/>
        <v>0:0:00</v>
      </c>
      <c r="KU59" s="1117"/>
      <c r="KV59" s="1117"/>
      <c r="KW59" s="1189">
        <f t="shared" si="127"/>
        <v>0</v>
      </c>
      <c r="KX59" s="1119">
        <f t="shared" si="142"/>
        <v>0</v>
      </c>
      <c r="KY59" s="1119">
        <f t="shared" si="137"/>
        <v>0</v>
      </c>
      <c r="KZ59" s="1119"/>
      <c r="LA59" s="1119"/>
      <c r="LB59" s="1119"/>
      <c r="LC59" s="1255"/>
      <c r="LD59" s="1255"/>
      <c r="LE59" s="1255"/>
      <c r="LF59" s="1189">
        <f t="shared" si="128"/>
        <v>0</v>
      </c>
      <c r="LG59" s="1119">
        <f t="shared" si="138"/>
        <v>0</v>
      </c>
      <c r="LH59" s="1119">
        <f t="shared" si="139"/>
        <v>0</v>
      </c>
      <c r="LI59" s="1119"/>
      <c r="LJ59" s="1119"/>
      <c r="LK59" s="1119"/>
      <c r="LL59" s="1191"/>
      <c r="LM59" s="1117"/>
      <c r="LN59" s="1119"/>
      <c r="LO59" s="1119"/>
      <c r="LP59" s="1119"/>
      <c r="LQ59" s="1119"/>
      <c r="LR59" s="1255"/>
      <c r="LS59" s="1255"/>
      <c r="LT59" s="1119"/>
      <c r="LU59" s="1210"/>
      <c r="LV59" s="1116" t="str">
        <f t="shared" si="140"/>
        <v>зак</v>
      </c>
      <c r="LW59" s="1211">
        <f t="shared" si="129"/>
        <v>0</v>
      </c>
    </row>
    <row r="60" spans="1:335" ht="24.75" customHeight="1" x14ac:dyDescent="0.2">
      <c r="A60" s="13">
        <f>IF(B60&gt;0,A59+1,A59)</f>
        <v>1</v>
      </c>
      <c r="B60" s="131">
        <v>2</v>
      </c>
      <c r="C60" s="106" t="str">
        <f>IF(B60&gt;0,LOOKUP($B60,Мат!$A$5:$A$71,Мат!$B$5:$B$71),"  ")</f>
        <v>Краска ролевая (черная)</v>
      </c>
      <c r="E60" s="842">
        <f>LOOKUP($F60,$E$44:$E$57,B$44:B$57)</f>
        <v>12</v>
      </c>
      <c r="F60" s="139">
        <v>1</v>
      </c>
      <c r="G60" s="188">
        <f>LOOKUP($F60,$E$44:$E$57,J$29:J$42)</f>
        <v>66</v>
      </c>
      <c r="H60" s="188">
        <f>LOOKUP($F60,$E$44:$E$57,K$29:K$42)</f>
        <v>57.8</v>
      </c>
      <c r="I60" s="806">
        <f ca="1">(($E60&gt;=8)*(AND($B60&gt;0,$B60&lt;3))*INDEX($AJ$29:$AJ$41,MATCH($F60,$E$44:$E$56,0))/2)+(($E60&gt;=8)*($B60&gt;=3)*INDEX($AK$29:$AK$41,MATCH($F60,$E$44:$E$56,0))/3/2)+(($E60&lt;8)*(AND($B60&gt;0,$B60&lt;3))*INDEX($AB$29:$AB$41,MATCH($F60,$E$44:$E$56,0)))+(($E60&lt;8)*($B60&gt;=3)*INDEX($AB$29:$AB$41,MATCH($F60,$E$44:$E$56,0)))</f>
        <v>29375</v>
      </c>
      <c r="J60" s="1072" t="str">
        <f>LOOKUP($F60,$E$44:$E$57,$BR$29:$BR$42)</f>
        <v>СityLine</v>
      </c>
      <c r="K60" s="192">
        <v>2</v>
      </c>
      <c r="L60" s="93">
        <v>2</v>
      </c>
      <c r="M60" s="106">
        <f>VLOOKUP($L60,$Q$60:$U$69,5)</f>
        <v>222</v>
      </c>
      <c r="N60" s="182">
        <f ca="1">G60*H60*I60*K60/10000000*M60/1000</f>
        <v>4.9754528999999996</v>
      </c>
      <c r="O60" s="132">
        <f ca="1">N60</f>
        <v>4.9754528999999996</v>
      </c>
      <c r="P60" s="185"/>
      <c r="Q60" s="765">
        <v>0</v>
      </c>
      <c r="R60" s="2237" t="s">
        <v>698</v>
      </c>
      <c r="S60" s="2238"/>
      <c r="T60" s="2238"/>
      <c r="U60" s="766">
        <v>0</v>
      </c>
      <c r="V60" s="767"/>
      <c r="W60" s="768"/>
      <c r="X60" s="750"/>
      <c r="Y60" s="951"/>
      <c r="Z60" s="947"/>
      <c r="AA60" s="947"/>
      <c r="AB60" s="952"/>
      <c r="AC60" s="953"/>
      <c r="AY60" s="1083">
        <v>2</v>
      </c>
      <c r="AZ60" s="1081" t="s">
        <v>762</v>
      </c>
      <c r="BA60" s="1083">
        <v>3</v>
      </c>
      <c r="BB60" s="1083">
        <v>5</v>
      </c>
      <c r="BC60" s="934">
        <v>0.39900000000000002</v>
      </c>
      <c r="BL60" s="11" t="s">
        <v>994</v>
      </c>
      <c r="BN60" s="11">
        <f ca="1">INDEX(INDIRECT(Исх!BR30),MATCH(Исх!Z30/Исх!T30/INT(Исх!G30),INDEX(INDIRECT(Исх!BR30),0,1))+1,1)</f>
        <v>30000</v>
      </c>
      <c r="BP60" s="11">
        <f ca="1">INDEX(INDIRECT(Исх!BR30),MATCH(Исх!Z30/Исх!T30/INT(Исх!G30)*INT(Исх!G30),INDEX(INDIRECT(Исх!BR30),0,1))+1,1)</f>
        <v>30000</v>
      </c>
      <c r="BQ60" s="11">
        <f ca="1">INDEX(INDIRECT(Исх!BR30),MATCH(Исх!Z30/Исх!T30*Исх!M30,INDEX(INDIRECT(Исх!BR30),0,1))+1,1)</f>
        <v>30000</v>
      </c>
      <c r="BS60" s="2219"/>
      <c r="BT60" s="2219"/>
      <c r="BU60" s="2219" t="s">
        <v>683</v>
      </c>
      <c r="BV60" s="2219"/>
      <c r="BW60" s="2219"/>
      <c r="BX60" s="2219"/>
      <c r="BY60" s="2219"/>
      <c r="KC60" s="796"/>
      <c r="KD60" s="1117" t="str">
        <f>IF($KR60&gt;0,Заказ!$I$1,"del")</f>
        <v>del</v>
      </c>
      <c r="KE60" s="1117"/>
      <c r="KF60" s="6" t="s">
        <v>684</v>
      </c>
      <c r="KG60" s="1117">
        <f>IF(AND($KF60="газетная",$KR60&gt;0),Заказ!$D$8,0)</f>
        <v>0</v>
      </c>
      <c r="KH60" s="1117"/>
      <c r="KI60" s="1117" t="str">
        <f t="shared" si="131"/>
        <v>СityLine</v>
      </c>
      <c r="KJ60" s="1117"/>
      <c r="KK60" s="1139">
        <v>40</v>
      </c>
      <c r="KL60" s="1139">
        <f t="shared" si="132"/>
        <v>0</v>
      </c>
      <c r="KM60" s="1139">
        <v>48.8</v>
      </c>
      <c r="KN60" s="1118">
        <f t="shared" si="133"/>
        <v>0</v>
      </c>
      <c r="KO60" s="1116">
        <f>IF($KR60&gt;0,Заказ!$F$13,0)</f>
        <v>0</v>
      </c>
      <c r="KP60" s="1117">
        <f>IF($KR60&gt;0,Заказ!$C$11,0)</f>
        <v>0</v>
      </c>
      <c r="KQ60" s="1117">
        <f t="shared" si="126"/>
        <v>0</v>
      </c>
      <c r="KR60" s="1117">
        <f t="shared" si="134"/>
        <v>0</v>
      </c>
      <c r="KS60" s="1140" t="str">
        <f t="shared" si="135"/>
        <v>0:0:00</v>
      </c>
      <c r="KT60" s="1140" t="str">
        <f t="shared" si="136"/>
        <v>0:0:00</v>
      </c>
      <c r="KU60" s="1117"/>
      <c r="KV60" s="1117"/>
      <c r="KW60" s="1189">
        <f t="shared" si="127"/>
        <v>0</v>
      </c>
      <c r="KX60" s="1119">
        <f t="shared" si="142"/>
        <v>0</v>
      </c>
      <c r="KY60" s="1119">
        <f t="shared" si="137"/>
        <v>0</v>
      </c>
      <c r="KZ60" s="1119"/>
      <c r="LA60" s="1119"/>
      <c r="LB60" s="1119"/>
      <c r="LC60" s="1255"/>
      <c r="LD60" s="1255"/>
      <c r="LE60" s="1255"/>
      <c r="LF60" s="1189">
        <f t="shared" si="128"/>
        <v>0</v>
      </c>
      <c r="LG60" s="1119">
        <f t="shared" si="138"/>
        <v>0</v>
      </c>
      <c r="LH60" s="1119">
        <f t="shared" si="139"/>
        <v>0</v>
      </c>
      <c r="LI60" s="1119"/>
      <c r="LJ60" s="1119"/>
      <c r="LK60" s="1119"/>
      <c r="LL60" s="1191"/>
      <c r="LM60" s="1117"/>
      <c r="LN60" s="1119"/>
      <c r="LO60" s="1119"/>
      <c r="LP60" s="1119"/>
      <c r="LQ60" s="1119"/>
      <c r="LR60" s="1255"/>
      <c r="LS60" s="1255"/>
      <c r="LT60" s="1119"/>
      <c r="LU60" s="1210"/>
      <c r="LV60" s="1116" t="str">
        <f t="shared" si="140"/>
        <v>зак</v>
      </c>
      <c r="LW60" s="1211">
        <f t="shared" si="129"/>
        <v>0</v>
      </c>
    </row>
    <row r="61" spans="1:335" ht="24.75" customHeight="1" x14ac:dyDescent="0.2">
      <c r="A61" s="13">
        <f>IF(AND(B60&gt;0,B61&lt;&gt;B60),A60+1,A60)</f>
        <v>1</v>
      </c>
      <c r="B61" s="131">
        <v>2</v>
      </c>
      <c r="C61" s="106" t="str">
        <f>IF(B61&gt;0,LOOKUP($B61,Мат!$A$5:$A$71,Мат!$B$5:$B$71),"  ")</f>
        <v>Краска ролевая (черная)</v>
      </c>
      <c r="D61" s="106"/>
      <c r="E61" s="842">
        <f t="shared" ref="E61:E87" si="154">LOOKUP($F61,$E$44:$E$57,B$44:B$57)</f>
        <v>12</v>
      </c>
      <c r="F61" s="139">
        <v>2</v>
      </c>
      <c r="G61" s="188">
        <f t="shared" ref="G61:G68" si="155">LOOKUP($F61,$E$44:$E$57,J$29:J$42)</f>
        <v>33</v>
      </c>
      <c r="H61" s="188">
        <f t="shared" ref="H61:H68" si="156">LOOKUP($F61,$E$44:$E$57,K$29:K$42)</f>
        <v>57.8</v>
      </c>
      <c r="I61" s="806">
        <f t="shared" ref="I61:I87" ca="1" si="157">(($E61&gt;=8)*(AND($B61&gt;0,$B61&lt;3))*INDEX($AJ$29:$AJ$41,MATCH($F61,$E$44:$E$56,0))/2)+(($E61&gt;=8)*($B61&gt;=3)*INDEX($AK$29:$AK$41,MATCH($F61,$E$44:$E$56,0))/3/2)+(($E61&lt;8)*(AND($B61&gt;0,$B61&lt;3))*INDEX($AB$29:$AB$41,MATCH($F61,$E$44:$E$56,0)))+(($E61&lt;8)*($B61&gt;=3)*INDEX($AB$29:$AB$41,MATCH($F61,$E$44:$E$56,0)))</f>
        <v>29375</v>
      </c>
      <c r="J61" s="1072" t="str">
        <f t="shared" ref="J61:J87" si="158">LOOKUP($F61,$E$44:$E$57,$BR$29:$BR$42)</f>
        <v>СityLine</v>
      </c>
      <c r="K61" s="93">
        <v>2</v>
      </c>
      <c r="L61" s="93">
        <v>2</v>
      </c>
      <c r="M61" s="106">
        <f t="shared" ref="M61:M86" si="159">VLOOKUP($L61,$Q$60:$U$69,5)</f>
        <v>222</v>
      </c>
      <c r="N61" s="182">
        <f ca="1">G61*H61*I61*K61/10000000*M61/1000</f>
        <v>2.4877264499999998</v>
      </c>
      <c r="O61" s="132">
        <f ca="1">IF(B60=B61,O60+N61,N61)</f>
        <v>7.463179349999999</v>
      </c>
      <c r="P61" s="185"/>
      <c r="Q61" s="769">
        <v>1</v>
      </c>
      <c r="R61" s="2231" t="s">
        <v>163</v>
      </c>
      <c r="S61" s="2232"/>
      <c r="T61" s="2233"/>
      <c r="U61" s="770">
        <v>74</v>
      </c>
      <c r="V61" s="2220" t="s">
        <v>699</v>
      </c>
      <c r="W61" s="2223" t="s">
        <v>167</v>
      </c>
      <c r="X61" s="749"/>
      <c r="Y61" s="82"/>
      <c r="Z61" s="949"/>
      <c r="AA61" s="949"/>
      <c r="AB61" s="953"/>
      <c r="AC61" s="953"/>
      <c r="AY61" s="1083">
        <v>2</v>
      </c>
      <c r="AZ61" s="1083" t="s">
        <v>763</v>
      </c>
      <c r="BA61" s="1083">
        <v>4</v>
      </c>
      <c r="BB61" s="1083">
        <v>7</v>
      </c>
      <c r="BC61" s="934">
        <v>0.46700000000000003</v>
      </c>
      <c r="BL61" s="11" t="s">
        <v>995</v>
      </c>
      <c r="BN61" s="11">
        <f>(Исх!Z30/Исх!T30/INT(Исх!G30))</f>
        <v>25000</v>
      </c>
      <c r="BP61" s="11">
        <f>(Исх!Z30/Исх!T30/INT(Исх!G30)*INT(Исх!G30))</f>
        <v>25000</v>
      </c>
      <c r="BQ61" s="11">
        <f>Исх!Z30/Исх!T30*Исх!M30</f>
        <v>25000</v>
      </c>
      <c r="BS61" s="2219"/>
      <c r="BT61" s="2219"/>
      <c r="BU61" s="751" t="s">
        <v>680</v>
      </c>
      <c r="BV61" s="751" t="s">
        <v>679</v>
      </c>
      <c r="BW61" s="751" t="s">
        <v>684</v>
      </c>
      <c r="BX61" s="751" t="s">
        <v>685</v>
      </c>
      <c r="BY61" s="751" t="s">
        <v>686</v>
      </c>
      <c r="KC61" s="796"/>
      <c r="KD61" s="1117" t="str">
        <f>IF($KR61&gt;0,Заказ!$I$1,"del")</f>
        <v>del</v>
      </c>
      <c r="KE61" s="1117"/>
      <c r="KF61" s="6" t="s">
        <v>684</v>
      </c>
      <c r="KG61" s="1117">
        <f>IF(AND($KF61="газетная",$KR61&gt;0),Заказ!$D$8,0)</f>
        <v>0</v>
      </c>
      <c r="KH61" s="1117"/>
      <c r="KI61" s="1117" t="str">
        <f t="shared" si="131"/>
        <v>СityLine</v>
      </c>
      <c r="KJ61" s="1117"/>
      <c r="KK61" s="1139">
        <v>70</v>
      </c>
      <c r="KL61" s="1139">
        <f t="shared" si="132"/>
        <v>0</v>
      </c>
      <c r="KM61" s="1139">
        <v>48.8</v>
      </c>
      <c r="KN61" s="1118">
        <f t="shared" si="133"/>
        <v>0</v>
      </c>
      <c r="KO61" s="1116">
        <f>IF($KR61&gt;0,Заказ!$F$13,0)</f>
        <v>0</v>
      </c>
      <c r="KP61" s="1117">
        <f>IF($KR61&gt;0,Заказ!$C$11,0)</f>
        <v>0</v>
      </c>
      <c r="KQ61" s="1117">
        <f>SUMIFS($KQ$30:$KQ$41,$KF$30:$KF$41,$KF61,$KK$30:$KK$41,$KK61,$KM$30:$KM$41,$KM61)</f>
        <v>0</v>
      </c>
      <c r="KR61" s="1117">
        <f t="shared" si="134"/>
        <v>0</v>
      </c>
      <c r="KS61" s="1140" t="str">
        <f t="shared" si="135"/>
        <v>0:0:00</v>
      </c>
      <c r="KT61" s="1140" t="str">
        <f t="shared" si="136"/>
        <v>0:0:00</v>
      </c>
      <c r="KU61" s="1117"/>
      <c r="KV61" s="1117"/>
      <c r="KW61" s="1189">
        <f t="shared" si="127"/>
        <v>0</v>
      </c>
      <c r="KX61" s="1119">
        <f t="shared" si="142"/>
        <v>0</v>
      </c>
      <c r="KY61" s="1119">
        <f t="shared" si="137"/>
        <v>0</v>
      </c>
      <c r="KZ61" s="1119"/>
      <c r="LA61" s="1119"/>
      <c r="LB61" s="1119"/>
      <c r="LC61" s="1255"/>
      <c r="LD61" s="1255"/>
      <c r="LE61" s="1255"/>
      <c r="LF61" s="1189">
        <f t="shared" si="128"/>
        <v>0</v>
      </c>
      <c r="LG61" s="1119">
        <f t="shared" si="138"/>
        <v>0</v>
      </c>
      <c r="LH61" s="1119">
        <f t="shared" si="139"/>
        <v>0</v>
      </c>
      <c r="LI61" s="1119"/>
      <c r="LJ61" s="1119"/>
      <c r="LK61" s="1119"/>
      <c r="LL61" s="1191"/>
      <c r="LM61" s="1117"/>
      <c r="LN61" s="1119"/>
      <c r="LO61" s="1119"/>
      <c r="LP61" s="1119"/>
      <c r="LQ61" s="1119"/>
      <c r="LR61" s="1255"/>
      <c r="LS61" s="1255"/>
      <c r="LT61" s="1119"/>
      <c r="LU61" s="1210"/>
      <c r="LV61" s="1116" t="str">
        <f t="shared" si="140"/>
        <v>зак</v>
      </c>
      <c r="LW61" s="1211">
        <f t="shared" si="129"/>
        <v>0</v>
      </c>
    </row>
    <row r="62" spans="1:335" ht="24.75" customHeight="1" x14ac:dyDescent="0.2">
      <c r="A62" s="13">
        <f>IF(AND(B61&gt;0,B62&lt;&gt;B61),A61+1,A61)</f>
        <v>2</v>
      </c>
      <c r="B62" s="131">
        <v>6</v>
      </c>
      <c r="C62" s="106" t="str">
        <f>IF(B62&gt;0,LOOKUP($B62,Мат!$A$5:$A$71,Мат!$B$5:$B$71),"  ")</f>
        <v>Краска ролевая (пурпурная)</v>
      </c>
      <c r="D62" s="106"/>
      <c r="E62" s="842">
        <f t="shared" si="154"/>
        <v>12</v>
      </c>
      <c r="F62" s="139">
        <v>1</v>
      </c>
      <c r="G62" s="188">
        <f t="shared" si="155"/>
        <v>66</v>
      </c>
      <c r="H62" s="188">
        <f t="shared" si="156"/>
        <v>57.8</v>
      </c>
      <c r="I62" s="806">
        <f t="shared" ca="1" si="157"/>
        <v>29375</v>
      </c>
      <c r="J62" s="1072" t="str">
        <f t="shared" si="158"/>
        <v>СityLine</v>
      </c>
      <c r="K62" s="93">
        <v>2</v>
      </c>
      <c r="L62" s="93">
        <v>4</v>
      </c>
      <c r="M62" s="106">
        <f t="shared" si="159"/>
        <v>157</v>
      </c>
      <c r="N62" s="182">
        <f t="shared" ref="N62:N68" ca="1" si="160">G62*H62*I62*K62/10000000*M62/1000</f>
        <v>3.5186761499999997</v>
      </c>
      <c r="O62" s="132">
        <f ca="1">IF(B61=B62,O61+N62,N62)</f>
        <v>3.5186761499999997</v>
      </c>
      <c r="P62" s="185"/>
      <c r="Q62" s="769">
        <v>2</v>
      </c>
      <c r="R62" s="2231" t="s">
        <v>164</v>
      </c>
      <c r="S62" s="2232"/>
      <c r="T62" s="2233"/>
      <c r="U62" s="180">
        <v>222</v>
      </c>
      <c r="V62" s="2221"/>
      <c r="W62" s="2224"/>
      <c r="X62" s="749"/>
      <c r="Y62" s="749"/>
      <c r="AB62" s="80"/>
      <c r="AC62" s="80"/>
      <c r="AY62" s="1083">
        <v>2</v>
      </c>
      <c r="AZ62" s="1083" t="s">
        <v>764</v>
      </c>
      <c r="BA62" s="1083">
        <v>4</v>
      </c>
      <c r="BB62" s="1083">
        <v>6</v>
      </c>
      <c r="BC62" s="1082">
        <v>0.4</v>
      </c>
      <c r="BL62" s="11" t="s">
        <v>993</v>
      </c>
      <c r="BN62" s="11">
        <f ca="1">VLOOKUP(Исх!Z30/Исх!T30/INT(Исх!G30),INDIRECT(Исх!BR30),1)</f>
        <v>25000</v>
      </c>
      <c r="BP62" s="11">
        <f ca="1">VLOOKUP(Исх!Z30/Исх!T30/INT(Исх!G30)*INT(Исх!G30),INDIRECT(Исх!BR30),1)</f>
        <v>25000</v>
      </c>
      <c r="BQ62" s="11">
        <f ca="1">VLOOKUP(Исх!Z30/Исх!T30*Исх!M30,INDIRECT(Исх!BR30),1)</f>
        <v>25000</v>
      </c>
      <c r="BS62" s="2219" t="s">
        <v>687</v>
      </c>
      <c r="BT62" s="752" t="s">
        <v>163</v>
      </c>
      <c r="BU62" s="751">
        <v>50</v>
      </c>
      <c r="BV62" s="751">
        <v>70</v>
      </c>
      <c r="BW62" s="751">
        <v>60</v>
      </c>
      <c r="BX62" s="751">
        <v>60</v>
      </c>
      <c r="BY62" s="751">
        <v>75</v>
      </c>
      <c r="KC62" s="796"/>
      <c r="KD62" s="1117" t="str">
        <f>IF($KR62&gt;0,Заказ!$I$1,"del")</f>
        <v>del</v>
      </c>
      <c r="KE62" s="1117"/>
      <c r="KF62" s="6" t="s">
        <v>684</v>
      </c>
      <c r="KG62" s="1117">
        <f>IF(AND($KF62="газетная",$KR62&gt;0),Заказ!$D$8,0)</f>
        <v>0</v>
      </c>
      <c r="KH62" s="1117"/>
      <c r="KI62" s="1117" t="str">
        <f t="shared" si="131"/>
        <v>СityLine</v>
      </c>
      <c r="KJ62" s="1117"/>
      <c r="KK62" s="1139">
        <v>35</v>
      </c>
      <c r="KL62" s="1139">
        <f t="shared" si="132"/>
        <v>0</v>
      </c>
      <c r="KM62" s="1139">
        <v>48.8</v>
      </c>
      <c r="KN62" s="1118">
        <f>SUMIFS($KN$30:$KN$41,$KF$30:$KF$41,$KF62,$KK$30:$KK$41,$KK62,$KM$30:$KM$41,$KM62)</f>
        <v>0</v>
      </c>
      <c r="KO62" s="1116">
        <f>IF($KR62&gt;0,Заказ!$F$13,0)</f>
        <v>0</v>
      </c>
      <c r="KP62" s="1117">
        <f>IF($KR62&gt;0,Заказ!$C$11,0)</f>
        <v>0</v>
      </c>
      <c r="KQ62" s="1117">
        <f t="shared" si="126"/>
        <v>0</v>
      </c>
      <c r="KR62" s="1117">
        <f t="shared" si="134"/>
        <v>0</v>
      </c>
      <c r="KS62" s="1140" t="str">
        <f t="shared" si="135"/>
        <v>0:0:00</v>
      </c>
      <c r="KT62" s="1140" t="str">
        <f t="shared" si="136"/>
        <v>0:0:00</v>
      </c>
      <c r="KU62" s="1117"/>
      <c r="KV62" s="1117"/>
      <c r="KW62" s="1189">
        <f t="shared" si="127"/>
        <v>0</v>
      </c>
      <c r="KX62" s="1119">
        <f t="shared" si="142"/>
        <v>0</v>
      </c>
      <c r="KY62" s="1119">
        <f t="shared" si="137"/>
        <v>0</v>
      </c>
      <c r="KZ62" s="1119"/>
      <c r="LA62" s="1119"/>
      <c r="LB62" s="1119"/>
      <c r="LC62" s="1255"/>
      <c r="LD62" s="1255"/>
      <c r="LE62" s="1255"/>
      <c r="LF62" s="1189">
        <f t="shared" si="128"/>
        <v>0</v>
      </c>
      <c r="LG62" s="1119">
        <f t="shared" si="138"/>
        <v>0</v>
      </c>
      <c r="LH62" s="1119">
        <f t="shared" si="139"/>
        <v>0</v>
      </c>
      <c r="LI62" s="1119"/>
      <c r="LJ62" s="1119"/>
      <c r="LK62" s="1119"/>
      <c r="LL62" s="1191"/>
      <c r="LM62" s="1117"/>
      <c r="LN62" s="1119"/>
      <c r="LO62" s="1119"/>
      <c r="LP62" s="1119"/>
      <c r="LQ62" s="1119"/>
      <c r="LR62" s="1255"/>
      <c r="LS62" s="1255"/>
      <c r="LT62" s="1119"/>
      <c r="LU62" s="1210"/>
      <c r="LV62" s="1116" t="str">
        <f t="shared" si="140"/>
        <v>зак</v>
      </c>
      <c r="LW62" s="1211">
        <f t="shared" si="129"/>
        <v>0</v>
      </c>
    </row>
    <row r="63" spans="1:335" ht="24.75" customHeight="1" x14ac:dyDescent="0.2">
      <c r="A63" s="13">
        <f>IF(AND(B62&gt;0,B63&lt;&gt;B62),A62+1,A62)</f>
        <v>2</v>
      </c>
      <c r="B63" s="131">
        <v>6</v>
      </c>
      <c r="C63" s="106" t="str">
        <f>IF(B63&gt;0,LOOKUP($B63,Мат!$A$5:$A$71,Мат!$B$5:$B$71),"  ")</f>
        <v>Краска ролевая (пурпурная)</v>
      </c>
      <c r="D63" s="106"/>
      <c r="E63" s="842">
        <f t="shared" si="154"/>
        <v>12</v>
      </c>
      <c r="F63" s="139">
        <v>2</v>
      </c>
      <c r="G63" s="188">
        <f t="shared" si="155"/>
        <v>33</v>
      </c>
      <c r="H63" s="188">
        <f t="shared" si="156"/>
        <v>57.8</v>
      </c>
      <c r="I63" s="806">
        <f t="shared" ca="1" si="157"/>
        <v>29375</v>
      </c>
      <c r="J63" s="1072" t="str">
        <f t="shared" si="158"/>
        <v>СityLine</v>
      </c>
      <c r="K63" s="93">
        <v>2</v>
      </c>
      <c r="L63" s="93">
        <v>4</v>
      </c>
      <c r="M63" s="106">
        <f t="shared" si="159"/>
        <v>157</v>
      </c>
      <c r="N63" s="182">
        <f t="shared" ca="1" si="160"/>
        <v>1.7593380749999998</v>
      </c>
      <c r="O63" s="132">
        <f t="shared" ref="O63:O68" ca="1" si="161">IF(B62=B63,O62+N63,N63)</f>
        <v>5.2780142249999997</v>
      </c>
      <c r="P63" s="185"/>
      <c r="Q63" s="769">
        <v>3</v>
      </c>
      <c r="R63" s="2231" t="s">
        <v>700</v>
      </c>
      <c r="S63" s="2232"/>
      <c r="T63" s="2233"/>
      <c r="U63" s="180">
        <v>111</v>
      </c>
      <c r="V63" s="2221"/>
      <c r="W63" s="2224"/>
      <c r="X63" s="749"/>
      <c r="Y63" s="749"/>
      <c r="AB63" s="80"/>
      <c r="AC63" s="80"/>
      <c r="AY63" s="1083">
        <v>2</v>
      </c>
      <c r="AZ63" s="1083" t="s">
        <v>765</v>
      </c>
      <c r="BA63" s="1083">
        <v>4</v>
      </c>
      <c r="BB63" s="1083">
        <v>7</v>
      </c>
      <c r="BC63" s="934">
        <v>0.46700000000000003</v>
      </c>
      <c r="BS63" s="2219"/>
      <c r="BT63" s="752" t="s">
        <v>164</v>
      </c>
      <c r="BU63" s="751">
        <v>65</v>
      </c>
      <c r="BV63" s="751">
        <v>90</v>
      </c>
      <c r="BW63" s="751">
        <v>78</v>
      </c>
      <c r="BX63" s="751">
        <v>80</v>
      </c>
      <c r="BY63" s="751">
        <v>100</v>
      </c>
      <c r="KC63" s="796"/>
      <c r="KD63" s="1117" t="str">
        <f>IF($KR63&gt;0,Заказ!$I$1,"del")</f>
        <v>del</v>
      </c>
      <c r="KE63" s="1117"/>
      <c r="KF63" s="6" t="s">
        <v>684</v>
      </c>
      <c r="KG63" s="1117">
        <f>IF(AND($KF63="газетная",$KR63&gt;0),Заказ!$D$8,0)</f>
        <v>0</v>
      </c>
      <c r="KH63" s="1117"/>
      <c r="KI63" s="1117" t="str">
        <f>IF($KF$45="газетная",LOOKUP($KF63,$KF$30:$KF$41,$KI$30:$KI$41),0)</f>
        <v>СityLine</v>
      </c>
      <c r="KJ63" s="1117"/>
      <c r="KK63" s="1176">
        <v>60</v>
      </c>
      <c r="KL63" s="1176">
        <f t="shared" si="132"/>
        <v>0</v>
      </c>
      <c r="KM63" s="1176">
        <v>42</v>
      </c>
      <c r="KN63" s="1118">
        <f>SUMIFS($KN$30:$KN$41,$KF$30:$KF$41,$KF63,$KK$30:$KK$41,$KK63,$KM$30:$KM$41,$KM63)</f>
        <v>0</v>
      </c>
      <c r="KO63" s="1116">
        <f>IF($KR63&gt;0,Заказ!$F$13,0)</f>
        <v>0</v>
      </c>
      <c r="KP63" s="1117">
        <f>IF($KR63&gt;0,Заказ!$C$11,0)</f>
        <v>0</v>
      </c>
      <c r="KQ63" s="1117">
        <f t="shared" si="126"/>
        <v>0</v>
      </c>
      <c r="KR63" s="1117">
        <f>SUMIFS($KR$30:$KR$41,$KF$30:$KF$41,$KF63,$KK$30:$KK$41,$KK63,$KM$30:$KM$41,$KM63)</f>
        <v>0</v>
      </c>
      <c r="KS63" s="1140" t="str">
        <f t="shared" si="135"/>
        <v>0:0:00</v>
      </c>
      <c r="KT63" s="1140" t="str">
        <f t="shared" si="136"/>
        <v>0:0:00</v>
      </c>
      <c r="KU63" s="1117"/>
      <c r="KV63" s="1117"/>
      <c r="KW63" s="1189">
        <f t="shared" si="127"/>
        <v>0</v>
      </c>
      <c r="KX63" s="1119">
        <f t="shared" si="142"/>
        <v>0</v>
      </c>
      <c r="KY63" s="1119">
        <f t="shared" si="137"/>
        <v>0</v>
      </c>
      <c r="KZ63" s="1119"/>
      <c r="LA63" s="1119"/>
      <c r="LB63" s="1119"/>
      <c r="LC63" s="1255"/>
      <c r="LD63" s="1255"/>
      <c r="LE63" s="1255"/>
      <c r="LF63" s="1189">
        <f t="shared" si="128"/>
        <v>0</v>
      </c>
      <c r="LG63" s="1119">
        <f t="shared" si="138"/>
        <v>0</v>
      </c>
      <c r="LH63" s="1119">
        <f t="shared" si="139"/>
        <v>0</v>
      </c>
      <c r="LI63" s="1119"/>
      <c r="LJ63" s="1119"/>
      <c r="LK63" s="1119"/>
      <c r="LL63" s="1191"/>
      <c r="LM63" s="1117"/>
      <c r="LN63" s="1119"/>
      <c r="LO63" s="1119"/>
      <c r="LP63" s="1119"/>
      <c r="LQ63" s="1119"/>
      <c r="LR63" s="1255"/>
      <c r="LS63" s="1255"/>
      <c r="LT63" s="1119"/>
      <c r="LU63" s="1210"/>
      <c r="LV63" s="1116" t="str">
        <f t="shared" si="140"/>
        <v>зак</v>
      </c>
      <c r="LW63" s="1211">
        <f t="shared" si="129"/>
        <v>0</v>
      </c>
    </row>
    <row r="64" spans="1:335" ht="24.75" customHeight="1" x14ac:dyDescent="0.2">
      <c r="A64" s="13">
        <f>IF(AND(B63&gt;0,B64&lt;&gt;B63),A63+1,A63)</f>
        <v>3</v>
      </c>
      <c r="B64" s="131">
        <v>7</v>
      </c>
      <c r="C64" s="106" t="str">
        <f>IF(B64&gt;0,LOOKUP($B64,Мат!$A$5:$A$71,Мат!$B$5:$B$71),"  ")</f>
        <v>Краска ролевая (голубая)</v>
      </c>
      <c r="D64" s="106"/>
      <c r="E64" s="842">
        <f t="shared" si="154"/>
        <v>12</v>
      </c>
      <c r="F64" s="139">
        <v>1</v>
      </c>
      <c r="G64" s="188">
        <f t="shared" si="155"/>
        <v>66</v>
      </c>
      <c r="H64" s="188">
        <f t="shared" si="156"/>
        <v>57.8</v>
      </c>
      <c r="I64" s="806">
        <f t="shared" ca="1" si="157"/>
        <v>29375</v>
      </c>
      <c r="J64" s="1072" t="str">
        <f t="shared" si="158"/>
        <v>СityLine</v>
      </c>
      <c r="K64" s="93">
        <v>2</v>
      </c>
      <c r="L64" s="93">
        <v>4</v>
      </c>
      <c r="M64" s="106">
        <f t="shared" si="159"/>
        <v>157</v>
      </c>
      <c r="N64" s="182">
        <f t="shared" ca="1" si="160"/>
        <v>3.5186761499999997</v>
      </c>
      <c r="O64" s="132">
        <f t="shared" ca="1" si="161"/>
        <v>3.5186761499999997</v>
      </c>
      <c r="P64" s="185"/>
      <c r="Q64" s="769">
        <v>4</v>
      </c>
      <c r="R64" s="2231" t="s">
        <v>701</v>
      </c>
      <c r="S64" s="2232"/>
      <c r="T64" s="2233"/>
      <c r="U64" s="180">
        <v>157</v>
      </c>
      <c r="V64" s="2222"/>
      <c r="W64" s="2225"/>
      <c r="X64" s="749"/>
      <c r="Y64" s="749"/>
      <c r="AB64" s="80"/>
      <c r="AC64" s="80"/>
      <c r="AY64" s="1083">
        <v>2</v>
      </c>
      <c r="AZ64" s="1083" t="s">
        <v>766</v>
      </c>
      <c r="BA64" s="1083">
        <v>5</v>
      </c>
      <c r="BB64" s="1083">
        <v>7</v>
      </c>
      <c r="BC64" s="934">
        <v>0.46700000000000003</v>
      </c>
      <c r="BS64" s="2219"/>
      <c r="BT64" s="752" t="s">
        <v>688</v>
      </c>
      <c r="BU64" s="751">
        <v>95</v>
      </c>
      <c r="BV64" s="751">
        <v>135</v>
      </c>
      <c r="BW64" s="751">
        <v>114</v>
      </c>
      <c r="BX64" s="751">
        <v>120</v>
      </c>
      <c r="BY64" s="751">
        <v>140</v>
      </c>
      <c r="KC64" s="796"/>
      <c r="KD64" s="1117" t="str">
        <f>IF($KR64&gt;0,Заказ!$I$1,"del")</f>
        <v>del</v>
      </c>
      <c r="KE64" s="1117"/>
      <c r="KF64" s="6" t="s">
        <v>684</v>
      </c>
      <c r="KG64" s="1117">
        <f>IF(AND($KF64="газетная",$KR64&gt;0),Заказ!$D$8,0)</f>
        <v>0</v>
      </c>
      <c r="KH64" s="1117"/>
      <c r="KI64" s="1117" t="str">
        <f>IF($KF$45="газетная",LOOKUP($KF64,$KF$30:$KF$41,$KI$30:$KI$41),0)</f>
        <v>СityLine</v>
      </c>
      <c r="KJ64" s="1117"/>
      <c r="KK64" s="1176">
        <v>60</v>
      </c>
      <c r="KL64" s="1176">
        <f t="shared" si="132"/>
        <v>0</v>
      </c>
      <c r="KM64" s="1176">
        <v>45</v>
      </c>
      <c r="KN64" s="1118">
        <f t="shared" si="133"/>
        <v>0</v>
      </c>
      <c r="KO64" s="1116">
        <f>IF($KR64&gt;0,Заказ!$F$13,0)</f>
        <v>0</v>
      </c>
      <c r="KP64" s="1117">
        <f>IF($KR64&gt;0,Заказ!$C$11,0)</f>
        <v>0</v>
      </c>
      <c r="KQ64" s="1117">
        <f>SUMIFS($KQ$30:$KQ$41,$KF$30:$KF$41,$KF64,$KK$30:$KK$41,$KK64,$KM$30:$KM$41,$KM64)</f>
        <v>0</v>
      </c>
      <c r="KR64" s="1117">
        <f t="shared" si="134"/>
        <v>0</v>
      </c>
      <c r="KS64" s="1140" t="str">
        <f t="shared" si="135"/>
        <v>0:0:00</v>
      </c>
      <c r="KT64" s="1140" t="str">
        <f t="shared" si="136"/>
        <v>0:0:00</v>
      </c>
      <c r="KU64" s="1117"/>
      <c r="KV64" s="1117"/>
      <c r="KW64" s="1189">
        <f t="shared" si="127"/>
        <v>0</v>
      </c>
      <c r="KX64" s="1119">
        <f t="shared" si="142"/>
        <v>0</v>
      </c>
      <c r="KY64" s="1119">
        <f t="shared" si="137"/>
        <v>0</v>
      </c>
      <c r="KZ64" s="1119"/>
      <c r="LA64" s="1119"/>
      <c r="LB64" s="1119"/>
      <c r="LC64" s="1255"/>
      <c r="LD64" s="1255"/>
      <c r="LE64" s="1255"/>
      <c r="LF64" s="1189">
        <f t="shared" si="128"/>
        <v>0</v>
      </c>
      <c r="LG64" s="1119">
        <f t="shared" si="138"/>
        <v>0</v>
      </c>
      <c r="LH64" s="1119">
        <f t="shared" si="139"/>
        <v>0</v>
      </c>
      <c r="LI64" s="1119"/>
      <c r="LJ64" s="1119"/>
      <c r="LK64" s="1119"/>
      <c r="LL64" s="1191"/>
      <c r="LM64" s="1117"/>
      <c r="LN64" s="1119"/>
      <c r="LO64" s="1119"/>
      <c r="LP64" s="1119"/>
      <c r="LQ64" s="1119"/>
      <c r="LR64" s="1255"/>
      <c r="LS64" s="1255"/>
      <c r="LT64" s="1119"/>
      <c r="LU64" s="1210"/>
      <c r="LV64" s="1116" t="str">
        <f t="shared" si="140"/>
        <v>зак</v>
      </c>
      <c r="LW64" s="1211">
        <f t="shared" si="129"/>
        <v>0</v>
      </c>
    </row>
    <row r="65" spans="1:335" ht="24.75" customHeight="1" x14ac:dyDescent="0.2">
      <c r="A65" s="13">
        <f t="shared" ref="A65:A88" si="162">IF(AND(B64&gt;0,B65&lt;&gt;B64),A64+1,A64)</f>
        <v>3</v>
      </c>
      <c r="B65" s="131">
        <v>7</v>
      </c>
      <c r="C65" s="106" t="str">
        <f>IF(B65&gt;0,LOOKUP($B65,Мат!$A$5:$A$71,Мат!$B$5:$B$71),"  ")</f>
        <v>Краска ролевая (голубая)</v>
      </c>
      <c r="D65" s="106"/>
      <c r="E65" s="842">
        <f t="shared" si="154"/>
        <v>12</v>
      </c>
      <c r="F65" s="139">
        <v>2</v>
      </c>
      <c r="G65" s="188">
        <f t="shared" si="155"/>
        <v>33</v>
      </c>
      <c r="H65" s="188">
        <f t="shared" si="156"/>
        <v>57.8</v>
      </c>
      <c r="I65" s="806">
        <f t="shared" ca="1" si="157"/>
        <v>29375</v>
      </c>
      <c r="J65" s="1072" t="str">
        <f t="shared" si="158"/>
        <v>СityLine</v>
      </c>
      <c r="K65" s="93">
        <v>2</v>
      </c>
      <c r="L65" s="93">
        <v>4</v>
      </c>
      <c r="M65" s="106">
        <f t="shared" si="159"/>
        <v>157</v>
      </c>
      <c r="N65" s="182">
        <f t="shared" ca="1" si="160"/>
        <v>1.7593380749999998</v>
      </c>
      <c r="O65" s="132">
        <f t="shared" ca="1" si="161"/>
        <v>5.2780142249999997</v>
      </c>
      <c r="P65" s="185"/>
      <c r="Q65" s="771"/>
      <c r="R65" s="2247" t="s">
        <v>702</v>
      </c>
      <c r="S65" s="2247"/>
      <c r="T65" s="2247"/>
      <c r="U65" s="772"/>
      <c r="V65" s="772"/>
      <c r="W65" s="773"/>
      <c r="X65" s="749"/>
      <c r="Y65" s="187"/>
      <c r="AB65" s="80"/>
      <c r="AC65" s="80"/>
      <c r="AY65" s="1083">
        <v>2</v>
      </c>
      <c r="AZ65" s="1081" t="s">
        <v>767</v>
      </c>
      <c r="BA65" s="1083">
        <v>5</v>
      </c>
      <c r="BB65" s="1083">
        <v>8</v>
      </c>
      <c r="BC65" s="934">
        <v>0.53400000000000003</v>
      </c>
      <c r="BP65" s="1305">
        <f ca="1">BP56+(BP57-BP58)/(BP59-BP60)*(BP61-BP62)</f>
        <v>17.5</v>
      </c>
      <c r="BS65" s="2219"/>
      <c r="BT65" s="752" t="s">
        <v>689</v>
      </c>
      <c r="BU65" s="751">
        <v>245</v>
      </c>
      <c r="BV65" s="751">
        <v>330</v>
      </c>
      <c r="BW65" s="751">
        <v>294</v>
      </c>
      <c r="BX65" s="751">
        <v>295</v>
      </c>
      <c r="BY65" s="751">
        <v>370</v>
      </c>
      <c r="KC65" s="796"/>
      <c r="KD65" s="1117" t="str">
        <f>IF($KR65&gt;0,Заказ!$I$1,"del")</f>
        <v>del</v>
      </c>
      <c r="KE65" s="1117"/>
      <c r="KF65" s="6" t="s">
        <v>684</v>
      </c>
      <c r="KG65" s="1117">
        <f>IF(AND($KF65="газетная",$KR65&gt;0),Заказ!$D$8,0)</f>
        <v>0</v>
      </c>
      <c r="KH65" s="1117"/>
      <c r="KI65" s="1117" t="str">
        <f t="shared" si="131"/>
        <v>СityLine</v>
      </c>
      <c r="KJ65" s="1117"/>
      <c r="KK65" s="1176">
        <v>60</v>
      </c>
      <c r="KL65" s="1176">
        <f t="shared" si="132"/>
        <v>0</v>
      </c>
      <c r="KM65" s="1176">
        <v>48.8</v>
      </c>
      <c r="KN65" s="1118">
        <f t="shared" si="133"/>
        <v>0</v>
      </c>
      <c r="KO65" s="1116">
        <f>IF($KR65&gt;0,Заказ!$F$13,0)</f>
        <v>0</v>
      </c>
      <c r="KP65" s="1117">
        <f>IF($KR65&gt;0,Заказ!$C$11,0)</f>
        <v>0</v>
      </c>
      <c r="KQ65" s="1117">
        <f t="shared" si="126"/>
        <v>0</v>
      </c>
      <c r="KR65" s="1117">
        <f t="shared" si="134"/>
        <v>0</v>
      </c>
      <c r="KS65" s="1140" t="str">
        <f t="shared" si="135"/>
        <v>0:0:00</v>
      </c>
      <c r="KT65" s="1140" t="str">
        <f t="shared" si="136"/>
        <v>0:0:00</v>
      </c>
      <c r="KU65" s="1117"/>
      <c r="KV65" s="1117"/>
      <c r="KW65" s="1189">
        <f t="shared" si="127"/>
        <v>0</v>
      </c>
      <c r="KX65" s="1119">
        <f t="shared" si="142"/>
        <v>0</v>
      </c>
      <c r="KY65" s="1119">
        <f t="shared" si="137"/>
        <v>0</v>
      </c>
      <c r="KZ65" s="1119"/>
      <c r="LA65" s="1119"/>
      <c r="LB65" s="1119"/>
      <c r="LC65" s="1255"/>
      <c r="LD65" s="1255"/>
      <c r="LE65" s="1255"/>
      <c r="LF65" s="1189">
        <f t="shared" si="128"/>
        <v>0</v>
      </c>
      <c r="LG65" s="1119">
        <f t="shared" si="138"/>
        <v>0</v>
      </c>
      <c r="LH65" s="1119">
        <f t="shared" si="139"/>
        <v>0</v>
      </c>
      <c r="LI65" s="1119"/>
      <c r="LJ65" s="1119"/>
      <c r="LK65" s="1119"/>
      <c r="LL65" s="1191"/>
      <c r="LM65" s="1117"/>
      <c r="LN65" s="1119"/>
      <c r="LO65" s="1119"/>
      <c r="LP65" s="1119"/>
      <c r="LQ65" s="1119"/>
      <c r="LR65" s="1255"/>
      <c r="LS65" s="1255"/>
      <c r="LT65" s="1119"/>
      <c r="LU65" s="1210"/>
      <c r="LV65" s="1116" t="str">
        <f t="shared" si="140"/>
        <v>зак</v>
      </c>
      <c r="LW65" s="1211">
        <f t="shared" si="129"/>
        <v>0</v>
      </c>
    </row>
    <row r="66" spans="1:335" ht="24.75" customHeight="1" x14ac:dyDescent="0.2">
      <c r="A66" s="13">
        <f t="shared" si="162"/>
        <v>4</v>
      </c>
      <c r="B66" s="131">
        <v>8</v>
      </c>
      <c r="C66" s="106" t="str">
        <f>IF(B66&gt;0,LOOKUP($B66,Мат!$A$5:$A$71,Мат!$B$5:$B$71),"  ")</f>
        <v>Краска ролевая (желтая)</v>
      </c>
      <c r="D66" s="106"/>
      <c r="E66" s="842">
        <f t="shared" si="154"/>
        <v>12</v>
      </c>
      <c r="F66" s="139">
        <v>1</v>
      </c>
      <c r="G66" s="188">
        <f t="shared" si="155"/>
        <v>66</v>
      </c>
      <c r="H66" s="188">
        <f t="shared" si="156"/>
        <v>57.8</v>
      </c>
      <c r="I66" s="806">
        <f t="shared" ca="1" si="157"/>
        <v>29375</v>
      </c>
      <c r="J66" s="1072" t="str">
        <f t="shared" si="158"/>
        <v>СityLine</v>
      </c>
      <c r="K66" s="93">
        <v>2</v>
      </c>
      <c r="L66" s="93">
        <v>4</v>
      </c>
      <c r="M66" s="106">
        <f t="shared" si="159"/>
        <v>157</v>
      </c>
      <c r="N66" s="182">
        <f t="shared" ca="1" si="160"/>
        <v>3.5186761499999997</v>
      </c>
      <c r="O66" s="132">
        <f t="shared" ca="1" si="161"/>
        <v>3.5186761499999997</v>
      </c>
      <c r="P66" s="185"/>
      <c r="Q66" s="769">
        <v>5</v>
      </c>
      <c r="R66" s="2231" t="s">
        <v>163</v>
      </c>
      <c r="S66" s="2232"/>
      <c r="T66" s="2233"/>
      <c r="U66" s="161">
        <v>83</v>
      </c>
      <c r="V66" s="2220" t="s">
        <v>699</v>
      </c>
      <c r="W66" s="2223" t="s">
        <v>167</v>
      </c>
      <c r="X66" s="749"/>
      <c r="Y66" s="2228"/>
      <c r="AB66" s="80"/>
      <c r="AC66" s="80"/>
      <c r="AY66" s="1083">
        <v>2</v>
      </c>
      <c r="AZ66" s="1083" t="s">
        <v>864</v>
      </c>
      <c r="BA66" s="1083">
        <v>5</v>
      </c>
      <c r="BB66" s="1083">
        <v>10</v>
      </c>
      <c r="BC66" s="1082">
        <v>0.55000000000000004</v>
      </c>
      <c r="BS66" s="2219"/>
      <c r="BT66" s="752" t="s">
        <v>690</v>
      </c>
      <c r="BU66" s="751">
        <v>107</v>
      </c>
      <c r="BV66" s="751">
        <v>144</v>
      </c>
      <c r="BW66" s="751">
        <v>128</v>
      </c>
      <c r="BX66" s="751">
        <v>129</v>
      </c>
      <c r="BY66" s="751">
        <v>162</v>
      </c>
      <c r="KC66" s="796"/>
      <c r="KD66" s="1217" t="str">
        <f>IF($KR66&gt;0,Заказ!$I$1,"del")</f>
        <v>del</v>
      </c>
      <c r="KE66" s="1217"/>
      <c r="KF66" s="1218" t="s">
        <v>684</v>
      </c>
      <c r="KG66" s="1217">
        <f>IF(AND($KF66="газетная",$KR66&gt;0),Заказ!$D$8,0)</f>
        <v>0</v>
      </c>
      <c r="KH66" s="1217"/>
      <c r="KI66" s="1217" t="str">
        <f>IF($KF$45="газетная",LOOKUP($KF66,$KF$30:$KF$41,$KI$30:$KI$41),0)</f>
        <v>СityLine</v>
      </c>
      <c r="KJ66" s="1217"/>
      <c r="KK66" s="1216">
        <v>62</v>
      </c>
      <c r="KL66" s="1216">
        <f t="shared" si="132"/>
        <v>0</v>
      </c>
      <c r="KM66" s="1216">
        <v>42</v>
      </c>
      <c r="KN66" s="1215">
        <f>SUMIFS($KN$30:$KN$41,$KF$30:$KF$41,$KF66,$KK$30:$KK$41,$KK66,$KM$30:$KM$41,$KM66)</f>
        <v>0</v>
      </c>
      <c r="KO66" s="1219">
        <f>IF($KR66&gt;0,Заказ!$F$13,0)</f>
        <v>0</v>
      </c>
      <c r="KP66" s="1217">
        <f>IF($KR66&gt;0,Заказ!$C$11,0)</f>
        <v>0</v>
      </c>
      <c r="KQ66" s="1217">
        <f t="shared" si="126"/>
        <v>0</v>
      </c>
      <c r="KR66" s="1217">
        <f>SUMIFS($KR$30:$KR$41,$KF$30:$KF$41,$KF66,$KK$30:$KK$41,$KK66,$KM$30:$KM$41,$KM66)</f>
        <v>0</v>
      </c>
      <c r="KS66" s="1220" t="str">
        <f t="shared" si="135"/>
        <v>0:0:00</v>
      </c>
      <c r="KT66" s="1220" t="str">
        <f t="shared" si="136"/>
        <v>0:0:00</v>
      </c>
      <c r="KU66" s="1217"/>
      <c r="KV66" s="1217"/>
      <c r="KW66" s="1221">
        <f t="shared" si="127"/>
        <v>0</v>
      </c>
      <c r="KX66" s="1119">
        <f t="shared" si="142"/>
        <v>0</v>
      </c>
      <c r="KY66" s="1119">
        <f t="shared" si="137"/>
        <v>0</v>
      </c>
      <c r="KZ66" s="1222"/>
      <c r="LA66" s="1119"/>
      <c r="LB66" s="1119"/>
      <c r="LC66" s="1255"/>
      <c r="LD66" s="1255"/>
      <c r="LE66" s="1255"/>
      <c r="LF66" s="1221">
        <f t="shared" si="128"/>
        <v>0</v>
      </c>
      <c r="LG66" s="1119">
        <f t="shared" si="138"/>
        <v>0</v>
      </c>
      <c r="LH66" s="1119">
        <f t="shared" si="139"/>
        <v>0</v>
      </c>
      <c r="LI66" s="1222"/>
      <c r="LJ66" s="1222"/>
      <c r="LK66" s="1222"/>
      <c r="LL66" s="1223"/>
      <c r="LM66" s="1217"/>
      <c r="LN66" s="1222"/>
      <c r="LO66" s="1222"/>
      <c r="LP66" s="1222"/>
      <c r="LQ66" s="1222"/>
      <c r="LR66" s="1255"/>
      <c r="LS66" s="1255"/>
      <c r="LT66" s="1222"/>
      <c r="LU66" s="1224"/>
      <c r="LV66" s="1116" t="str">
        <f t="shared" si="140"/>
        <v>зак</v>
      </c>
      <c r="LW66" s="1211">
        <f t="shared" si="129"/>
        <v>0</v>
      </c>
    </row>
    <row r="67" spans="1:335" ht="24.75" customHeight="1" x14ac:dyDescent="0.2">
      <c r="A67" s="13">
        <f t="shared" si="162"/>
        <v>4</v>
      </c>
      <c r="B67" s="131">
        <v>8</v>
      </c>
      <c r="C67" s="106" t="str">
        <f>IF(B67&gt;0,LOOKUP($B67,Мат!$A$5:$A$71,Мат!$B$5:$B$71),"  ")</f>
        <v>Краска ролевая (желтая)</v>
      </c>
      <c r="D67" s="106"/>
      <c r="E67" s="842">
        <f t="shared" si="154"/>
        <v>12</v>
      </c>
      <c r="F67" s="139">
        <v>2</v>
      </c>
      <c r="G67" s="188">
        <f t="shared" si="155"/>
        <v>33</v>
      </c>
      <c r="H67" s="188">
        <f t="shared" si="156"/>
        <v>57.8</v>
      </c>
      <c r="I67" s="806">
        <f t="shared" ca="1" si="157"/>
        <v>29375</v>
      </c>
      <c r="J67" s="1072" t="str">
        <f t="shared" si="158"/>
        <v>СityLine</v>
      </c>
      <c r="K67" s="93">
        <v>2</v>
      </c>
      <c r="L67" s="93">
        <v>4</v>
      </c>
      <c r="M67" s="106">
        <f t="shared" si="159"/>
        <v>157</v>
      </c>
      <c r="N67" s="182">
        <f t="shared" ca="1" si="160"/>
        <v>1.7593380749999998</v>
      </c>
      <c r="O67" s="132">
        <f t="shared" ca="1" si="161"/>
        <v>5.2780142249999997</v>
      </c>
      <c r="P67" s="185"/>
      <c r="Q67" s="769">
        <v>6</v>
      </c>
      <c r="R67" s="2231" t="s">
        <v>164</v>
      </c>
      <c r="S67" s="2232"/>
      <c r="T67" s="2233"/>
      <c r="U67" s="161">
        <v>297</v>
      </c>
      <c r="V67" s="2221"/>
      <c r="W67" s="2224"/>
      <c r="X67" s="749"/>
      <c r="Y67" s="2228"/>
      <c r="AB67" s="80"/>
      <c r="AC67" s="80"/>
      <c r="AY67" s="1083">
        <v>2</v>
      </c>
      <c r="AZ67" s="1081" t="s">
        <v>768</v>
      </c>
      <c r="BA67" s="1083">
        <v>6</v>
      </c>
      <c r="BB67" s="1083">
        <v>8</v>
      </c>
      <c r="BC67" s="934">
        <v>0.53400000000000003</v>
      </c>
      <c r="BS67" s="2219"/>
      <c r="BT67" s="752" t="s">
        <v>691</v>
      </c>
      <c r="BU67" s="751">
        <v>232</v>
      </c>
      <c r="BV67" s="751">
        <v>312</v>
      </c>
      <c r="BW67" s="751">
        <v>278</v>
      </c>
      <c r="BX67" s="751">
        <v>279</v>
      </c>
      <c r="BY67" s="751">
        <v>350</v>
      </c>
      <c r="KC67" s="796"/>
      <c r="KD67" s="1217" t="str">
        <f>IF($KR67&gt;0,Заказ!$I$1,"del")</f>
        <v>del</v>
      </c>
      <c r="KE67" s="1217"/>
      <c r="KF67" s="1218" t="s">
        <v>684</v>
      </c>
      <c r="KG67" s="1217">
        <f>IF(AND($KF67="газетная",$KR67&gt;0),Заказ!$D$8,0)</f>
        <v>0</v>
      </c>
      <c r="KH67" s="1217"/>
      <c r="KI67" s="1217" t="str">
        <f>IF($KF$45="газетная",LOOKUP($KF67,$KF$30:$KF$41,$KI$30:$KI$41),0)</f>
        <v>СityLine</v>
      </c>
      <c r="KJ67" s="1217"/>
      <c r="KK67" s="1216">
        <v>62</v>
      </c>
      <c r="KL67" s="1216">
        <f t="shared" si="132"/>
        <v>0</v>
      </c>
      <c r="KM67" s="1216">
        <v>45</v>
      </c>
      <c r="KN67" s="1215">
        <f t="shared" si="133"/>
        <v>0</v>
      </c>
      <c r="KO67" s="1219">
        <f>IF($KR67&gt;0,Заказ!$F$13,0)</f>
        <v>0</v>
      </c>
      <c r="KP67" s="1217">
        <f>IF($KR67&gt;0,Заказ!$C$11,0)</f>
        <v>0</v>
      </c>
      <c r="KQ67" s="1217">
        <f>SUMIFS($KQ$30:$KQ$41,$KF$30:$KF$41,$KF67,$KK$30:$KK$41,$KK67,$KM$30:$KM$41,$KM67)</f>
        <v>0</v>
      </c>
      <c r="KR67" s="1217">
        <f t="shared" si="134"/>
        <v>0</v>
      </c>
      <c r="KS67" s="1220" t="str">
        <f t="shared" si="135"/>
        <v>0:0:00</v>
      </c>
      <c r="KT67" s="1220" t="str">
        <f t="shared" si="136"/>
        <v>0:0:00</v>
      </c>
      <c r="KU67" s="1217"/>
      <c r="KV67" s="1217"/>
      <c r="KW67" s="1221">
        <f t="shared" si="127"/>
        <v>0</v>
      </c>
      <c r="KX67" s="1119">
        <f t="shared" si="142"/>
        <v>0</v>
      </c>
      <c r="KY67" s="1119">
        <f t="shared" si="137"/>
        <v>0</v>
      </c>
      <c r="KZ67" s="1222"/>
      <c r="LA67" s="1119"/>
      <c r="LB67" s="1119"/>
      <c r="LC67" s="1255"/>
      <c r="LD67" s="1255"/>
      <c r="LE67" s="1255"/>
      <c r="LF67" s="1221">
        <f t="shared" si="128"/>
        <v>0</v>
      </c>
      <c r="LG67" s="1119">
        <f t="shared" si="138"/>
        <v>0</v>
      </c>
      <c r="LH67" s="1119">
        <f t="shared" si="139"/>
        <v>0</v>
      </c>
      <c r="LI67" s="1222"/>
      <c r="LJ67" s="1222"/>
      <c r="LK67" s="1222"/>
      <c r="LL67" s="1223"/>
      <c r="LM67" s="1217"/>
      <c r="LN67" s="1222"/>
      <c r="LO67" s="1222"/>
      <c r="LP67" s="1222"/>
      <c r="LQ67" s="1222"/>
      <c r="LR67" s="1255"/>
      <c r="LS67" s="1255"/>
      <c r="LT67" s="1222"/>
      <c r="LU67" s="1224"/>
      <c r="LV67" s="1116" t="str">
        <f t="shared" si="140"/>
        <v>зак</v>
      </c>
      <c r="LW67" s="1211">
        <f t="shared" si="129"/>
        <v>0</v>
      </c>
    </row>
    <row r="68" spans="1:335" ht="24.75" customHeight="1" x14ac:dyDescent="0.2">
      <c r="A68" s="13">
        <f t="shared" si="162"/>
        <v>5</v>
      </c>
      <c r="B68" s="131"/>
      <c r="C68" s="106" t="str">
        <f>IF(B68&gt;0,LOOKUP($B68,Мат!$A$5:$A$71,Мат!$B$5:$B$71),"  ")</f>
        <v xml:space="preserve">  </v>
      </c>
      <c r="D68" s="106"/>
      <c r="E68" s="842" t="str">
        <f t="shared" si="154"/>
        <v>Маш</v>
      </c>
      <c r="F68" s="139"/>
      <c r="G68" s="188">
        <f t="shared" si="155"/>
        <v>0</v>
      </c>
      <c r="H68" s="188">
        <f t="shared" si="156"/>
        <v>0</v>
      </c>
      <c r="I68" s="806">
        <f t="shared" si="157"/>
        <v>0</v>
      </c>
      <c r="J68" s="1072">
        <f t="shared" si="158"/>
        <v>0</v>
      </c>
      <c r="K68" s="93">
        <v>2</v>
      </c>
      <c r="L68" s="93"/>
      <c r="M68" s="106">
        <f t="shared" si="159"/>
        <v>0</v>
      </c>
      <c r="N68" s="182">
        <f t="shared" si="160"/>
        <v>0</v>
      </c>
      <c r="O68" s="132">
        <f t="shared" si="161"/>
        <v>0</v>
      </c>
      <c r="P68" s="185"/>
      <c r="Q68" s="769">
        <v>7</v>
      </c>
      <c r="R68" s="2231" t="s">
        <v>700</v>
      </c>
      <c r="S68" s="2232"/>
      <c r="T68" s="2233"/>
      <c r="U68" s="161">
        <v>167</v>
      </c>
      <c r="V68" s="2221"/>
      <c r="W68" s="2224"/>
      <c r="X68" s="749"/>
      <c r="Y68" s="2228"/>
      <c r="AB68" s="80"/>
      <c r="AC68" s="80"/>
      <c r="AY68" s="1083">
        <v>2</v>
      </c>
      <c r="AZ68" s="1083" t="s">
        <v>769</v>
      </c>
      <c r="BA68" s="1083">
        <v>6</v>
      </c>
      <c r="BB68" s="1083">
        <v>9</v>
      </c>
      <c r="BC68" s="934">
        <v>0.60099999999999998</v>
      </c>
      <c r="BS68" s="2219"/>
      <c r="BT68" s="752" t="s">
        <v>692</v>
      </c>
      <c r="BU68" s="751">
        <v>690</v>
      </c>
      <c r="BV68" s="751">
        <v>970</v>
      </c>
      <c r="BW68" s="751">
        <v>828</v>
      </c>
      <c r="BX68" s="751">
        <v>825</v>
      </c>
      <c r="BY68" s="751">
        <v>1030</v>
      </c>
      <c r="KC68" s="796"/>
      <c r="KD68" s="1217" t="str">
        <f>IF($KR68&gt;0,Заказ!$I$1,"del")</f>
        <v>del</v>
      </c>
      <c r="KE68" s="1217"/>
      <c r="KF68" s="1218" t="s">
        <v>684</v>
      </c>
      <c r="KG68" s="1217">
        <f>IF(AND($KF68="газетная",$KR68&gt;0),Заказ!$D$8,0)</f>
        <v>0</v>
      </c>
      <c r="KH68" s="1217"/>
      <c r="KI68" s="1217" t="str">
        <f t="shared" ref="KI68" si="163">IF($KF$45="газетная",LOOKUP($KF68,$KF$30:$KF$41,$KI$30:$KI$41),0)</f>
        <v>СityLine</v>
      </c>
      <c r="KJ68" s="1217"/>
      <c r="KK68" s="1216">
        <v>62</v>
      </c>
      <c r="KL68" s="1216">
        <f t="shared" si="132"/>
        <v>0</v>
      </c>
      <c r="KM68" s="1216">
        <v>48.8</v>
      </c>
      <c r="KN68" s="1215">
        <f t="shared" si="133"/>
        <v>0</v>
      </c>
      <c r="KO68" s="1219">
        <f>IF($KR68&gt;0,Заказ!$F$13,0)</f>
        <v>0</v>
      </c>
      <c r="KP68" s="1217">
        <f>IF($KR68&gt;0,Заказ!$C$11,0)</f>
        <v>0</v>
      </c>
      <c r="KQ68" s="1217">
        <f>SUMIFS($KQ$30:$KQ$41,$KF$30:$KF$41,$KF68,$KK$30:$KK$41,$KK68,$KM$30:$KM$41,$KM68)</f>
        <v>0</v>
      </c>
      <c r="KR68" s="1217">
        <f t="shared" si="134"/>
        <v>0</v>
      </c>
      <c r="KS68" s="1220" t="str">
        <f t="shared" si="135"/>
        <v>0:0:00</v>
      </c>
      <c r="KT68" s="1220" t="str">
        <f t="shared" si="136"/>
        <v>0:0:00</v>
      </c>
      <c r="KU68" s="1217"/>
      <c r="KV68" s="1217"/>
      <c r="KW68" s="1221">
        <f t="shared" si="127"/>
        <v>0</v>
      </c>
      <c r="KX68" s="1119">
        <f t="shared" si="142"/>
        <v>0</v>
      </c>
      <c r="KY68" s="1119">
        <f t="shared" si="137"/>
        <v>0</v>
      </c>
      <c r="KZ68" s="1222"/>
      <c r="LA68" s="1119"/>
      <c r="LB68" s="1119"/>
      <c r="LC68" s="1255"/>
      <c r="LD68" s="1255"/>
      <c r="LE68" s="1255"/>
      <c r="LF68" s="1221">
        <f t="shared" si="128"/>
        <v>0</v>
      </c>
      <c r="LG68" s="1119">
        <f t="shared" si="138"/>
        <v>0</v>
      </c>
      <c r="LH68" s="1119">
        <f t="shared" si="139"/>
        <v>0</v>
      </c>
      <c r="LI68" s="1222"/>
      <c r="LJ68" s="1222"/>
      <c r="LK68" s="1222"/>
      <c r="LL68" s="1223"/>
      <c r="LM68" s="1217"/>
      <c r="LN68" s="1222"/>
      <c r="LO68" s="1222"/>
      <c r="LP68" s="1222"/>
      <c r="LQ68" s="1222"/>
      <c r="LR68" s="1255"/>
      <c r="LS68" s="1255"/>
      <c r="LT68" s="1222"/>
      <c r="LU68" s="1224"/>
      <c r="LV68" s="1116" t="str">
        <f t="shared" si="140"/>
        <v>зак</v>
      </c>
      <c r="LW68" s="1211">
        <f t="shared" si="129"/>
        <v>0</v>
      </c>
    </row>
    <row r="69" spans="1:335" ht="24.75" customHeight="1" thickBot="1" x14ac:dyDescent="0.25">
      <c r="A69" s="13">
        <f t="shared" si="162"/>
        <v>5</v>
      </c>
      <c r="B69" s="131"/>
      <c r="C69" s="106" t="str">
        <f>IF(B69&gt;0,LOOKUP($B69,Мат!$A$5:$A$71,Мат!$B$5:$B$71),"  ")</f>
        <v xml:space="preserve">  </v>
      </c>
      <c r="D69" s="106"/>
      <c r="E69" s="842" t="str">
        <f t="shared" si="154"/>
        <v>Маш</v>
      </c>
      <c r="F69" s="139"/>
      <c r="G69" s="188">
        <f t="shared" ref="G69:G87" si="164">LOOKUP($F69,$E$44:$E$57,J$29:J$42)</f>
        <v>0</v>
      </c>
      <c r="H69" s="188">
        <f t="shared" ref="H69:H87" si="165">LOOKUP($F69,$E$44:$E$57,K$29:K$42)</f>
        <v>0</v>
      </c>
      <c r="I69" s="806">
        <f t="shared" si="157"/>
        <v>0</v>
      </c>
      <c r="J69" s="1072">
        <f t="shared" si="158"/>
        <v>0</v>
      </c>
      <c r="K69" s="93">
        <v>2</v>
      </c>
      <c r="L69" s="93"/>
      <c r="M69" s="106">
        <f t="shared" si="159"/>
        <v>0</v>
      </c>
      <c r="N69" s="182">
        <f t="shared" ref="N69:N87" si="166">G69*H69*I69*K69/10000000*M69/1000</f>
        <v>0</v>
      </c>
      <c r="O69" s="132">
        <f t="shared" ref="O69:O87" si="167">IF(B68=B69,O68+N69,N69)</f>
        <v>0</v>
      </c>
      <c r="P69" s="185"/>
      <c r="Q69" s="774">
        <v>8</v>
      </c>
      <c r="R69" s="2234" t="s">
        <v>701</v>
      </c>
      <c r="S69" s="2235"/>
      <c r="T69" s="2236"/>
      <c r="U69" s="186">
        <v>241</v>
      </c>
      <c r="V69" s="2226"/>
      <c r="W69" s="2227"/>
      <c r="X69" s="749"/>
      <c r="Y69" s="2228"/>
      <c r="AB69" s="80"/>
      <c r="AC69" s="80"/>
      <c r="AY69" s="1083">
        <v>2</v>
      </c>
      <c r="AZ69" s="1083" t="s">
        <v>844</v>
      </c>
      <c r="BA69" s="1083">
        <v>8</v>
      </c>
      <c r="BB69" s="1083">
        <v>10</v>
      </c>
      <c r="BC69" s="1082">
        <v>0.55000000000000004</v>
      </c>
      <c r="BS69" s="2219"/>
      <c r="BT69" s="752" t="s">
        <v>693</v>
      </c>
      <c r="BU69" s="751">
        <v>60</v>
      </c>
      <c r="BV69" s="751">
        <v>84</v>
      </c>
      <c r="BW69" s="751">
        <v>72</v>
      </c>
      <c r="BX69" s="751">
        <v>72</v>
      </c>
      <c r="BY69" s="751">
        <v>84</v>
      </c>
    </row>
    <row r="70" spans="1:335" ht="24.75" customHeight="1" x14ac:dyDescent="0.2">
      <c r="A70" s="13">
        <f t="shared" si="162"/>
        <v>5</v>
      </c>
      <c r="B70" s="131"/>
      <c r="C70" s="106" t="str">
        <f>IF(B70&gt;0,LOOKUP($B70,Мат!$A$5:$A$71,Мат!$B$5:$B$71),"  ")</f>
        <v xml:space="preserve">  </v>
      </c>
      <c r="D70" s="106"/>
      <c r="E70" s="842" t="str">
        <f t="shared" si="154"/>
        <v>Маш</v>
      </c>
      <c r="F70" s="139"/>
      <c r="G70" s="188">
        <f t="shared" si="164"/>
        <v>0</v>
      </c>
      <c r="H70" s="188">
        <f t="shared" si="165"/>
        <v>0</v>
      </c>
      <c r="I70" s="806">
        <f t="shared" si="157"/>
        <v>0</v>
      </c>
      <c r="J70" s="1072">
        <f t="shared" si="158"/>
        <v>0</v>
      </c>
      <c r="K70" s="93">
        <v>2</v>
      </c>
      <c r="L70" s="93"/>
      <c r="M70" s="106">
        <f t="shared" si="159"/>
        <v>0</v>
      </c>
      <c r="N70" s="182">
        <f t="shared" si="166"/>
        <v>0</v>
      </c>
      <c r="O70" s="132">
        <f t="shared" si="167"/>
        <v>0</v>
      </c>
      <c r="P70" s="185"/>
      <c r="Q70" s="775" t="s">
        <v>703</v>
      </c>
      <c r="R70" s="187"/>
      <c r="S70" s="187"/>
      <c r="T70" s="187"/>
      <c r="U70" s="187"/>
      <c r="V70" s="187"/>
      <c r="W70" s="187"/>
      <c r="X70" s="749"/>
      <c r="Y70" s="12"/>
      <c r="AB70" s="80"/>
      <c r="AC70" s="80"/>
      <c r="AY70" s="1083">
        <v>2</v>
      </c>
      <c r="AZ70" s="1083" t="s">
        <v>845</v>
      </c>
      <c r="BA70" s="1083">
        <v>8</v>
      </c>
      <c r="BB70" s="1083">
        <v>11</v>
      </c>
      <c r="BC70" s="1082">
        <v>0.61699999999999999</v>
      </c>
      <c r="BS70" s="2219" t="s">
        <v>694</v>
      </c>
      <c r="BT70" s="752" t="s">
        <v>163</v>
      </c>
      <c r="BU70" s="751">
        <v>33</v>
      </c>
      <c r="BV70" s="751">
        <v>45</v>
      </c>
      <c r="BW70" s="751">
        <v>40</v>
      </c>
      <c r="BX70" s="751">
        <v>40</v>
      </c>
      <c r="BY70" s="751">
        <v>49</v>
      </c>
    </row>
    <row r="71" spans="1:335" ht="24.75" customHeight="1" x14ac:dyDescent="0.2">
      <c r="A71" s="13">
        <f t="shared" si="162"/>
        <v>5</v>
      </c>
      <c r="B71" s="131"/>
      <c r="C71" s="106" t="str">
        <f>IF(B71&gt;0,LOOKUP($B71,Мат!$A$5:$A$71,Мат!$B$5:$B$71),"  ")</f>
        <v xml:space="preserve">  </v>
      </c>
      <c r="D71" s="106"/>
      <c r="E71" s="842" t="str">
        <f t="shared" si="154"/>
        <v>Маш</v>
      </c>
      <c r="F71" s="139"/>
      <c r="G71" s="188">
        <f t="shared" si="164"/>
        <v>0</v>
      </c>
      <c r="H71" s="188">
        <f t="shared" si="165"/>
        <v>0</v>
      </c>
      <c r="I71" s="806">
        <f t="shared" si="157"/>
        <v>0</v>
      </c>
      <c r="J71" s="1072">
        <f t="shared" si="158"/>
        <v>0</v>
      </c>
      <c r="K71" s="93">
        <v>2</v>
      </c>
      <c r="L71" s="93"/>
      <c r="M71" s="106">
        <f t="shared" si="159"/>
        <v>0</v>
      </c>
      <c r="N71" s="182">
        <f t="shared" si="166"/>
        <v>0</v>
      </c>
      <c r="O71" s="132">
        <f t="shared" si="167"/>
        <v>0</v>
      </c>
      <c r="P71" s="185"/>
      <c r="Q71" s="757"/>
      <c r="R71" s="758"/>
      <c r="S71" s="758"/>
      <c r="T71" s="758"/>
      <c r="U71" s="155"/>
      <c r="V71" s="760"/>
      <c r="W71" s="155"/>
      <c r="X71" s="749"/>
      <c r="AB71" s="80"/>
      <c r="AC71" s="80"/>
      <c r="AY71" s="1083">
        <v>2</v>
      </c>
      <c r="AZ71" s="1083" t="s">
        <v>846</v>
      </c>
      <c r="BA71" s="1083">
        <v>8</v>
      </c>
      <c r="BB71" s="1083">
        <v>12</v>
      </c>
      <c r="BC71" s="1082">
        <v>0.68400000000000005</v>
      </c>
      <c r="BS71" s="2219"/>
      <c r="BT71" s="752" t="s">
        <v>164</v>
      </c>
      <c r="BU71" s="751">
        <v>65</v>
      </c>
      <c r="BV71" s="751">
        <v>88</v>
      </c>
      <c r="BW71" s="751">
        <v>78</v>
      </c>
      <c r="BX71" s="751">
        <v>80</v>
      </c>
      <c r="BY71" s="751">
        <v>96</v>
      </c>
    </row>
    <row r="72" spans="1:335" ht="24.75" customHeight="1" x14ac:dyDescent="0.2">
      <c r="A72" s="13">
        <f t="shared" si="162"/>
        <v>5</v>
      </c>
      <c r="B72" s="131"/>
      <c r="C72" s="106" t="str">
        <f>IF(B72&gt;0,LOOKUP($B72,Мат!$A$5:$A$71,Мат!$B$5:$B$71),"  ")</f>
        <v xml:space="preserve">  </v>
      </c>
      <c r="D72" s="106"/>
      <c r="E72" s="842" t="str">
        <f t="shared" si="154"/>
        <v>Маш</v>
      </c>
      <c r="F72" s="139"/>
      <c r="G72" s="188">
        <f t="shared" si="164"/>
        <v>0</v>
      </c>
      <c r="H72" s="188">
        <f t="shared" si="165"/>
        <v>0</v>
      </c>
      <c r="I72" s="806">
        <f t="shared" si="157"/>
        <v>0</v>
      </c>
      <c r="J72" s="1072">
        <f t="shared" si="158"/>
        <v>0</v>
      </c>
      <c r="K72" s="93">
        <v>2</v>
      </c>
      <c r="L72" s="93"/>
      <c r="M72" s="106">
        <f t="shared" si="159"/>
        <v>0</v>
      </c>
      <c r="N72" s="182">
        <f t="shared" si="166"/>
        <v>0</v>
      </c>
      <c r="O72" s="132">
        <f t="shared" si="167"/>
        <v>0</v>
      </c>
      <c r="P72" s="185"/>
      <c r="Q72" s="757"/>
      <c r="R72" s="758"/>
      <c r="S72" s="758"/>
      <c r="T72" s="758"/>
      <c r="U72" s="155"/>
      <c r="V72" s="760"/>
      <c r="W72" s="155"/>
      <c r="X72" s="749"/>
      <c r="AB72" s="80"/>
      <c r="AC72" s="80"/>
      <c r="AY72" s="1083">
        <v>2</v>
      </c>
      <c r="AZ72" s="1083" t="s">
        <v>847</v>
      </c>
      <c r="BA72" s="1083">
        <v>8</v>
      </c>
      <c r="BB72" s="1083">
        <v>13</v>
      </c>
      <c r="BC72" s="1082">
        <v>0.751</v>
      </c>
      <c r="BS72" s="2219"/>
      <c r="BT72" s="752" t="s">
        <v>695</v>
      </c>
      <c r="BU72" s="751">
        <v>227</v>
      </c>
      <c r="BV72" s="751">
        <v>306</v>
      </c>
      <c r="BW72" s="751">
        <v>272</v>
      </c>
      <c r="BX72" s="751">
        <v>279</v>
      </c>
      <c r="BY72" s="751">
        <v>334</v>
      </c>
    </row>
    <row r="73" spans="1:335" ht="24.75" customHeight="1" x14ac:dyDescent="0.2">
      <c r="A73" s="13">
        <f t="shared" si="162"/>
        <v>5</v>
      </c>
      <c r="B73" s="131"/>
      <c r="C73" s="106" t="str">
        <f>IF(B73&gt;0,LOOKUP($B73,Мат!$A$5:$A$71,Мат!$B$5:$B$71),"  ")</f>
        <v xml:space="preserve">  </v>
      </c>
      <c r="D73" s="106"/>
      <c r="E73" s="842" t="str">
        <f t="shared" si="154"/>
        <v>Маш</v>
      </c>
      <c r="F73" s="139"/>
      <c r="G73" s="188">
        <f t="shared" si="164"/>
        <v>0</v>
      </c>
      <c r="H73" s="188">
        <f t="shared" si="165"/>
        <v>0</v>
      </c>
      <c r="I73" s="806">
        <f t="shared" si="157"/>
        <v>0</v>
      </c>
      <c r="J73" s="1072">
        <f t="shared" si="158"/>
        <v>0</v>
      </c>
      <c r="K73" s="93">
        <v>2</v>
      </c>
      <c r="L73" s="93"/>
      <c r="M73" s="106">
        <f t="shared" si="159"/>
        <v>0</v>
      </c>
      <c r="N73" s="182">
        <f t="shared" si="166"/>
        <v>0</v>
      </c>
      <c r="O73" s="132">
        <f t="shared" si="167"/>
        <v>0</v>
      </c>
      <c r="P73" s="185"/>
      <c r="Q73" s="757"/>
      <c r="R73" s="758"/>
      <c r="S73" s="758"/>
      <c r="T73" s="758"/>
      <c r="U73" s="155"/>
      <c r="V73" s="760"/>
      <c r="W73" s="155"/>
      <c r="X73" s="761"/>
      <c r="AB73" s="80"/>
      <c r="AC73" s="80"/>
      <c r="AY73" s="1083">
        <v>2</v>
      </c>
      <c r="AZ73" s="1083" t="s">
        <v>848</v>
      </c>
      <c r="BA73" s="1083">
        <v>8</v>
      </c>
      <c r="BB73" s="1083">
        <v>14</v>
      </c>
      <c r="BC73" s="1082">
        <v>0.81799999999999995</v>
      </c>
      <c r="BS73" s="751" t="s">
        <v>463</v>
      </c>
      <c r="BT73" s="752" t="s">
        <v>696</v>
      </c>
      <c r="BU73" s="751">
        <v>20</v>
      </c>
      <c r="BV73" s="751">
        <v>27</v>
      </c>
      <c r="BW73" s="751">
        <v>24</v>
      </c>
      <c r="BX73" s="751">
        <v>25</v>
      </c>
      <c r="BY73" s="751">
        <v>29</v>
      </c>
    </row>
    <row r="74" spans="1:335" ht="24.75" customHeight="1" x14ac:dyDescent="0.2">
      <c r="A74" s="13">
        <f t="shared" si="162"/>
        <v>5</v>
      </c>
      <c r="B74" s="131"/>
      <c r="C74" s="106" t="str">
        <f>IF(B74&gt;0,LOOKUP($B74,Мат!$A$5:$A$71,Мат!$B$5:$B$71),"  ")</f>
        <v xml:space="preserve">  </v>
      </c>
      <c r="D74" s="106"/>
      <c r="E74" s="842" t="str">
        <f t="shared" si="154"/>
        <v>Маш</v>
      </c>
      <c r="F74" s="139"/>
      <c r="G74" s="188">
        <f t="shared" si="164"/>
        <v>0</v>
      </c>
      <c r="H74" s="188">
        <f t="shared" si="165"/>
        <v>0</v>
      </c>
      <c r="I74" s="806">
        <f t="shared" si="157"/>
        <v>0</v>
      </c>
      <c r="J74" s="1072">
        <f t="shared" si="158"/>
        <v>0</v>
      </c>
      <c r="K74" s="93">
        <v>2</v>
      </c>
      <c r="L74" s="93"/>
      <c r="M74" s="106">
        <f t="shared" si="159"/>
        <v>0</v>
      </c>
      <c r="N74" s="182">
        <f t="shared" si="166"/>
        <v>0</v>
      </c>
      <c r="O74" s="132">
        <f t="shared" si="167"/>
        <v>0</v>
      </c>
      <c r="P74" s="185"/>
      <c r="Q74" s="757"/>
      <c r="R74" s="758"/>
      <c r="S74" s="758"/>
      <c r="T74" s="758"/>
      <c r="U74" s="155"/>
      <c r="V74" s="760"/>
      <c r="W74" s="155"/>
      <c r="X74" s="761"/>
      <c r="AB74" s="80"/>
      <c r="AC74" s="80"/>
      <c r="AY74" s="1083">
        <v>2</v>
      </c>
      <c r="AZ74" s="1083" t="s">
        <v>849</v>
      </c>
      <c r="BA74" s="1083">
        <v>8</v>
      </c>
      <c r="BB74" s="1083">
        <v>16</v>
      </c>
      <c r="BC74" s="1082">
        <v>0.83399999999999996</v>
      </c>
    </row>
    <row r="75" spans="1:335" ht="24.75" customHeight="1" x14ac:dyDescent="0.2">
      <c r="A75" s="13">
        <f t="shared" si="162"/>
        <v>5</v>
      </c>
      <c r="B75" s="131"/>
      <c r="C75" s="106" t="str">
        <f>IF(B75&gt;0,LOOKUP($B75,Мат!$A$5:$A$71,Мат!$B$5:$B$71),"  ")</f>
        <v xml:space="preserve">  </v>
      </c>
      <c r="D75" s="106"/>
      <c r="E75" s="842" t="str">
        <f t="shared" ref="E75:E76" si="168">LOOKUP($F75,$E$44:$E$57,B$44:B$57)</f>
        <v>Маш</v>
      </c>
      <c r="F75" s="139"/>
      <c r="G75" s="188">
        <f t="shared" si="164"/>
        <v>0</v>
      </c>
      <c r="H75" s="188">
        <f t="shared" si="165"/>
        <v>0</v>
      </c>
      <c r="I75" s="806">
        <f t="shared" si="157"/>
        <v>0</v>
      </c>
      <c r="J75" s="1072">
        <f t="shared" si="158"/>
        <v>0</v>
      </c>
      <c r="K75" s="93">
        <v>2</v>
      </c>
      <c r="L75" s="93"/>
      <c r="M75" s="106">
        <f t="shared" si="159"/>
        <v>0</v>
      </c>
      <c r="N75" s="182">
        <f t="shared" si="166"/>
        <v>0</v>
      </c>
      <c r="O75" s="132">
        <f t="shared" si="167"/>
        <v>0</v>
      </c>
      <c r="P75" s="185"/>
      <c r="Q75" s="757"/>
      <c r="R75" s="758"/>
      <c r="S75" s="758"/>
      <c r="T75" s="758"/>
      <c r="U75" s="155"/>
      <c r="V75" s="760"/>
      <c r="W75" s="155"/>
      <c r="X75" s="761"/>
      <c r="AB75" s="80"/>
      <c r="AC75" s="80"/>
      <c r="AY75" s="1083">
        <v>2</v>
      </c>
      <c r="AZ75" s="1083" t="s">
        <v>849</v>
      </c>
      <c r="BA75" s="1083">
        <v>8</v>
      </c>
      <c r="BB75" s="1083">
        <v>16</v>
      </c>
      <c r="BC75" s="1082">
        <v>0.83399999999999996</v>
      </c>
    </row>
    <row r="76" spans="1:335" ht="24.75" customHeight="1" x14ac:dyDescent="0.2">
      <c r="A76" s="13">
        <f t="shared" si="162"/>
        <v>5</v>
      </c>
      <c r="B76" s="131"/>
      <c r="C76" s="106" t="str">
        <f>IF(B76&gt;0,LOOKUP($B76,Мат!$A$5:$A$71,Мат!$B$5:$B$71),"  ")</f>
        <v xml:space="preserve">  </v>
      </c>
      <c r="D76" s="106"/>
      <c r="E76" s="842" t="str">
        <f t="shared" si="168"/>
        <v>Маш</v>
      </c>
      <c r="F76" s="139"/>
      <c r="G76" s="188">
        <f t="shared" si="164"/>
        <v>0</v>
      </c>
      <c r="H76" s="188">
        <f t="shared" si="165"/>
        <v>0</v>
      </c>
      <c r="I76" s="806">
        <f t="shared" si="157"/>
        <v>0</v>
      </c>
      <c r="J76" s="1072">
        <f t="shared" si="158"/>
        <v>0</v>
      </c>
      <c r="K76" s="93">
        <v>2</v>
      </c>
      <c r="L76" s="93"/>
      <c r="M76" s="106">
        <f t="shared" si="159"/>
        <v>0</v>
      </c>
      <c r="N76" s="182">
        <f t="shared" si="166"/>
        <v>0</v>
      </c>
      <c r="O76" s="132">
        <f t="shared" si="167"/>
        <v>0</v>
      </c>
      <c r="P76" s="185"/>
      <c r="Q76" s="757"/>
      <c r="R76" s="758"/>
      <c r="S76" s="758"/>
      <c r="T76" s="758"/>
      <c r="U76" s="155"/>
      <c r="V76" s="760"/>
      <c r="W76" s="155"/>
      <c r="X76" s="761"/>
      <c r="AB76" s="80"/>
      <c r="AC76" s="80"/>
      <c r="AY76" s="1083">
        <v>2</v>
      </c>
      <c r="AZ76" s="1083" t="s">
        <v>849</v>
      </c>
      <c r="BA76" s="1083">
        <v>8</v>
      </c>
      <c r="BB76" s="1083">
        <v>16</v>
      </c>
      <c r="BC76" s="1082">
        <v>0.83399999999999996</v>
      </c>
    </row>
    <row r="77" spans="1:335" ht="24.75" customHeight="1" x14ac:dyDescent="0.2">
      <c r="A77" s="13">
        <f t="shared" si="162"/>
        <v>5</v>
      </c>
      <c r="B77" s="131"/>
      <c r="C77" s="106" t="str">
        <f>IF(B77&gt;0,LOOKUP($B77,Мат!$A$5:$A$71,Мат!$B$5:$B$71),"  ")</f>
        <v xml:space="preserve">  </v>
      </c>
      <c r="D77" s="106"/>
      <c r="E77" s="842" t="str">
        <f t="shared" ref="E77:E84" si="169">LOOKUP($F77,$E$44:$E$57,B$44:B$57)</f>
        <v>Маш</v>
      </c>
      <c r="F77" s="139"/>
      <c r="G77" s="188">
        <f t="shared" si="164"/>
        <v>0</v>
      </c>
      <c r="H77" s="188">
        <f t="shared" si="165"/>
        <v>0</v>
      </c>
      <c r="I77" s="806">
        <f t="shared" si="157"/>
        <v>0</v>
      </c>
      <c r="J77" s="1072">
        <f t="shared" si="158"/>
        <v>0</v>
      </c>
      <c r="K77" s="93">
        <v>2</v>
      </c>
      <c r="L77" s="93"/>
      <c r="M77" s="106">
        <f t="shared" si="159"/>
        <v>0</v>
      </c>
      <c r="N77" s="182">
        <f t="shared" si="166"/>
        <v>0</v>
      </c>
      <c r="O77" s="132">
        <f t="shared" si="167"/>
        <v>0</v>
      </c>
      <c r="P77" s="185"/>
      <c r="Q77" s="757"/>
      <c r="R77" s="758"/>
      <c r="S77" s="758"/>
      <c r="T77" s="758"/>
      <c r="U77" s="155"/>
      <c r="V77" s="760"/>
      <c r="W77" s="155"/>
      <c r="X77" s="761"/>
      <c r="AB77" s="80"/>
      <c r="AC77" s="80"/>
      <c r="AY77" s="1083">
        <v>2</v>
      </c>
      <c r="AZ77" s="1083" t="s">
        <v>849</v>
      </c>
      <c r="BA77" s="1083">
        <v>8</v>
      </c>
      <c r="BB77" s="1083">
        <v>16</v>
      </c>
      <c r="BC77" s="1082">
        <v>0.83399999999999996</v>
      </c>
    </row>
    <row r="78" spans="1:335" ht="24.75" customHeight="1" x14ac:dyDescent="0.2">
      <c r="A78" s="13">
        <f t="shared" si="162"/>
        <v>5</v>
      </c>
      <c r="B78" s="131"/>
      <c r="C78" s="106" t="str">
        <f>IF(B78&gt;0,LOOKUP($B78,Мат!$A$5:$A$71,Мат!$B$5:$B$71),"  ")</f>
        <v xml:space="preserve">  </v>
      </c>
      <c r="D78" s="106"/>
      <c r="E78" s="842" t="str">
        <f t="shared" si="169"/>
        <v>Маш</v>
      </c>
      <c r="F78" s="139"/>
      <c r="G78" s="188">
        <f t="shared" si="164"/>
        <v>0</v>
      </c>
      <c r="H78" s="188">
        <f t="shared" si="165"/>
        <v>0</v>
      </c>
      <c r="I78" s="806">
        <f t="shared" si="157"/>
        <v>0</v>
      </c>
      <c r="J78" s="1072">
        <f t="shared" si="158"/>
        <v>0</v>
      </c>
      <c r="K78" s="93">
        <v>2</v>
      </c>
      <c r="L78" s="93"/>
      <c r="M78" s="106">
        <f t="shared" si="159"/>
        <v>0</v>
      </c>
      <c r="N78" s="182">
        <f t="shared" si="166"/>
        <v>0</v>
      </c>
      <c r="O78" s="132">
        <f t="shared" si="167"/>
        <v>0</v>
      </c>
      <c r="P78" s="185"/>
      <c r="Q78" s="757"/>
      <c r="R78" s="758"/>
      <c r="S78" s="758"/>
      <c r="T78" s="758"/>
      <c r="U78" s="155"/>
      <c r="V78" s="760"/>
      <c r="W78" s="155"/>
      <c r="X78" s="761"/>
      <c r="AB78" s="80"/>
      <c r="AC78" s="80"/>
      <c r="AY78" s="1083">
        <v>2</v>
      </c>
      <c r="AZ78" s="1083" t="s">
        <v>849</v>
      </c>
      <c r="BA78" s="1083">
        <v>8</v>
      </c>
      <c r="BB78" s="1083">
        <v>16</v>
      </c>
      <c r="BC78" s="1082">
        <v>0.83399999999999996</v>
      </c>
    </row>
    <row r="79" spans="1:335" ht="24.75" customHeight="1" x14ac:dyDescent="0.2">
      <c r="A79" s="13">
        <f t="shared" si="162"/>
        <v>5</v>
      </c>
      <c r="B79" s="131"/>
      <c r="C79" s="106" t="str">
        <f>IF(B79&gt;0,LOOKUP($B79,Мат!$A$5:$A$71,Мат!$B$5:$B$71),"  ")</f>
        <v xml:space="preserve">  </v>
      </c>
      <c r="D79" s="106"/>
      <c r="E79" s="842" t="str">
        <f t="shared" si="169"/>
        <v>Маш</v>
      </c>
      <c r="F79" s="139"/>
      <c r="G79" s="188">
        <f t="shared" si="164"/>
        <v>0</v>
      </c>
      <c r="H79" s="188">
        <f t="shared" si="165"/>
        <v>0</v>
      </c>
      <c r="I79" s="806">
        <f t="shared" si="157"/>
        <v>0</v>
      </c>
      <c r="J79" s="1072">
        <f t="shared" si="158"/>
        <v>0</v>
      </c>
      <c r="K79" s="93">
        <v>2</v>
      </c>
      <c r="L79" s="93"/>
      <c r="M79" s="106">
        <f t="shared" si="159"/>
        <v>0</v>
      </c>
      <c r="N79" s="182">
        <f t="shared" si="166"/>
        <v>0</v>
      </c>
      <c r="O79" s="132">
        <f t="shared" si="167"/>
        <v>0</v>
      </c>
      <c r="P79" s="185"/>
      <c r="Q79" s="757"/>
      <c r="R79" s="758"/>
      <c r="S79" s="758"/>
      <c r="T79" s="758"/>
      <c r="U79" s="155"/>
      <c r="V79" s="760"/>
      <c r="W79" s="155"/>
      <c r="X79" s="761"/>
      <c r="AB79" s="80"/>
      <c r="AC79" s="80"/>
      <c r="AY79" s="1083">
        <v>2</v>
      </c>
      <c r="AZ79" s="1083" t="s">
        <v>849</v>
      </c>
      <c r="BA79" s="1083">
        <v>8</v>
      </c>
      <c r="BB79" s="1083">
        <v>16</v>
      </c>
      <c r="BC79" s="1082">
        <v>0.83399999999999996</v>
      </c>
    </row>
    <row r="80" spans="1:335" ht="24.75" customHeight="1" x14ac:dyDescent="0.2">
      <c r="A80" s="13">
        <f t="shared" si="162"/>
        <v>5</v>
      </c>
      <c r="B80" s="131"/>
      <c r="C80" s="106" t="str">
        <f>IF(B80&gt;0,LOOKUP($B80,Мат!$A$5:$A$71,Мат!$B$5:$B$71),"  ")</f>
        <v xml:space="preserve">  </v>
      </c>
      <c r="D80" s="106"/>
      <c r="E80" s="842" t="str">
        <f t="shared" si="169"/>
        <v>Маш</v>
      </c>
      <c r="F80" s="139"/>
      <c r="G80" s="188">
        <f t="shared" si="164"/>
        <v>0</v>
      </c>
      <c r="H80" s="188">
        <f t="shared" si="165"/>
        <v>0</v>
      </c>
      <c r="I80" s="806">
        <f t="shared" si="157"/>
        <v>0</v>
      </c>
      <c r="J80" s="1072">
        <f t="shared" si="158"/>
        <v>0</v>
      </c>
      <c r="K80" s="93">
        <v>2</v>
      </c>
      <c r="L80" s="93"/>
      <c r="M80" s="106">
        <f t="shared" si="159"/>
        <v>0</v>
      </c>
      <c r="N80" s="182">
        <f t="shared" si="166"/>
        <v>0</v>
      </c>
      <c r="O80" s="132">
        <f t="shared" si="167"/>
        <v>0</v>
      </c>
      <c r="P80" s="185"/>
      <c r="Q80" s="757"/>
      <c r="R80" s="758"/>
      <c r="S80" s="758"/>
      <c r="T80" s="758"/>
      <c r="U80" s="155"/>
      <c r="V80" s="760"/>
      <c r="W80" s="155"/>
      <c r="X80" s="761"/>
      <c r="AB80" s="80"/>
      <c r="AC80" s="80"/>
      <c r="AY80" s="1083">
        <v>2</v>
      </c>
      <c r="AZ80" s="1083" t="s">
        <v>849</v>
      </c>
      <c r="BA80" s="1083">
        <v>8</v>
      </c>
      <c r="BB80" s="1083">
        <v>16</v>
      </c>
      <c r="BC80" s="1082">
        <v>0.83399999999999996</v>
      </c>
    </row>
    <row r="81" spans="1:55" ht="24.75" customHeight="1" x14ac:dyDescent="0.2">
      <c r="A81" s="13">
        <f t="shared" si="162"/>
        <v>5</v>
      </c>
      <c r="B81" s="131"/>
      <c r="C81" s="106" t="str">
        <f>IF(B81&gt;0,LOOKUP($B81,Мат!$A$5:$A$71,Мат!$B$5:$B$71),"  ")</f>
        <v xml:space="preserve">  </v>
      </c>
      <c r="D81" s="106"/>
      <c r="E81" s="842" t="str">
        <f t="shared" ref="E81" si="170">LOOKUP($F81,$E$44:$E$57,B$44:B$57)</f>
        <v>Маш</v>
      </c>
      <c r="F81" s="139"/>
      <c r="G81" s="188">
        <f t="shared" si="164"/>
        <v>0</v>
      </c>
      <c r="H81" s="188">
        <f t="shared" si="165"/>
        <v>0</v>
      </c>
      <c r="I81" s="806">
        <f t="shared" si="157"/>
        <v>0</v>
      </c>
      <c r="J81" s="1072">
        <f t="shared" si="158"/>
        <v>0</v>
      </c>
      <c r="K81" s="93">
        <v>2</v>
      </c>
      <c r="L81" s="93"/>
      <c r="M81" s="106">
        <f t="shared" si="159"/>
        <v>0</v>
      </c>
      <c r="N81" s="182">
        <f t="shared" si="166"/>
        <v>0</v>
      </c>
      <c r="O81" s="132">
        <f t="shared" si="167"/>
        <v>0</v>
      </c>
      <c r="P81" s="185"/>
      <c r="Q81" s="757"/>
      <c r="R81" s="758"/>
      <c r="S81" s="758"/>
      <c r="T81" s="758"/>
      <c r="U81" s="155"/>
      <c r="V81" s="760"/>
      <c r="W81" s="155"/>
      <c r="X81" s="761"/>
      <c r="AB81" s="80"/>
      <c r="AC81" s="80"/>
      <c r="AY81" s="1083">
        <v>2</v>
      </c>
      <c r="AZ81" s="1083" t="s">
        <v>849</v>
      </c>
      <c r="BA81" s="1083">
        <v>8</v>
      </c>
      <c r="BB81" s="1083">
        <v>16</v>
      </c>
      <c r="BC81" s="1082">
        <v>0.83399999999999996</v>
      </c>
    </row>
    <row r="82" spans="1:55" ht="24.75" customHeight="1" x14ac:dyDescent="0.2">
      <c r="A82" s="13">
        <f t="shared" si="162"/>
        <v>5</v>
      </c>
      <c r="B82" s="131"/>
      <c r="C82" s="106" t="str">
        <f>IF(B82&gt;0,LOOKUP($B82,Мат!$A$5:$A$71,Мат!$B$5:$B$71),"  ")</f>
        <v xml:space="preserve">  </v>
      </c>
      <c r="D82" s="106"/>
      <c r="E82" s="842" t="str">
        <f t="shared" si="169"/>
        <v>Маш</v>
      </c>
      <c r="F82" s="139"/>
      <c r="G82" s="188">
        <f t="shared" si="164"/>
        <v>0</v>
      </c>
      <c r="H82" s="188">
        <f t="shared" si="165"/>
        <v>0</v>
      </c>
      <c r="I82" s="806">
        <f t="shared" si="157"/>
        <v>0</v>
      </c>
      <c r="J82" s="1072">
        <f t="shared" si="158"/>
        <v>0</v>
      </c>
      <c r="K82" s="93">
        <v>2</v>
      </c>
      <c r="L82" s="93"/>
      <c r="M82" s="106">
        <f t="shared" si="159"/>
        <v>0</v>
      </c>
      <c r="N82" s="182">
        <f t="shared" si="166"/>
        <v>0</v>
      </c>
      <c r="O82" s="132">
        <f t="shared" si="167"/>
        <v>0</v>
      </c>
      <c r="P82" s="185"/>
      <c r="Q82" s="757"/>
      <c r="R82" s="758"/>
      <c r="S82" s="758"/>
      <c r="T82" s="758"/>
      <c r="U82" s="155"/>
      <c r="V82" s="760"/>
      <c r="W82" s="155"/>
      <c r="X82" s="761"/>
      <c r="AB82" s="80"/>
      <c r="AC82" s="80"/>
      <c r="AY82" s="1083">
        <v>2</v>
      </c>
      <c r="AZ82" s="1083" t="s">
        <v>849</v>
      </c>
      <c r="BA82" s="1083">
        <v>8</v>
      </c>
      <c r="BB82" s="1083">
        <v>16</v>
      </c>
      <c r="BC82" s="1082">
        <v>0.83399999999999996</v>
      </c>
    </row>
    <row r="83" spans="1:55" ht="24.75" customHeight="1" x14ac:dyDescent="0.2">
      <c r="A83" s="13">
        <f t="shared" si="162"/>
        <v>5</v>
      </c>
      <c r="B83" s="131"/>
      <c r="C83" s="106" t="str">
        <f>IF(B83&gt;0,LOOKUP($B83,Мат!$A$5:$A$71,Мат!$B$5:$B$71),"  ")</f>
        <v xml:space="preserve">  </v>
      </c>
      <c r="D83" s="106"/>
      <c r="E83" s="842" t="str">
        <f t="shared" si="169"/>
        <v>Маш</v>
      </c>
      <c r="F83" s="139"/>
      <c r="G83" s="188">
        <f t="shared" si="164"/>
        <v>0</v>
      </c>
      <c r="H83" s="188">
        <f t="shared" si="165"/>
        <v>0</v>
      </c>
      <c r="I83" s="806">
        <f t="shared" si="157"/>
        <v>0</v>
      </c>
      <c r="J83" s="1072">
        <f t="shared" si="158"/>
        <v>0</v>
      </c>
      <c r="K83" s="93">
        <v>2</v>
      </c>
      <c r="L83" s="93"/>
      <c r="M83" s="106">
        <f t="shared" si="159"/>
        <v>0</v>
      </c>
      <c r="N83" s="182">
        <f t="shared" si="166"/>
        <v>0</v>
      </c>
      <c r="O83" s="132">
        <f t="shared" si="167"/>
        <v>0</v>
      </c>
      <c r="P83" s="185"/>
      <c r="Q83" s="757"/>
      <c r="R83" s="758"/>
      <c r="S83" s="758"/>
      <c r="T83" s="758"/>
      <c r="U83" s="155"/>
      <c r="V83" s="760"/>
      <c r="W83" s="155"/>
      <c r="X83" s="761"/>
      <c r="AB83" s="80"/>
      <c r="AC83" s="80"/>
      <c r="AY83" s="1083">
        <v>2</v>
      </c>
      <c r="AZ83" s="1083" t="s">
        <v>849</v>
      </c>
      <c r="BA83" s="1083">
        <v>8</v>
      </c>
      <c r="BB83" s="1083">
        <v>16</v>
      </c>
      <c r="BC83" s="1082">
        <v>0.83399999999999996</v>
      </c>
    </row>
    <row r="84" spans="1:55" ht="24.75" customHeight="1" x14ac:dyDescent="0.2">
      <c r="A84" s="13">
        <f t="shared" si="162"/>
        <v>5</v>
      </c>
      <c r="B84" s="131"/>
      <c r="C84" s="106" t="str">
        <f>IF(B84&gt;0,LOOKUP($B84,Мат!$A$5:$A$71,Мат!$B$5:$B$71),"  ")</f>
        <v xml:space="preserve">  </v>
      </c>
      <c r="D84" s="106"/>
      <c r="E84" s="842" t="str">
        <f t="shared" si="169"/>
        <v>Маш</v>
      </c>
      <c r="F84" s="139"/>
      <c r="G84" s="188">
        <f t="shared" si="164"/>
        <v>0</v>
      </c>
      <c r="H84" s="188">
        <f t="shared" si="165"/>
        <v>0</v>
      </c>
      <c r="I84" s="806">
        <f t="shared" si="157"/>
        <v>0</v>
      </c>
      <c r="J84" s="1072">
        <f t="shared" si="158"/>
        <v>0</v>
      </c>
      <c r="K84" s="93">
        <v>2</v>
      </c>
      <c r="L84" s="93"/>
      <c r="M84" s="106">
        <f t="shared" si="159"/>
        <v>0</v>
      </c>
      <c r="N84" s="182">
        <f t="shared" si="166"/>
        <v>0</v>
      </c>
      <c r="O84" s="132">
        <f t="shared" si="167"/>
        <v>0</v>
      </c>
      <c r="P84" s="185"/>
      <c r="Q84" s="757"/>
      <c r="R84" s="758"/>
      <c r="S84" s="758"/>
      <c r="T84" s="758"/>
      <c r="U84" s="155"/>
      <c r="V84" s="760"/>
      <c r="W84" s="155"/>
      <c r="X84" s="761"/>
      <c r="AB84" s="80"/>
      <c r="AC84" s="80"/>
      <c r="AY84" s="1083">
        <v>2</v>
      </c>
      <c r="AZ84" s="1083" t="s">
        <v>849</v>
      </c>
      <c r="BA84" s="1083">
        <v>8</v>
      </c>
      <c r="BB84" s="1083">
        <v>16</v>
      </c>
      <c r="BC84" s="1082">
        <v>0.83399999999999996</v>
      </c>
    </row>
    <row r="85" spans="1:55" ht="24.75" customHeight="1" x14ac:dyDescent="0.2">
      <c r="A85" s="13">
        <f t="shared" si="162"/>
        <v>5</v>
      </c>
      <c r="B85" s="131"/>
      <c r="C85" s="106" t="str">
        <f>IF(B85&gt;0,LOOKUP($B85,Мат!$A$5:$A$71,Мат!$B$5:$B$71),"  ")</f>
        <v xml:space="preserve">  </v>
      </c>
      <c r="D85" s="106"/>
      <c r="E85" s="842" t="str">
        <f t="shared" ref="E85" si="171">LOOKUP($F85,$E$44:$E$57,B$44:B$57)</f>
        <v>Маш</v>
      </c>
      <c r="F85" s="139"/>
      <c r="G85" s="188">
        <f t="shared" si="164"/>
        <v>0</v>
      </c>
      <c r="H85" s="188">
        <f t="shared" si="165"/>
        <v>0</v>
      </c>
      <c r="I85" s="806">
        <f t="shared" si="157"/>
        <v>0</v>
      </c>
      <c r="J85" s="1072">
        <f t="shared" si="158"/>
        <v>0</v>
      </c>
      <c r="K85" s="93">
        <v>2</v>
      </c>
      <c r="L85" s="93"/>
      <c r="M85" s="106">
        <f t="shared" si="159"/>
        <v>0</v>
      </c>
      <c r="N85" s="182">
        <f t="shared" si="166"/>
        <v>0</v>
      </c>
      <c r="O85" s="132">
        <f t="shared" si="167"/>
        <v>0</v>
      </c>
      <c r="P85" s="185"/>
      <c r="Q85" s="757"/>
      <c r="R85" s="758"/>
      <c r="S85" s="758"/>
      <c r="T85" s="758"/>
      <c r="U85" s="155"/>
      <c r="V85" s="760"/>
      <c r="W85" s="155"/>
      <c r="X85" s="761"/>
      <c r="AB85" s="80"/>
      <c r="AC85" s="80"/>
      <c r="AY85" s="1083">
        <v>2</v>
      </c>
      <c r="AZ85" s="1083" t="s">
        <v>849</v>
      </c>
      <c r="BA85" s="1083">
        <v>8</v>
      </c>
      <c r="BB85" s="1083">
        <v>16</v>
      </c>
      <c r="BC85" s="1082">
        <v>0.83399999999999996</v>
      </c>
    </row>
    <row r="86" spans="1:55" ht="24.75" customHeight="1" x14ac:dyDescent="0.2">
      <c r="A86" s="13">
        <f t="shared" si="162"/>
        <v>5</v>
      </c>
      <c r="B86" s="131"/>
      <c r="C86" s="106" t="str">
        <f>IF(B86&gt;0,LOOKUP($B86,Мат!$A$5:$A$71,Мат!$B$5:$B$71),"  ")</f>
        <v xml:space="preserve">  </v>
      </c>
      <c r="D86" s="106"/>
      <c r="E86" s="842" t="str">
        <f t="shared" ref="E86" si="172">LOOKUP($F86,$E$44:$E$57,B$44:B$57)</f>
        <v>Маш</v>
      </c>
      <c r="F86" s="139"/>
      <c r="G86" s="188">
        <f t="shared" si="164"/>
        <v>0</v>
      </c>
      <c r="H86" s="188">
        <f t="shared" si="165"/>
        <v>0</v>
      </c>
      <c r="I86" s="806">
        <f t="shared" si="157"/>
        <v>0</v>
      </c>
      <c r="J86" s="1072">
        <f t="shared" si="158"/>
        <v>0</v>
      </c>
      <c r="K86" s="93">
        <v>2</v>
      </c>
      <c r="L86" s="93"/>
      <c r="M86" s="106">
        <f t="shared" si="159"/>
        <v>0</v>
      </c>
      <c r="N86" s="182">
        <f t="shared" si="166"/>
        <v>0</v>
      </c>
      <c r="O86" s="132">
        <f t="shared" si="167"/>
        <v>0</v>
      </c>
      <c r="P86" s="185"/>
      <c r="Q86" s="757"/>
      <c r="R86" s="758"/>
      <c r="S86" s="758"/>
      <c r="T86" s="758"/>
      <c r="U86" s="155"/>
      <c r="V86" s="760"/>
      <c r="W86" s="155"/>
      <c r="X86" s="761"/>
      <c r="AB86" s="80"/>
      <c r="AC86" s="80"/>
      <c r="AY86" s="1083">
        <v>2</v>
      </c>
      <c r="AZ86" s="1083" t="s">
        <v>849</v>
      </c>
      <c r="BA86" s="1083">
        <v>8</v>
      </c>
      <c r="BB86" s="1083">
        <v>16</v>
      </c>
      <c r="BC86" s="1082">
        <v>0.83399999999999996</v>
      </c>
    </row>
    <row r="87" spans="1:55" ht="24.75" customHeight="1" x14ac:dyDescent="0.2">
      <c r="A87" s="13">
        <f t="shared" si="162"/>
        <v>5</v>
      </c>
      <c r="B87" s="131"/>
      <c r="C87" s="106" t="str">
        <f>IF(B87&gt;0,LOOKUP($B87,Мат!$A$5:$A$71,Мат!$B$5:$B$71),"  ")</f>
        <v xml:space="preserve">  </v>
      </c>
      <c r="D87" s="106"/>
      <c r="E87" s="842" t="str">
        <f t="shared" si="154"/>
        <v>Маш</v>
      </c>
      <c r="F87" s="139"/>
      <c r="G87" s="188">
        <f t="shared" si="164"/>
        <v>0</v>
      </c>
      <c r="H87" s="188">
        <f t="shared" si="165"/>
        <v>0</v>
      </c>
      <c r="I87" s="806">
        <f t="shared" si="157"/>
        <v>0</v>
      </c>
      <c r="J87" s="1072">
        <f t="shared" si="158"/>
        <v>0</v>
      </c>
      <c r="K87" s="93">
        <v>2</v>
      </c>
      <c r="L87" s="93"/>
      <c r="M87" s="106">
        <f>VLOOKUP($L87,$Q$60:$U$69,5)</f>
        <v>0</v>
      </c>
      <c r="N87" s="182">
        <f t="shared" si="166"/>
        <v>0</v>
      </c>
      <c r="O87" s="132">
        <f t="shared" si="167"/>
        <v>0</v>
      </c>
      <c r="P87" s="185"/>
      <c r="Q87" s="757"/>
      <c r="R87" s="758"/>
      <c r="S87" s="758"/>
      <c r="T87" s="758"/>
      <c r="U87" s="759"/>
      <c r="V87" s="760"/>
      <c r="W87" s="155"/>
      <c r="X87" s="12"/>
      <c r="AB87" s="80"/>
      <c r="AC87" s="80"/>
      <c r="AY87" s="1084">
        <v>2.5</v>
      </c>
      <c r="AZ87" s="1081" t="s">
        <v>853</v>
      </c>
      <c r="BA87" s="1083">
        <v>2</v>
      </c>
      <c r="BB87" s="1083">
        <v>4</v>
      </c>
      <c r="BC87" s="880">
        <f>BC55</f>
        <v>0.33400000000000002</v>
      </c>
    </row>
    <row r="88" spans="1:55" ht="23.25" customHeight="1" x14ac:dyDescent="0.2">
      <c r="A88" s="13">
        <f t="shared" si="162"/>
        <v>5</v>
      </c>
      <c r="C88" s="2" t="s">
        <v>137</v>
      </c>
      <c r="O88" s="25"/>
      <c r="P88" s="183"/>
      <c r="Q88" s="757"/>
      <c r="R88" s="758"/>
      <c r="S88" s="758"/>
      <c r="T88" s="758"/>
      <c r="U88" s="759"/>
      <c r="V88" s="760"/>
      <c r="W88" s="155"/>
      <c r="X88" s="637"/>
      <c r="Y88" s="80"/>
      <c r="Z88" s="80"/>
      <c r="AA88" s="80"/>
      <c r="AB88" s="80"/>
      <c r="AC88" s="80"/>
      <c r="AY88" s="1084">
        <v>2.5</v>
      </c>
      <c r="AZ88" s="1081" t="s">
        <v>854</v>
      </c>
      <c r="BA88" s="1083">
        <v>3</v>
      </c>
      <c r="BB88" s="1083">
        <v>5</v>
      </c>
      <c r="BC88" s="880">
        <f>BC56</f>
        <v>0.40899999999999997</v>
      </c>
    </row>
    <row r="89" spans="1:55" ht="24.75" customHeight="1" x14ac:dyDescent="0.2">
      <c r="A89" s="13"/>
      <c r="C89" s="2"/>
      <c r="J89" s="12"/>
      <c r="K89" s="12"/>
      <c r="P89" s="184"/>
      <c r="Q89" s="757"/>
      <c r="R89" s="758"/>
      <c r="S89" s="758"/>
      <c r="T89" s="758"/>
      <c r="U89" s="759"/>
      <c r="V89" s="760"/>
      <c r="W89" s="155"/>
      <c r="X89" s="637"/>
      <c r="Y89" s="80"/>
      <c r="Z89" s="80"/>
      <c r="AA89" s="80"/>
      <c r="AB89" s="80"/>
      <c r="AC89" s="80"/>
      <c r="AY89" s="1084">
        <v>2.5</v>
      </c>
      <c r="AZ89" s="1084" t="s">
        <v>855</v>
      </c>
      <c r="BA89" s="1083">
        <v>4</v>
      </c>
      <c r="BB89" s="1083">
        <v>7</v>
      </c>
      <c r="BC89" s="880">
        <f>BC57</f>
        <v>0.40100000000000002</v>
      </c>
    </row>
    <row r="90" spans="1:55" x14ac:dyDescent="0.2">
      <c r="A90" s="19"/>
      <c r="B90" s="158"/>
      <c r="C90" s="17"/>
      <c r="D90" s="17"/>
      <c r="E90" s="17"/>
      <c r="F90" s="17"/>
      <c r="G90" s="17"/>
      <c r="H90" s="19"/>
      <c r="I90" s="19"/>
      <c r="J90" s="19"/>
      <c r="K90" s="19"/>
      <c r="L90" s="19"/>
      <c r="M90" s="19"/>
      <c r="N90" s="19"/>
      <c r="O90" s="954"/>
      <c r="P90" s="954"/>
      <c r="Q90" s="954"/>
      <c r="R90" s="955"/>
      <c r="S90" s="955"/>
      <c r="T90" s="954"/>
      <c r="U90" s="918"/>
      <c r="V90" s="954"/>
      <c r="W90" s="954"/>
      <c r="X90" s="155"/>
      <c r="Y90" s="155"/>
      <c r="Z90" s="19"/>
      <c r="AA90" s="19"/>
      <c r="AB90" s="19"/>
      <c r="AC90" s="19"/>
      <c r="AY90" s="1084">
        <v>2.5</v>
      </c>
      <c r="AZ90" s="1084" t="s">
        <v>860</v>
      </c>
      <c r="BA90" s="1084">
        <v>8</v>
      </c>
      <c r="BB90" s="1084">
        <v>12</v>
      </c>
      <c r="BC90" s="1085">
        <f>BC71</f>
        <v>0.68400000000000005</v>
      </c>
    </row>
    <row r="91" spans="1:55" x14ac:dyDescent="0.2">
      <c r="A91" s="19"/>
      <c r="B91" s="158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60"/>
      <c r="O91" s="956"/>
      <c r="P91" s="954"/>
      <c r="Q91" s="954"/>
      <c r="R91" s="955"/>
      <c r="S91" s="955"/>
      <c r="T91" s="954"/>
      <c r="U91" s="918"/>
      <c r="V91" s="954"/>
      <c r="W91" s="954"/>
      <c r="X91" s="155"/>
      <c r="Y91" s="155"/>
      <c r="Z91" s="19"/>
      <c r="AA91" s="19"/>
      <c r="AB91" s="19"/>
      <c r="AC91" s="19"/>
      <c r="AY91" s="1084">
        <v>2.5</v>
      </c>
      <c r="AZ91" s="1084" t="s">
        <v>861</v>
      </c>
      <c r="BA91" s="1084">
        <v>8</v>
      </c>
      <c r="BB91" s="1084">
        <v>13</v>
      </c>
      <c r="BC91" s="1085">
        <f>BC72</f>
        <v>0.751</v>
      </c>
    </row>
    <row r="92" spans="1:55" x14ac:dyDescent="0.2">
      <c r="A92" s="19"/>
      <c r="B92" s="158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956"/>
      <c r="P92" s="741"/>
      <c r="Q92" s="958"/>
      <c r="R92" s="934"/>
      <c r="S92" s="934"/>
      <c r="T92" s="741"/>
      <c r="U92" s="959"/>
      <c r="V92" s="954"/>
      <c r="W92" s="954"/>
      <c r="X92" s="155"/>
      <c r="Y92" s="155"/>
      <c r="Z92" s="19"/>
      <c r="AA92" s="19"/>
      <c r="AB92" s="19"/>
      <c r="AC92" s="19"/>
      <c r="AY92" s="1084">
        <v>2.5</v>
      </c>
      <c r="AZ92" s="1084" t="s">
        <v>862</v>
      </c>
      <c r="BA92" s="1084">
        <v>8</v>
      </c>
      <c r="BB92" s="1084">
        <v>14</v>
      </c>
      <c r="BC92" s="1085">
        <f>BC73</f>
        <v>0.81799999999999995</v>
      </c>
    </row>
    <row r="93" spans="1:55" x14ac:dyDescent="0.2">
      <c r="A93" s="19"/>
      <c r="B93" s="158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954"/>
      <c r="P93" s="741"/>
      <c r="Q93" s="841"/>
      <c r="R93" s="841" t="s">
        <v>713</v>
      </c>
      <c r="S93" s="842"/>
      <c r="T93" s="842"/>
      <c r="U93" s="842"/>
      <c r="V93" s="954"/>
      <c r="W93" s="954"/>
      <c r="X93" s="155"/>
      <c r="Y93" s="155"/>
      <c r="Z93" s="19"/>
      <c r="AA93" s="19"/>
      <c r="AB93" s="19"/>
      <c r="AC93" s="19"/>
      <c r="AD93" s="80"/>
      <c r="AE93" s="80"/>
      <c r="AF93" s="80"/>
      <c r="AG93" s="80"/>
      <c r="AH93" s="80"/>
      <c r="AI93" s="80"/>
      <c r="AY93" s="1084">
        <v>2.5</v>
      </c>
      <c r="AZ93" s="1084" t="s">
        <v>863</v>
      </c>
      <c r="BA93" s="1084">
        <v>8</v>
      </c>
      <c r="BB93" s="1084">
        <v>16</v>
      </c>
      <c r="BC93" s="1085">
        <f>BC74</f>
        <v>0.83399999999999996</v>
      </c>
    </row>
    <row r="94" spans="1:55" x14ac:dyDescent="0.2">
      <c r="A94" s="19"/>
      <c r="B94" s="158"/>
      <c r="C94" s="19"/>
      <c r="D94" s="19"/>
      <c r="E94" s="19"/>
      <c r="F94" s="159"/>
      <c r="G94" s="19"/>
      <c r="H94" s="19"/>
      <c r="I94" s="19"/>
      <c r="J94" s="19"/>
      <c r="K94" s="19"/>
      <c r="L94" s="19"/>
      <c r="M94" s="19"/>
      <c r="N94" s="19"/>
      <c r="O94" s="954"/>
      <c r="P94" s="741"/>
      <c r="Q94" s="841" t="s">
        <v>714</v>
      </c>
      <c r="R94" s="841">
        <v>10000</v>
      </c>
      <c r="S94" s="842"/>
      <c r="T94" s="842" t="s">
        <v>715</v>
      </c>
      <c r="U94" s="842">
        <v>19.5</v>
      </c>
      <c r="V94" s="954"/>
      <c r="W94" s="954"/>
      <c r="X94" s="155"/>
      <c r="Y94" s="155"/>
      <c r="Z94" s="19"/>
      <c r="AA94" s="19"/>
      <c r="AB94" s="19"/>
      <c r="AC94" s="19"/>
      <c r="AD94" s="80"/>
      <c r="AE94" s="80"/>
      <c r="AF94" s="80"/>
      <c r="AG94" s="80"/>
      <c r="AH94" s="80"/>
      <c r="AI94" s="80"/>
      <c r="AY94" s="1084">
        <v>3</v>
      </c>
      <c r="AZ94" s="1081" t="s">
        <v>853</v>
      </c>
      <c r="BA94" s="1083">
        <v>2</v>
      </c>
      <c r="BB94" s="1083">
        <v>6</v>
      </c>
      <c r="BC94" s="880">
        <f>BC53</f>
        <v>0.2</v>
      </c>
    </row>
    <row r="95" spans="1:55" x14ac:dyDescent="0.2">
      <c r="A95" s="19"/>
      <c r="B95" s="158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956"/>
      <c r="P95" s="741"/>
      <c r="Q95" s="841" t="s">
        <v>716</v>
      </c>
      <c r="R95" s="841">
        <v>15000</v>
      </c>
      <c r="S95" s="842"/>
      <c r="T95" s="842" t="s">
        <v>717</v>
      </c>
      <c r="U95" s="843">
        <v>15.6</v>
      </c>
      <c r="V95" s="954"/>
      <c r="W95" s="954"/>
      <c r="X95" s="155"/>
      <c r="Y95" s="155"/>
      <c r="Z95" s="19"/>
      <c r="AA95" s="19"/>
      <c r="AB95" s="19"/>
      <c r="AC95" s="19"/>
      <c r="AD95" s="80"/>
      <c r="AE95" s="80"/>
      <c r="AF95" s="80"/>
      <c r="AG95" s="80"/>
      <c r="AH95" s="80"/>
      <c r="AI95" s="80"/>
      <c r="AY95" s="1084">
        <v>3</v>
      </c>
      <c r="AZ95" s="1081" t="s">
        <v>854</v>
      </c>
      <c r="BA95" s="1083">
        <v>3</v>
      </c>
      <c r="BB95" s="1083">
        <v>7</v>
      </c>
      <c r="BC95" s="880">
        <f>BC57</f>
        <v>0.40100000000000002</v>
      </c>
    </row>
    <row r="96" spans="1:55" x14ac:dyDescent="0.2">
      <c r="A96" s="19"/>
      <c r="B96" s="158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956"/>
      <c r="P96" s="741"/>
      <c r="Q96" s="841"/>
      <c r="R96" s="841"/>
      <c r="S96" s="841"/>
      <c r="T96" s="841"/>
      <c r="U96" s="841"/>
      <c r="V96" s="954"/>
      <c r="W96" s="954"/>
      <c r="X96" s="155"/>
      <c r="Y96" s="155"/>
      <c r="Z96" s="19"/>
      <c r="AA96" s="19"/>
      <c r="AB96" s="19"/>
      <c r="AC96" s="19"/>
      <c r="AD96" s="80"/>
      <c r="AE96" s="80"/>
      <c r="AF96" s="80"/>
      <c r="AG96" s="80"/>
      <c r="AH96" s="80"/>
      <c r="AI96" s="80"/>
      <c r="AJ96" s="380"/>
      <c r="AY96" s="1084">
        <v>3</v>
      </c>
      <c r="AZ96" s="1084" t="s">
        <v>855</v>
      </c>
      <c r="BA96" s="1083">
        <v>4</v>
      </c>
      <c r="BB96" s="1083">
        <v>9</v>
      </c>
      <c r="BC96" s="880">
        <f>BC63</f>
        <v>0.46700000000000003</v>
      </c>
    </row>
    <row r="97" spans="1:60" x14ac:dyDescent="0.2">
      <c r="A97" s="19"/>
      <c r="B97" s="158"/>
      <c r="C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954"/>
      <c r="P97" s="741"/>
      <c r="Q97" s="842" t="s">
        <v>718</v>
      </c>
      <c r="R97" s="960">
        <f>J1</f>
        <v>25000</v>
      </c>
      <c r="S97" s="841"/>
      <c r="T97" s="841" t="s">
        <v>719</v>
      </c>
      <c r="U97" s="844">
        <f>(U95+((U95-U94)/(R95-R94))*(R97-R95))</f>
        <v>7.7999999999999989</v>
      </c>
      <c r="V97" s="957"/>
      <c r="W97" s="957"/>
      <c r="X97" s="20"/>
      <c r="Y97" s="20"/>
      <c r="Z97" s="19"/>
      <c r="AA97" s="19"/>
      <c r="AB97" s="19"/>
      <c r="AC97" s="19"/>
      <c r="AD97" s="80"/>
      <c r="AE97" s="80"/>
      <c r="AF97" s="80"/>
      <c r="AG97" s="80"/>
      <c r="AH97" s="80"/>
      <c r="AI97" s="80"/>
      <c r="AY97" s="1084">
        <v>3</v>
      </c>
      <c r="AZ97" s="1081" t="s">
        <v>856</v>
      </c>
      <c r="BA97" s="1083">
        <v>5</v>
      </c>
      <c r="BB97" s="1083">
        <v>10</v>
      </c>
      <c r="BC97" s="1085">
        <f>BC69</f>
        <v>0.55000000000000004</v>
      </c>
    </row>
    <row r="98" spans="1:60" x14ac:dyDescent="0.2">
      <c r="A98" s="19"/>
      <c r="B98" s="158"/>
      <c r="C98" s="19"/>
      <c r="D98" s="19"/>
      <c r="E98" s="19"/>
      <c r="F98" s="19"/>
      <c r="G98" s="19"/>
      <c r="H98" s="19"/>
      <c r="I98" s="19"/>
      <c r="J98" s="19"/>
      <c r="K98" s="19"/>
      <c r="M98" s="19"/>
      <c r="N98" s="19"/>
      <c r="O98" s="918"/>
      <c r="P98" s="918"/>
      <c r="Q98" s="918"/>
      <c r="R98" s="918"/>
      <c r="S98" s="918"/>
      <c r="T98" s="742"/>
      <c r="U98" s="918"/>
      <c r="V98" s="918"/>
      <c r="W98" s="918"/>
      <c r="X98" s="19"/>
      <c r="Y98" s="19"/>
      <c r="Z98" s="19"/>
      <c r="AA98" s="19"/>
      <c r="AB98" s="382"/>
      <c r="AC98" s="19"/>
      <c r="AJ98" s="277"/>
      <c r="AY98" s="1084">
        <v>3</v>
      </c>
      <c r="AZ98" s="1083" t="s">
        <v>857</v>
      </c>
      <c r="BA98" s="1083">
        <v>6</v>
      </c>
      <c r="BB98" s="1083">
        <v>11</v>
      </c>
      <c r="BC98" s="1085">
        <f>BC70</f>
        <v>0.61699999999999999</v>
      </c>
    </row>
    <row r="99" spans="1:60" x14ac:dyDescent="0.2">
      <c r="A99" s="19"/>
      <c r="B99" s="158"/>
      <c r="C99" s="19" t="s">
        <v>405</v>
      </c>
      <c r="D99" s="159" t="s">
        <v>141</v>
      </c>
      <c r="E99" s="159" t="s">
        <v>142</v>
      </c>
      <c r="F99" s="159" t="s">
        <v>143</v>
      </c>
      <c r="G99" s="159" t="s">
        <v>144</v>
      </c>
      <c r="H99" s="159" t="s">
        <v>145</v>
      </c>
      <c r="I99" s="159"/>
      <c r="J99" s="159" t="s">
        <v>146</v>
      </c>
      <c r="K99" s="159"/>
      <c r="L99" s="372" t="s">
        <v>141</v>
      </c>
      <c r="M99" s="372" t="s">
        <v>142</v>
      </c>
      <c r="N99" s="372" t="s">
        <v>143</v>
      </c>
      <c r="O99" s="372" t="s">
        <v>144</v>
      </c>
      <c r="P99" s="372" t="s">
        <v>145</v>
      </c>
      <c r="Q99" s="373"/>
      <c r="R99" s="159"/>
      <c r="S99" s="159"/>
      <c r="T99" s="372" t="s">
        <v>141</v>
      </c>
      <c r="U99" s="372" t="s">
        <v>142</v>
      </c>
      <c r="V99" s="373"/>
      <c r="W99" s="373"/>
      <c r="X99" s="373"/>
      <c r="Y99" s="373"/>
      <c r="Z99" s="19"/>
      <c r="AA99" s="19"/>
      <c r="AB99" s="19" t="s">
        <v>356</v>
      </c>
      <c r="AC99" s="159" t="s">
        <v>141</v>
      </c>
      <c r="AD99" s="159" t="s">
        <v>142</v>
      </c>
      <c r="AE99" s="159"/>
      <c r="AF99" s="159"/>
      <c r="AG99" s="159"/>
      <c r="AH99" s="12"/>
      <c r="AI99" s="179"/>
      <c r="AJ99" s="179"/>
      <c r="AK99" s="179"/>
      <c r="AL99" s="179"/>
      <c r="AM99" s="179"/>
      <c r="AN99" s="179"/>
      <c r="AO99" s="179"/>
      <c r="AP99" s="179"/>
      <c r="AQ99" s="179"/>
      <c r="AR99" s="179"/>
      <c r="AS99" s="179"/>
      <c r="AT99" s="179"/>
      <c r="AU99" s="179"/>
      <c r="AV99" s="12"/>
      <c r="AW99" s="12"/>
      <c r="AX99" s="179"/>
      <c r="AY99" s="1084">
        <v>3</v>
      </c>
      <c r="AZ99" s="1084" t="s">
        <v>858</v>
      </c>
      <c r="BA99" s="1084">
        <v>8</v>
      </c>
      <c r="BB99" s="1083">
        <v>12</v>
      </c>
      <c r="BC99" s="1085">
        <f>BC71</f>
        <v>0.68400000000000005</v>
      </c>
      <c r="BD99" s="12"/>
      <c r="BE99" s="155"/>
      <c r="BF99" s="179"/>
      <c r="BG99" s="179"/>
      <c r="BH99" s="12"/>
    </row>
    <row r="100" spans="1:60" x14ac:dyDescent="0.2">
      <c r="A100" s="19"/>
      <c r="B100" s="158"/>
      <c r="C100" s="19" t="s">
        <v>47</v>
      </c>
      <c r="D100" s="837" t="s">
        <v>1</v>
      </c>
      <c r="E100" s="17"/>
      <c r="F100" s="17"/>
      <c r="G100" s="17"/>
      <c r="H100" s="17"/>
      <c r="I100" s="17"/>
      <c r="J100" s="17"/>
      <c r="K100" s="19"/>
      <c r="L100" s="2218" t="s">
        <v>2</v>
      </c>
      <c r="M100" s="2218"/>
      <c r="N100" s="2218"/>
      <c r="O100" s="2218"/>
      <c r="P100" s="2218"/>
      <c r="Q100" s="2218"/>
      <c r="R100" s="19"/>
      <c r="S100" s="19"/>
      <c r="T100" s="377" t="s">
        <v>393</v>
      </c>
      <c r="U100" s="377"/>
      <c r="V100" s="377"/>
      <c r="W100" s="377"/>
      <c r="X100" s="377"/>
      <c r="Y100" s="377"/>
      <c r="Z100" s="19"/>
      <c r="AA100" s="19"/>
      <c r="AB100" s="19" t="s">
        <v>707</v>
      </c>
      <c r="AC100" s="19"/>
      <c r="AD100" s="19"/>
      <c r="AE100" s="19"/>
      <c r="AF100" s="19"/>
      <c r="AG100" s="19"/>
      <c r="AH100" s="12"/>
      <c r="AI100" s="179"/>
      <c r="AJ100" s="12"/>
      <c r="AK100" s="12"/>
      <c r="AL100" s="12"/>
      <c r="AM100" s="12"/>
      <c r="AN100" s="12"/>
      <c r="AO100" s="12"/>
      <c r="AP100" s="155"/>
      <c r="AQ100" s="155"/>
      <c r="AR100" s="155"/>
      <c r="AS100" s="155"/>
      <c r="AT100" s="155"/>
      <c r="AU100" s="155"/>
      <c r="AV100" s="12"/>
      <c r="AW100" s="12"/>
      <c r="AX100" s="155"/>
      <c r="AY100" s="1084">
        <v>3</v>
      </c>
      <c r="AZ100" s="1084" t="s">
        <v>859</v>
      </c>
      <c r="BA100" s="1084">
        <v>8</v>
      </c>
      <c r="BB100" s="1084">
        <v>13</v>
      </c>
      <c r="BC100" s="1085">
        <f>BC72</f>
        <v>0.751</v>
      </c>
      <c r="BD100" s="12"/>
      <c r="BE100" s="155"/>
      <c r="BF100" s="155"/>
      <c r="BG100" s="155"/>
      <c r="BH100" s="12"/>
    </row>
    <row r="101" spans="1:60" x14ac:dyDescent="0.2">
      <c r="A101" s="19"/>
      <c r="B101" s="381"/>
      <c r="C101" s="797">
        <v>1</v>
      </c>
      <c r="D101" s="805">
        <v>56</v>
      </c>
      <c r="E101" s="805">
        <v>57</v>
      </c>
      <c r="F101" s="805">
        <v>62.2</v>
      </c>
      <c r="G101" s="805">
        <v>64.7</v>
      </c>
      <c r="H101" s="805">
        <v>66.5</v>
      </c>
      <c r="I101" s="805"/>
      <c r="J101" s="805">
        <v>68</v>
      </c>
      <c r="K101" s="799">
        <v>1</v>
      </c>
      <c r="L101" s="800">
        <v>58.7</v>
      </c>
      <c r="M101" s="800">
        <v>59.8</v>
      </c>
      <c r="N101" s="800">
        <v>65.2</v>
      </c>
      <c r="O101" s="800">
        <v>67.8</v>
      </c>
      <c r="P101" s="800">
        <v>69.7</v>
      </c>
      <c r="Q101" s="801"/>
      <c r="R101" s="802"/>
      <c r="S101" s="799">
        <v>1</v>
      </c>
      <c r="T101" s="800">
        <v>61.4</v>
      </c>
      <c r="U101" s="803">
        <v>62.5</v>
      </c>
      <c r="V101" s="375"/>
      <c r="W101" s="375"/>
      <c r="X101" s="375"/>
      <c r="Y101" s="375"/>
      <c r="Z101" s="19"/>
      <c r="AA101" s="19"/>
      <c r="AB101" s="797">
        <v>1</v>
      </c>
      <c r="AC101" s="105">
        <v>28.3</v>
      </c>
      <c r="AD101" s="822">
        <v>40.9</v>
      </c>
      <c r="AE101" s="369"/>
      <c r="AF101" s="19"/>
      <c r="AG101" s="19"/>
      <c r="AH101" s="827"/>
      <c r="AI101" s="807"/>
      <c r="AJ101" s="807"/>
      <c r="AK101" s="807"/>
      <c r="AL101" s="807"/>
      <c r="AM101" s="807"/>
      <c r="AN101" s="807"/>
      <c r="AO101" s="807"/>
      <c r="AP101" s="827"/>
      <c r="AQ101" s="807"/>
      <c r="AR101" s="807"/>
      <c r="AS101" s="807"/>
      <c r="AT101" s="807"/>
      <c r="AU101" s="807"/>
      <c r="AV101" s="12"/>
      <c r="AW101" s="12"/>
      <c r="AX101" s="827"/>
      <c r="AY101" s="1084">
        <v>3</v>
      </c>
      <c r="AZ101" s="1084" t="s">
        <v>860</v>
      </c>
      <c r="BA101" s="1084">
        <v>8</v>
      </c>
      <c r="BB101" s="1084">
        <v>14</v>
      </c>
      <c r="BC101" s="1085">
        <f>BC73</f>
        <v>0.81799999999999995</v>
      </c>
      <c r="BD101" s="12"/>
      <c r="BE101" s="827"/>
      <c r="BF101" s="12"/>
      <c r="BG101" s="12"/>
      <c r="BH101" s="12"/>
    </row>
    <row r="102" spans="1:60" x14ac:dyDescent="0.2">
      <c r="A102" s="19"/>
      <c r="B102" s="381"/>
      <c r="C102" s="804">
        <v>2000</v>
      </c>
      <c r="D102" s="805">
        <v>56</v>
      </c>
      <c r="E102" s="805">
        <v>57</v>
      </c>
      <c r="F102" s="805">
        <v>62.2</v>
      </c>
      <c r="G102" s="805">
        <v>64.7</v>
      </c>
      <c r="H102" s="805">
        <v>66.5</v>
      </c>
      <c r="I102" s="805"/>
      <c r="J102" s="805">
        <v>68</v>
      </c>
      <c r="K102" s="806">
        <v>2000</v>
      </c>
      <c r="L102" s="807">
        <v>58.7</v>
      </c>
      <c r="M102" s="807">
        <v>59.8</v>
      </c>
      <c r="N102" s="807">
        <v>65.2</v>
      </c>
      <c r="O102" s="807">
        <v>67.8</v>
      </c>
      <c r="P102" s="807">
        <v>69.7</v>
      </c>
      <c r="Q102" s="807"/>
      <c r="R102" s="20"/>
      <c r="S102" s="806">
        <v>2000</v>
      </c>
      <c r="T102" s="807">
        <v>61.4</v>
      </c>
      <c r="U102" s="808">
        <v>62.5</v>
      </c>
      <c r="V102" s="374"/>
      <c r="W102" s="374"/>
      <c r="X102" s="374"/>
      <c r="Y102" s="374"/>
      <c r="Z102" s="19"/>
      <c r="AA102" s="19"/>
      <c r="AB102" s="804">
        <v>2000</v>
      </c>
      <c r="AC102" s="20">
        <v>28.3</v>
      </c>
      <c r="AD102" s="824">
        <v>40.9</v>
      </c>
      <c r="AE102" s="369"/>
      <c r="AF102" s="19"/>
      <c r="AG102" s="19"/>
      <c r="AH102" s="827"/>
      <c r="AI102" s="828"/>
      <c r="AJ102" s="828"/>
      <c r="AK102" s="828"/>
      <c r="AL102" s="828"/>
      <c r="AM102" s="828"/>
      <c r="AN102" s="828"/>
      <c r="AO102" s="828"/>
      <c r="AP102" s="827"/>
      <c r="AQ102" s="807"/>
      <c r="AR102" s="807"/>
      <c r="AS102" s="807"/>
      <c r="AT102" s="807"/>
      <c r="AU102" s="807"/>
      <c r="AV102" s="12"/>
      <c r="AW102" s="12"/>
      <c r="AX102" s="827"/>
      <c r="AY102" s="1084">
        <v>3</v>
      </c>
      <c r="AZ102" s="1084" t="s">
        <v>861</v>
      </c>
      <c r="BA102" s="1084">
        <v>8</v>
      </c>
      <c r="BB102" s="1084">
        <v>15</v>
      </c>
      <c r="BC102" s="934">
        <v>0.82599999999999996</v>
      </c>
      <c r="BD102" s="12"/>
      <c r="BE102" s="827"/>
      <c r="BF102" s="829"/>
      <c r="BG102" s="829"/>
      <c r="BH102" s="12"/>
    </row>
    <row r="103" spans="1:60" x14ac:dyDescent="0.2">
      <c r="A103" s="19"/>
      <c r="B103" s="381"/>
      <c r="C103" s="804">
        <v>3000</v>
      </c>
      <c r="D103" s="805">
        <v>39</v>
      </c>
      <c r="E103" s="805">
        <v>40.1</v>
      </c>
      <c r="F103" s="805">
        <v>43.8</v>
      </c>
      <c r="G103" s="805">
        <v>45.5</v>
      </c>
      <c r="H103" s="805">
        <v>46.7</v>
      </c>
      <c r="I103" s="805"/>
      <c r="J103" s="805">
        <v>48</v>
      </c>
      <c r="K103" s="806">
        <v>3000</v>
      </c>
      <c r="L103" s="807">
        <v>58.7</v>
      </c>
      <c r="M103" s="807">
        <v>59.8</v>
      </c>
      <c r="N103" s="807">
        <v>65.2</v>
      </c>
      <c r="O103" s="807">
        <v>67.8</v>
      </c>
      <c r="P103" s="807">
        <v>69.7</v>
      </c>
      <c r="Q103" s="807"/>
      <c r="R103" s="20"/>
      <c r="S103" s="806">
        <v>3000</v>
      </c>
      <c r="T103" s="807">
        <v>61.4</v>
      </c>
      <c r="U103" s="808">
        <v>62.5</v>
      </c>
      <c r="V103" s="374"/>
      <c r="W103" s="374"/>
      <c r="X103" s="374"/>
      <c r="Y103" s="374"/>
      <c r="Z103" s="19"/>
      <c r="AA103" s="19"/>
      <c r="AB103" s="804">
        <v>3000</v>
      </c>
      <c r="AC103" s="20">
        <v>19.899999999999999</v>
      </c>
      <c r="AD103" s="824">
        <v>28.4</v>
      </c>
      <c r="AE103" s="369"/>
      <c r="AF103" s="19"/>
      <c r="AG103" s="19"/>
      <c r="AH103" s="827"/>
      <c r="AI103" s="828"/>
      <c r="AJ103" s="828"/>
      <c r="AK103" s="828"/>
      <c r="AL103" s="828"/>
      <c r="AM103" s="828"/>
      <c r="AN103" s="828"/>
      <c r="AO103" s="828"/>
      <c r="AP103" s="827"/>
      <c r="AQ103" s="807"/>
      <c r="AR103" s="807"/>
      <c r="AS103" s="807"/>
      <c r="AT103" s="807"/>
      <c r="AU103" s="807"/>
      <c r="AV103" s="12"/>
      <c r="AW103" s="12"/>
      <c r="AX103" s="827"/>
      <c r="AY103" s="1084">
        <v>3</v>
      </c>
      <c r="AZ103" s="1084" t="s">
        <v>862</v>
      </c>
      <c r="BA103" s="1084">
        <v>8</v>
      </c>
      <c r="BB103" s="1084">
        <v>16</v>
      </c>
      <c r="BC103" s="1082">
        <f>BC74</f>
        <v>0.83399999999999996</v>
      </c>
      <c r="BD103" s="12"/>
      <c r="BE103" s="827"/>
      <c r="BF103" s="829"/>
      <c r="BG103" s="829"/>
      <c r="BH103" s="12"/>
    </row>
    <row r="104" spans="1:60" x14ac:dyDescent="0.2">
      <c r="A104" s="19"/>
      <c r="B104" s="381"/>
      <c r="C104" s="804">
        <v>4000</v>
      </c>
      <c r="D104" s="805">
        <v>30.5</v>
      </c>
      <c r="E104" s="805">
        <v>31.6</v>
      </c>
      <c r="F104" s="805">
        <v>34.6</v>
      </c>
      <c r="G104" s="805">
        <v>35.9</v>
      </c>
      <c r="H104" s="805">
        <v>36.700000000000003</v>
      </c>
      <c r="I104" s="805"/>
      <c r="J104" s="805">
        <v>38</v>
      </c>
      <c r="K104" s="806">
        <v>4000</v>
      </c>
      <c r="L104" s="807">
        <v>58.7</v>
      </c>
      <c r="M104" s="807">
        <v>59.8</v>
      </c>
      <c r="N104" s="807">
        <v>65.2</v>
      </c>
      <c r="O104" s="807">
        <v>67.8</v>
      </c>
      <c r="P104" s="807">
        <v>69.7</v>
      </c>
      <c r="Q104" s="809"/>
      <c r="R104" s="20"/>
      <c r="S104" s="806">
        <v>4000</v>
      </c>
      <c r="T104" s="807">
        <v>61.4</v>
      </c>
      <c r="U104" s="808">
        <v>62.5</v>
      </c>
      <c r="V104" s="374"/>
      <c r="W104" s="374"/>
      <c r="X104" s="374"/>
      <c r="Y104" s="374"/>
      <c r="Z104" s="19"/>
      <c r="AA104" s="19"/>
      <c r="AB104" s="804">
        <v>4000</v>
      </c>
      <c r="AC104" s="20">
        <v>15.7</v>
      </c>
      <c r="AD104" s="824">
        <v>22.1</v>
      </c>
      <c r="AE104" s="369"/>
      <c r="AF104" s="19"/>
      <c r="AG104" s="19"/>
      <c r="AH104" s="827"/>
      <c r="AI104" s="828"/>
      <c r="AJ104" s="828"/>
      <c r="AK104" s="828"/>
      <c r="AL104" s="828"/>
      <c r="AM104" s="828"/>
      <c r="AN104" s="828"/>
      <c r="AO104" s="828"/>
      <c r="AP104" s="827"/>
      <c r="AQ104" s="828"/>
      <c r="AR104" s="828"/>
      <c r="AS104" s="828"/>
      <c r="AT104" s="828"/>
      <c r="AU104" s="828"/>
      <c r="AV104" s="12"/>
      <c r="AW104" s="12"/>
      <c r="AX104" s="827"/>
      <c r="AY104" s="1084">
        <v>3</v>
      </c>
      <c r="AZ104" s="1084" t="s">
        <v>863</v>
      </c>
      <c r="BA104" s="1084">
        <v>8</v>
      </c>
      <c r="BB104" s="1084">
        <v>18</v>
      </c>
      <c r="BC104" s="934">
        <v>0.84199999999999997</v>
      </c>
      <c r="BD104" s="12"/>
      <c r="BE104" s="827"/>
      <c r="BF104" s="829"/>
      <c r="BG104" s="829"/>
      <c r="BH104" s="12"/>
    </row>
    <row r="105" spans="1:60" x14ac:dyDescent="0.2">
      <c r="A105" s="19"/>
      <c r="B105" s="381"/>
      <c r="C105" s="804">
        <v>5000</v>
      </c>
      <c r="D105" s="805">
        <v>25.4</v>
      </c>
      <c r="E105" s="805">
        <v>26.5</v>
      </c>
      <c r="F105" s="805">
        <v>29.1</v>
      </c>
      <c r="G105" s="805">
        <v>30.1</v>
      </c>
      <c r="H105" s="805">
        <v>30.8</v>
      </c>
      <c r="I105" s="805"/>
      <c r="J105" s="805">
        <v>32</v>
      </c>
      <c r="K105" s="806">
        <v>5000</v>
      </c>
      <c r="L105" s="807">
        <v>48</v>
      </c>
      <c r="M105" s="807">
        <v>48.9</v>
      </c>
      <c r="N105" s="807">
        <v>53.6</v>
      </c>
      <c r="O105" s="807">
        <v>55.7</v>
      </c>
      <c r="P105" s="807">
        <v>57.2</v>
      </c>
      <c r="Q105" s="809"/>
      <c r="R105" s="20"/>
      <c r="S105" s="806">
        <v>5000</v>
      </c>
      <c r="T105" s="807">
        <v>61.4</v>
      </c>
      <c r="U105" s="808">
        <v>62.5</v>
      </c>
      <c r="V105" s="374"/>
      <c r="W105" s="374"/>
      <c r="X105" s="374"/>
      <c r="Y105" s="374"/>
      <c r="Z105" s="19"/>
      <c r="AA105" s="19"/>
      <c r="AB105" s="804">
        <v>5000</v>
      </c>
      <c r="AC105" s="20">
        <v>13.2</v>
      </c>
      <c r="AD105" s="824">
        <v>18.399999999999999</v>
      </c>
      <c r="AE105" s="369"/>
      <c r="AF105" s="19"/>
      <c r="AG105" s="19"/>
      <c r="AH105" s="827"/>
      <c r="AI105" s="828"/>
      <c r="AJ105" s="828"/>
      <c r="AK105" s="828"/>
      <c r="AL105" s="828"/>
      <c r="AM105" s="828"/>
      <c r="AN105" s="828"/>
      <c r="AO105" s="828"/>
      <c r="AP105" s="827"/>
      <c r="AQ105" s="828"/>
      <c r="AR105" s="828"/>
      <c r="AS105" s="828"/>
      <c r="AT105" s="828"/>
      <c r="AU105" s="828"/>
      <c r="AV105" s="12"/>
      <c r="AW105" s="12"/>
      <c r="AX105" s="827"/>
      <c r="AY105" s="1084"/>
      <c r="AZ105" s="1084"/>
      <c r="BA105" s="1084"/>
      <c r="BB105" s="1083"/>
      <c r="BC105" s="1085"/>
      <c r="BD105" s="12"/>
      <c r="BE105" s="827"/>
      <c r="BF105" s="829"/>
      <c r="BG105" s="829"/>
      <c r="BH105" s="12"/>
    </row>
    <row r="106" spans="1:60" x14ac:dyDescent="0.2">
      <c r="A106" s="19"/>
      <c r="B106" s="381"/>
      <c r="C106" s="804">
        <v>6000</v>
      </c>
      <c r="D106" s="805">
        <v>22</v>
      </c>
      <c r="E106" s="805">
        <v>23.1</v>
      </c>
      <c r="F106" s="805">
        <v>26.3</v>
      </c>
      <c r="G106" s="805">
        <v>26.2</v>
      </c>
      <c r="H106" s="805">
        <v>27.7</v>
      </c>
      <c r="I106" s="805"/>
      <c r="J106" s="805">
        <v>27.8</v>
      </c>
      <c r="K106" s="806">
        <v>6000</v>
      </c>
      <c r="L106" s="807">
        <v>40.9</v>
      </c>
      <c r="M106" s="807">
        <v>42</v>
      </c>
      <c r="N106" s="807">
        <v>45.9</v>
      </c>
      <c r="O106" s="807">
        <v>47.7</v>
      </c>
      <c r="P106" s="807">
        <v>48.9</v>
      </c>
      <c r="Q106" s="809"/>
      <c r="R106" s="20"/>
      <c r="S106" s="806">
        <v>6000</v>
      </c>
      <c r="T106" s="807">
        <v>61.4</v>
      </c>
      <c r="U106" s="808">
        <v>62.5</v>
      </c>
      <c r="V106" s="375"/>
      <c r="W106" s="375"/>
      <c r="X106" s="375"/>
      <c r="Y106" s="375"/>
      <c r="Z106" s="19"/>
      <c r="AA106" s="19"/>
      <c r="AB106" s="804">
        <v>6000</v>
      </c>
      <c r="AC106" s="20">
        <v>11.3</v>
      </c>
      <c r="AD106" s="824">
        <v>15.9</v>
      </c>
      <c r="AE106" s="369"/>
      <c r="AF106" s="19"/>
      <c r="AG106" s="19"/>
      <c r="AH106" s="827"/>
      <c r="AI106" s="828"/>
      <c r="AJ106" s="828"/>
      <c r="AK106" s="828"/>
      <c r="AL106" s="828"/>
      <c r="AM106" s="828"/>
      <c r="AN106" s="828"/>
      <c r="AO106" s="828"/>
      <c r="AP106" s="827"/>
      <c r="AQ106" s="828"/>
      <c r="AR106" s="828"/>
      <c r="AS106" s="828"/>
      <c r="AT106" s="828"/>
      <c r="AU106" s="828"/>
      <c r="AV106" s="12"/>
      <c r="AW106" s="12"/>
      <c r="AX106" s="827"/>
      <c r="AY106" s="1084"/>
      <c r="AZ106" s="1084"/>
      <c r="BA106" s="1084"/>
      <c r="BB106" s="1084"/>
      <c r="BC106" s="1085"/>
      <c r="BD106" s="12"/>
      <c r="BE106" s="827"/>
      <c r="BF106" s="829"/>
      <c r="BG106" s="829"/>
      <c r="BH106" s="12"/>
    </row>
    <row r="107" spans="1:60" x14ac:dyDescent="0.2">
      <c r="A107" s="19"/>
      <c r="B107" s="381"/>
      <c r="C107" s="804">
        <v>7000</v>
      </c>
      <c r="D107" s="805">
        <v>19.600000000000001</v>
      </c>
      <c r="E107" s="805">
        <v>20.7</v>
      </c>
      <c r="F107" s="805">
        <v>22.6</v>
      </c>
      <c r="G107" s="805">
        <v>23.4</v>
      </c>
      <c r="H107" s="805">
        <v>24.6</v>
      </c>
      <c r="I107" s="805"/>
      <c r="J107" s="805">
        <v>24.9</v>
      </c>
      <c r="K107" s="806">
        <v>7000</v>
      </c>
      <c r="L107" s="807">
        <v>35.700000000000003</v>
      </c>
      <c r="M107" s="807">
        <v>36.700000000000003</v>
      </c>
      <c r="N107" s="807">
        <v>40</v>
      </c>
      <c r="O107" s="807">
        <v>41.6</v>
      </c>
      <c r="P107" s="807">
        <v>42.6</v>
      </c>
      <c r="Q107" s="809"/>
      <c r="R107" s="20"/>
      <c r="S107" s="806">
        <v>7000</v>
      </c>
      <c r="T107" s="807">
        <v>53.6</v>
      </c>
      <c r="U107" s="808">
        <v>54.6</v>
      </c>
      <c r="V107" s="375"/>
      <c r="W107" s="375"/>
      <c r="X107" s="375"/>
      <c r="Y107" s="375"/>
      <c r="Z107" s="19"/>
      <c r="AA107" s="19"/>
      <c r="AB107" s="804">
        <v>7000</v>
      </c>
      <c r="AC107" s="20">
        <v>10.199999999999999</v>
      </c>
      <c r="AD107" s="824">
        <v>14.1</v>
      </c>
      <c r="AE107" s="369"/>
      <c r="AF107" s="19"/>
      <c r="AG107" s="19"/>
      <c r="AH107" s="827"/>
      <c r="AI107" s="828"/>
      <c r="AJ107" s="828"/>
      <c r="AK107" s="828"/>
      <c r="AL107" s="828"/>
      <c r="AM107" s="828"/>
      <c r="AN107" s="828"/>
      <c r="AO107" s="828"/>
      <c r="AP107" s="827"/>
      <c r="AQ107" s="828"/>
      <c r="AR107" s="828"/>
      <c r="AS107" s="828"/>
      <c r="AT107" s="828"/>
      <c r="AU107" s="828"/>
      <c r="AV107" s="12"/>
      <c r="AW107" s="12"/>
      <c r="AX107" s="827"/>
      <c r="AY107" s="1084"/>
      <c r="AZ107" s="1084"/>
      <c r="BA107" s="1084"/>
      <c r="BB107" s="1084"/>
      <c r="BC107" s="1085"/>
      <c r="BD107" s="12"/>
      <c r="BE107" s="827"/>
      <c r="BF107" s="829"/>
      <c r="BG107" s="829"/>
      <c r="BH107" s="12"/>
    </row>
    <row r="108" spans="1:60" x14ac:dyDescent="0.2">
      <c r="A108" s="19"/>
      <c r="B108" s="381"/>
      <c r="C108" s="804">
        <v>8000</v>
      </c>
      <c r="D108" s="805">
        <v>17.7</v>
      </c>
      <c r="E108" s="805">
        <v>18.899999999999999</v>
      </c>
      <c r="F108" s="805">
        <v>20.6</v>
      </c>
      <c r="G108" s="805">
        <v>21.3</v>
      </c>
      <c r="H108" s="805">
        <v>22.3</v>
      </c>
      <c r="I108" s="805"/>
      <c r="J108" s="805">
        <v>22.6</v>
      </c>
      <c r="K108" s="806">
        <v>8000</v>
      </c>
      <c r="L108" s="807">
        <v>31.9</v>
      </c>
      <c r="M108" s="807">
        <v>33.1</v>
      </c>
      <c r="N108" s="807">
        <v>36.200000000000003</v>
      </c>
      <c r="O108" s="807">
        <v>37.6</v>
      </c>
      <c r="P108" s="807">
        <v>38.4</v>
      </c>
      <c r="Q108" s="809"/>
      <c r="R108" s="20"/>
      <c r="S108" s="806">
        <v>8000</v>
      </c>
      <c r="T108" s="807">
        <v>47.7</v>
      </c>
      <c r="U108" s="808">
        <v>48.6</v>
      </c>
      <c r="V108" s="375"/>
      <c r="W108" s="375"/>
      <c r="X108" s="375"/>
      <c r="Y108" s="375"/>
      <c r="Z108" s="19"/>
      <c r="AA108" s="19"/>
      <c r="AB108" s="804">
        <v>8000</v>
      </c>
      <c r="AC108" s="20">
        <v>9.3000000000000007</v>
      </c>
      <c r="AD108" s="824">
        <v>12.8</v>
      </c>
      <c r="AE108" s="369"/>
      <c r="AF108" s="19"/>
      <c r="AG108" s="19"/>
      <c r="AH108" s="827"/>
      <c r="AI108" s="828"/>
      <c r="AJ108" s="828"/>
      <c r="AK108" s="828"/>
      <c r="AL108" s="828"/>
      <c r="AM108" s="828"/>
      <c r="AN108" s="828"/>
      <c r="AO108" s="828"/>
      <c r="AP108" s="827"/>
      <c r="AQ108" s="828"/>
      <c r="AR108" s="828"/>
      <c r="AS108" s="828"/>
      <c r="AT108" s="828"/>
      <c r="AU108" s="828"/>
      <c r="AV108" s="12"/>
      <c r="AW108" s="12"/>
      <c r="AX108" s="827"/>
      <c r="AY108" s="1084"/>
      <c r="AZ108" s="1084"/>
      <c r="BA108" s="1084"/>
      <c r="BB108" s="1084"/>
      <c r="BC108" s="934"/>
      <c r="BD108" s="12"/>
      <c r="BE108" s="827"/>
      <c r="BF108" s="829"/>
      <c r="BG108" s="829"/>
      <c r="BH108" s="12"/>
    </row>
    <row r="109" spans="1:60" x14ac:dyDescent="0.2">
      <c r="A109" s="19"/>
      <c r="B109" s="371"/>
      <c r="C109" s="804">
        <v>9000</v>
      </c>
      <c r="D109" s="805">
        <v>16.3</v>
      </c>
      <c r="E109" s="805">
        <v>17.5</v>
      </c>
      <c r="F109" s="805">
        <v>19.100000000000001</v>
      </c>
      <c r="G109" s="805">
        <v>19.600000000000001</v>
      </c>
      <c r="H109" s="805">
        <v>20.6</v>
      </c>
      <c r="I109" s="805"/>
      <c r="J109" s="805">
        <v>20.9</v>
      </c>
      <c r="K109" s="806">
        <v>9000</v>
      </c>
      <c r="L109" s="807">
        <v>29</v>
      </c>
      <c r="M109" s="807">
        <v>30.1</v>
      </c>
      <c r="N109" s="807">
        <v>32.9</v>
      </c>
      <c r="O109" s="807">
        <v>34.200000000000003</v>
      </c>
      <c r="P109" s="807">
        <v>34.9</v>
      </c>
      <c r="Q109" s="809"/>
      <c r="R109" s="20"/>
      <c r="S109" s="806">
        <v>9000</v>
      </c>
      <c r="T109" s="807">
        <v>43.2</v>
      </c>
      <c r="U109" s="808">
        <v>44</v>
      </c>
      <c r="V109" s="375"/>
      <c r="W109" s="375"/>
      <c r="X109" s="375"/>
      <c r="Y109" s="375"/>
      <c r="Z109" s="19"/>
      <c r="AA109" s="19"/>
      <c r="AB109" s="804">
        <v>9000</v>
      </c>
      <c r="AC109" s="20">
        <v>8.6</v>
      </c>
      <c r="AD109" s="824">
        <v>11.7</v>
      </c>
      <c r="AE109" s="369"/>
      <c r="AF109" s="19"/>
      <c r="AG109" s="19"/>
      <c r="AH109" s="827"/>
      <c r="AI109" s="828"/>
      <c r="AJ109" s="828"/>
      <c r="AK109" s="828"/>
      <c r="AL109" s="828"/>
      <c r="AM109" s="828"/>
      <c r="AN109" s="828"/>
      <c r="AO109" s="828"/>
      <c r="AP109" s="827"/>
      <c r="AQ109" s="828"/>
      <c r="AR109" s="828"/>
      <c r="AS109" s="828"/>
      <c r="AT109" s="828"/>
      <c r="AU109" s="828"/>
      <c r="AV109" s="12"/>
      <c r="AW109" s="12"/>
      <c r="AX109" s="827"/>
      <c r="AY109" s="1084"/>
      <c r="AZ109" s="1084"/>
      <c r="BA109" s="1084"/>
      <c r="BB109" s="1084"/>
      <c r="BC109" s="1082"/>
      <c r="BD109" s="12"/>
      <c r="BE109" s="827"/>
      <c r="BF109" s="829"/>
      <c r="BG109" s="829"/>
      <c r="BH109" s="12"/>
    </row>
    <row r="110" spans="1:60" x14ac:dyDescent="0.2">
      <c r="A110" s="19"/>
      <c r="B110" s="371"/>
      <c r="C110" s="804">
        <v>10000</v>
      </c>
      <c r="D110" s="805">
        <v>15.2</v>
      </c>
      <c r="E110" s="805">
        <v>16.399999999999999</v>
      </c>
      <c r="F110" s="805">
        <v>17.8</v>
      </c>
      <c r="G110" s="805">
        <v>18.3</v>
      </c>
      <c r="H110" s="805">
        <v>19.2</v>
      </c>
      <c r="I110" s="805"/>
      <c r="J110" s="805">
        <v>19.5</v>
      </c>
      <c r="K110" s="806">
        <v>10000</v>
      </c>
      <c r="L110" s="807">
        <v>26.6</v>
      </c>
      <c r="M110" s="807">
        <v>27.7</v>
      </c>
      <c r="N110" s="807">
        <v>30.5</v>
      </c>
      <c r="O110" s="807">
        <v>31.5</v>
      </c>
      <c r="P110" s="807">
        <v>32.200000000000003</v>
      </c>
      <c r="Q110" s="809"/>
      <c r="R110" s="20"/>
      <c r="S110" s="806">
        <v>10000</v>
      </c>
      <c r="T110" s="807">
        <v>39.6</v>
      </c>
      <c r="U110" s="808">
        <v>40.299999999999997</v>
      </c>
      <c r="V110" s="375"/>
      <c r="W110" s="375"/>
      <c r="X110" s="375"/>
      <c r="Y110" s="375"/>
      <c r="Z110" s="19"/>
      <c r="AA110" s="19"/>
      <c r="AB110" s="804">
        <v>10000</v>
      </c>
      <c r="AC110" s="20">
        <v>8.1</v>
      </c>
      <c r="AD110" s="824">
        <v>10.9</v>
      </c>
      <c r="AE110" s="369"/>
      <c r="AF110" s="19"/>
      <c r="AG110" s="19"/>
      <c r="AH110" s="827"/>
      <c r="AI110" s="828"/>
      <c r="AJ110" s="828"/>
      <c r="AK110" s="828"/>
      <c r="AL110" s="828"/>
      <c r="AM110" s="828"/>
      <c r="AN110" s="828"/>
      <c r="AO110" s="828"/>
      <c r="AP110" s="827"/>
      <c r="AQ110" s="828"/>
      <c r="AR110" s="828"/>
      <c r="AS110" s="828"/>
      <c r="AT110" s="828"/>
      <c r="AU110" s="828"/>
      <c r="AV110" s="12"/>
      <c r="AW110" s="12"/>
      <c r="AX110" s="827"/>
      <c r="AY110" s="1084"/>
      <c r="AZ110" s="1084"/>
      <c r="BA110" s="1084"/>
      <c r="BB110" s="1084"/>
      <c r="BC110" s="934"/>
      <c r="BD110" s="12"/>
      <c r="BE110" s="827"/>
      <c r="BF110" s="829"/>
      <c r="BG110" s="829"/>
      <c r="BH110" s="12"/>
    </row>
    <row r="111" spans="1:60" x14ac:dyDescent="0.2">
      <c r="A111" s="19"/>
      <c r="B111" s="371"/>
      <c r="C111" s="804">
        <v>15000</v>
      </c>
      <c r="D111" s="805">
        <v>10.8</v>
      </c>
      <c r="E111" s="805">
        <v>13</v>
      </c>
      <c r="F111" s="805">
        <v>14</v>
      </c>
      <c r="G111" s="805">
        <v>14.4</v>
      </c>
      <c r="H111" s="805">
        <v>15.2</v>
      </c>
      <c r="I111" s="805"/>
      <c r="J111" s="805">
        <v>15.6</v>
      </c>
      <c r="K111" s="806">
        <v>15000</v>
      </c>
      <c r="L111" s="807">
        <v>19.399999999999999</v>
      </c>
      <c r="M111" s="807">
        <v>20.100000000000001</v>
      </c>
      <c r="N111" s="807">
        <v>22</v>
      </c>
      <c r="O111" s="807">
        <v>22.7</v>
      </c>
      <c r="P111" s="807">
        <v>23.2</v>
      </c>
      <c r="Q111" s="809"/>
      <c r="R111" s="20"/>
      <c r="S111" s="806">
        <v>15000</v>
      </c>
      <c r="T111" s="807">
        <v>27.7</v>
      </c>
      <c r="U111" s="808">
        <v>29</v>
      </c>
      <c r="V111" s="375"/>
      <c r="W111" s="375"/>
      <c r="X111" s="375"/>
      <c r="Y111" s="375"/>
      <c r="Z111" s="19"/>
      <c r="AA111" s="19"/>
      <c r="AB111" s="804">
        <v>15000</v>
      </c>
      <c r="AC111" s="20">
        <v>6.4</v>
      </c>
      <c r="AD111" s="824">
        <v>8.4</v>
      </c>
      <c r="AE111" s="369"/>
      <c r="AF111" s="19"/>
      <c r="AG111" s="19"/>
      <c r="AH111" s="827"/>
      <c r="AI111" s="828"/>
      <c r="AJ111" s="828"/>
      <c r="AK111" s="828"/>
      <c r="AL111" s="828"/>
      <c r="AM111" s="828"/>
      <c r="AN111" s="828"/>
      <c r="AO111" s="828"/>
      <c r="AP111" s="827"/>
      <c r="AQ111" s="828"/>
      <c r="AR111" s="828"/>
      <c r="AS111" s="828"/>
      <c r="AT111" s="828"/>
      <c r="AU111" s="828"/>
      <c r="AV111" s="12"/>
      <c r="AW111" s="12"/>
      <c r="AX111" s="827"/>
      <c r="AY111" s="828"/>
      <c r="AZ111" s="828"/>
      <c r="BA111" s="12"/>
      <c r="BB111" s="12"/>
      <c r="BC111" s="12"/>
      <c r="BD111" s="12"/>
      <c r="BE111" s="827"/>
      <c r="BF111" s="829"/>
      <c r="BG111" s="829"/>
      <c r="BH111" s="12"/>
    </row>
    <row r="112" spans="1:60" x14ac:dyDescent="0.2">
      <c r="A112" s="19"/>
      <c r="B112" s="371"/>
      <c r="C112" s="804">
        <v>20000</v>
      </c>
      <c r="D112" s="805">
        <v>10.1</v>
      </c>
      <c r="E112" s="805">
        <v>11.3</v>
      </c>
      <c r="F112" s="805">
        <v>12.1</v>
      </c>
      <c r="G112" s="805">
        <v>12.4</v>
      </c>
      <c r="H112" s="805">
        <v>13</v>
      </c>
      <c r="I112" s="805"/>
      <c r="J112" s="805">
        <v>13.2</v>
      </c>
      <c r="K112" s="806">
        <v>20000</v>
      </c>
      <c r="L112" s="807">
        <v>15.9</v>
      </c>
      <c r="M112" s="807">
        <v>17.100000000000001</v>
      </c>
      <c r="N112" s="807">
        <v>18.600000000000001</v>
      </c>
      <c r="O112" s="807">
        <v>19.100000000000001</v>
      </c>
      <c r="P112" s="807">
        <v>20.100000000000001</v>
      </c>
      <c r="Q112" s="809"/>
      <c r="R112" s="20"/>
      <c r="S112" s="806">
        <v>20000</v>
      </c>
      <c r="T112" s="807">
        <v>22.6</v>
      </c>
      <c r="U112" s="808">
        <v>23.6</v>
      </c>
      <c r="V112" s="375"/>
      <c r="W112" s="375"/>
      <c r="X112" s="375"/>
      <c r="Y112" s="375"/>
      <c r="Z112" s="19"/>
      <c r="AA112" s="19"/>
      <c r="AB112" s="804">
        <v>20000</v>
      </c>
      <c r="AC112" s="20">
        <v>5.6</v>
      </c>
      <c r="AD112" s="824">
        <v>8.8000000000000007</v>
      </c>
      <c r="AE112" s="369"/>
      <c r="AF112" s="19"/>
      <c r="AG112" s="19"/>
      <c r="AH112" s="827"/>
      <c r="AI112" s="828"/>
      <c r="AJ112" s="828"/>
      <c r="AK112" s="828"/>
      <c r="AL112" s="828"/>
      <c r="AM112" s="828"/>
      <c r="AN112" s="828"/>
      <c r="AO112" s="828"/>
      <c r="AP112" s="827"/>
      <c r="AQ112" s="828"/>
      <c r="AR112" s="828"/>
      <c r="AS112" s="828"/>
      <c r="AT112" s="828"/>
      <c r="AU112" s="828"/>
      <c r="AV112" s="12"/>
      <c r="AW112" s="12"/>
      <c r="AX112" s="827"/>
      <c r="AY112" s="828"/>
      <c r="AZ112" s="828"/>
      <c r="BA112" s="12"/>
      <c r="BB112" s="12"/>
      <c r="BC112" s="12"/>
      <c r="BD112" s="12"/>
      <c r="BE112" s="827"/>
      <c r="BF112" s="829"/>
      <c r="BG112" s="829"/>
      <c r="BH112" s="12"/>
    </row>
    <row r="113" spans="1:60" x14ac:dyDescent="0.2">
      <c r="A113" s="19"/>
      <c r="B113" s="371"/>
      <c r="C113" s="804">
        <v>25000</v>
      </c>
      <c r="D113" s="805">
        <v>9.1</v>
      </c>
      <c r="E113" s="805">
        <v>10.3</v>
      </c>
      <c r="F113" s="805">
        <v>11</v>
      </c>
      <c r="G113" s="805">
        <v>11.2</v>
      </c>
      <c r="H113" s="805">
        <v>11.7</v>
      </c>
      <c r="I113" s="805"/>
      <c r="J113" s="805">
        <v>12</v>
      </c>
      <c r="K113" s="806">
        <v>25000</v>
      </c>
      <c r="L113" s="807">
        <v>13.8</v>
      </c>
      <c r="M113" s="807">
        <v>14.8</v>
      </c>
      <c r="N113" s="807">
        <v>16</v>
      </c>
      <c r="O113" s="807">
        <v>16.399999999999999</v>
      </c>
      <c r="P113" s="807">
        <v>17.2</v>
      </c>
      <c r="Q113" s="807"/>
      <c r="R113" s="20"/>
      <c r="S113" s="806">
        <v>25000</v>
      </c>
      <c r="T113" s="807">
        <v>18.5</v>
      </c>
      <c r="U113" s="808">
        <v>19.3</v>
      </c>
      <c r="V113" s="375"/>
      <c r="W113" s="375"/>
      <c r="X113" s="375"/>
      <c r="Y113" s="375"/>
      <c r="Z113" s="19"/>
      <c r="AA113" s="19"/>
      <c r="AB113" s="804">
        <v>25000</v>
      </c>
      <c r="AC113" s="20">
        <v>5.0999999999999996</v>
      </c>
      <c r="AD113" s="824">
        <v>6.4</v>
      </c>
      <c r="AE113" s="369"/>
      <c r="AF113" s="19"/>
      <c r="AG113" s="19"/>
      <c r="AH113" s="827"/>
      <c r="AI113" s="828"/>
      <c r="AJ113" s="828"/>
      <c r="AK113" s="828"/>
      <c r="AL113" s="828"/>
      <c r="AM113" s="828"/>
      <c r="AN113" s="828"/>
      <c r="AO113" s="828"/>
      <c r="AP113" s="827"/>
      <c r="AQ113" s="828"/>
      <c r="AR113" s="828"/>
      <c r="AS113" s="828"/>
      <c r="AT113" s="828"/>
      <c r="AU113" s="828"/>
      <c r="AV113" s="12"/>
      <c r="AW113" s="12"/>
      <c r="AX113" s="827"/>
      <c r="AY113" s="828"/>
      <c r="AZ113" s="828"/>
      <c r="BA113" s="12"/>
      <c r="BB113" s="12"/>
      <c r="BC113" s="12"/>
      <c r="BD113" s="12"/>
      <c r="BE113" s="827"/>
      <c r="BF113" s="829"/>
      <c r="BG113" s="829"/>
      <c r="BH113" s="12"/>
    </row>
    <row r="114" spans="1:60" x14ac:dyDescent="0.2">
      <c r="A114" s="19"/>
      <c r="B114" s="371"/>
      <c r="C114" s="804">
        <v>30000</v>
      </c>
      <c r="D114" s="805">
        <v>8.4</v>
      </c>
      <c r="E114" s="805">
        <v>9.5</v>
      </c>
      <c r="F114" s="805">
        <v>10.3</v>
      </c>
      <c r="G114" s="805">
        <v>10.4</v>
      </c>
      <c r="H114" s="805">
        <v>10.9</v>
      </c>
      <c r="I114" s="805"/>
      <c r="J114" s="805">
        <v>11.2</v>
      </c>
      <c r="K114" s="806">
        <v>30000</v>
      </c>
      <c r="L114" s="807">
        <v>12.4</v>
      </c>
      <c r="M114" s="807">
        <v>13.7</v>
      </c>
      <c r="N114" s="807">
        <v>14.8</v>
      </c>
      <c r="O114" s="807">
        <v>15.3</v>
      </c>
      <c r="P114" s="807">
        <v>14.4</v>
      </c>
      <c r="Q114" s="809"/>
      <c r="R114" s="20"/>
      <c r="S114" s="806">
        <v>30000</v>
      </c>
      <c r="T114" s="807">
        <v>16.5</v>
      </c>
      <c r="U114" s="808">
        <v>17.8</v>
      </c>
      <c r="V114" s="375"/>
      <c r="W114" s="375"/>
      <c r="X114" s="375"/>
      <c r="Y114" s="375"/>
      <c r="Z114" s="19"/>
      <c r="AA114" s="19"/>
      <c r="AB114" s="804">
        <v>30000</v>
      </c>
      <c r="AC114" s="20">
        <v>4.8</v>
      </c>
      <c r="AD114" s="824">
        <v>5.9</v>
      </c>
      <c r="AE114" s="369"/>
      <c r="AF114" s="19"/>
      <c r="AG114" s="19"/>
      <c r="AH114" s="827"/>
      <c r="AI114" s="828"/>
      <c r="AJ114" s="828"/>
      <c r="AK114" s="828"/>
      <c r="AL114" s="828"/>
      <c r="AM114" s="828"/>
      <c r="AN114" s="828"/>
      <c r="AO114" s="828"/>
      <c r="AP114" s="827"/>
      <c r="AQ114" s="828"/>
      <c r="AR114" s="828"/>
      <c r="AS114" s="828"/>
      <c r="AT114" s="828"/>
      <c r="AU114" s="828"/>
      <c r="AV114" s="12"/>
      <c r="AW114" s="12"/>
      <c r="AX114" s="827"/>
      <c r="AY114" s="828"/>
      <c r="AZ114" s="828"/>
      <c r="BA114" s="12"/>
      <c r="BB114" s="12"/>
      <c r="BC114" s="12"/>
      <c r="BD114" s="12"/>
      <c r="BE114" s="827"/>
      <c r="BF114" s="829"/>
      <c r="BG114" s="829"/>
      <c r="BH114" s="12"/>
    </row>
    <row r="115" spans="1:60" x14ac:dyDescent="0.2">
      <c r="A115" s="19"/>
      <c r="B115" s="371"/>
      <c r="C115" s="804">
        <v>40000</v>
      </c>
      <c r="D115" s="805">
        <v>7.7</v>
      </c>
      <c r="E115" s="805">
        <v>8.6999999999999993</v>
      </c>
      <c r="F115" s="805">
        <v>9.3000000000000007</v>
      </c>
      <c r="G115" s="805">
        <v>9.4</v>
      </c>
      <c r="H115" s="805">
        <v>9.8000000000000007</v>
      </c>
      <c r="I115" s="805"/>
      <c r="J115" s="805">
        <v>10.1</v>
      </c>
      <c r="K115" s="806">
        <v>40000</v>
      </c>
      <c r="L115" s="807">
        <v>10.5</v>
      </c>
      <c r="M115" s="807">
        <v>11.8</v>
      </c>
      <c r="N115" s="807">
        <v>12.6</v>
      </c>
      <c r="O115" s="807">
        <v>12.9</v>
      </c>
      <c r="P115" s="807">
        <v>13.6</v>
      </c>
      <c r="Q115" s="809"/>
      <c r="R115" s="20"/>
      <c r="S115" s="806">
        <v>40000</v>
      </c>
      <c r="T115" s="807">
        <v>15.1</v>
      </c>
      <c r="U115" s="808">
        <v>16.3</v>
      </c>
      <c r="V115" s="375"/>
      <c r="W115" s="375"/>
      <c r="X115" s="375"/>
      <c r="Y115" s="375"/>
      <c r="Z115" s="19"/>
      <c r="AA115" s="19"/>
      <c r="AB115" s="804">
        <v>40000</v>
      </c>
      <c r="AC115" s="20">
        <v>4.3</v>
      </c>
      <c r="AD115" s="824">
        <v>5.3</v>
      </c>
      <c r="AE115" s="369"/>
      <c r="AF115" s="19"/>
      <c r="AG115" s="19"/>
      <c r="AH115" s="827"/>
      <c r="AI115" s="828"/>
      <c r="AJ115" s="828"/>
      <c r="AK115" s="828"/>
      <c r="AL115" s="828"/>
      <c r="AM115" s="828"/>
      <c r="AN115" s="828"/>
      <c r="AO115" s="828"/>
      <c r="AP115" s="827"/>
      <c r="AQ115" s="828"/>
      <c r="AR115" s="828"/>
      <c r="AS115" s="828"/>
      <c r="AT115" s="828"/>
      <c r="AU115" s="828"/>
      <c r="AV115" s="12"/>
      <c r="AW115" s="12"/>
      <c r="AX115" s="827"/>
      <c r="AY115" s="828"/>
      <c r="AZ115" s="828"/>
      <c r="BA115" s="12"/>
      <c r="BB115" s="12"/>
      <c r="BC115" s="12"/>
      <c r="BD115" s="12"/>
      <c r="BE115" s="827"/>
      <c r="BF115" s="829"/>
      <c r="BG115" s="829"/>
      <c r="BH115" s="12"/>
    </row>
    <row r="116" spans="1:60" x14ac:dyDescent="0.2">
      <c r="A116" s="19"/>
      <c r="B116" s="371"/>
      <c r="C116" s="804">
        <v>50000</v>
      </c>
      <c r="D116" s="805">
        <v>7</v>
      </c>
      <c r="E116" s="805">
        <v>8.1999999999999993</v>
      </c>
      <c r="F116" s="805">
        <v>8.6</v>
      </c>
      <c r="G116" s="805">
        <v>8.9</v>
      </c>
      <c r="H116" s="805">
        <v>9.1999999999999993</v>
      </c>
      <c r="I116" s="805"/>
      <c r="J116" s="805">
        <v>9.5</v>
      </c>
      <c r="K116" s="806">
        <v>50000</v>
      </c>
      <c r="L116" s="807">
        <v>9.5</v>
      </c>
      <c r="M116" s="807">
        <v>10.7</v>
      </c>
      <c r="N116" s="807">
        <v>11.5</v>
      </c>
      <c r="O116" s="807">
        <v>11.7</v>
      </c>
      <c r="P116" s="807">
        <v>12.2</v>
      </c>
      <c r="Q116" s="809"/>
      <c r="R116" s="20"/>
      <c r="S116" s="806">
        <v>50000</v>
      </c>
      <c r="T116" s="807">
        <v>13.8</v>
      </c>
      <c r="U116" s="808">
        <v>14.9</v>
      </c>
      <c r="V116" s="375"/>
      <c r="W116" s="375"/>
      <c r="X116" s="375"/>
      <c r="Y116" s="375"/>
      <c r="Z116" s="19"/>
      <c r="AA116" s="19"/>
      <c r="AB116" s="804">
        <v>50000</v>
      </c>
      <c r="AC116" s="20">
        <v>4.0999999999999996</v>
      </c>
      <c r="AD116" s="824">
        <v>4.7</v>
      </c>
      <c r="AE116" s="19"/>
      <c r="AF116" s="19"/>
      <c r="AG116" s="19"/>
      <c r="AH116" s="827"/>
      <c r="AI116" s="828"/>
      <c r="AJ116" s="828"/>
      <c r="AK116" s="828"/>
      <c r="AL116" s="828"/>
      <c r="AM116" s="828"/>
      <c r="AN116" s="828"/>
      <c r="AO116" s="828"/>
      <c r="AP116" s="827"/>
      <c r="AQ116" s="828"/>
      <c r="AR116" s="828"/>
      <c r="AS116" s="828"/>
      <c r="AT116" s="828"/>
      <c r="AU116" s="828"/>
      <c r="AV116" s="12"/>
      <c r="AW116" s="12"/>
      <c r="AX116" s="827"/>
      <c r="AY116" s="828"/>
      <c r="AZ116" s="828"/>
      <c r="BA116" s="12"/>
      <c r="BB116" s="12"/>
      <c r="BC116" s="12"/>
      <c r="BD116" s="12"/>
      <c r="BE116" s="827"/>
      <c r="BF116" s="829"/>
      <c r="BG116" s="829"/>
      <c r="BH116" s="12"/>
    </row>
    <row r="117" spans="1:60" x14ac:dyDescent="0.2">
      <c r="A117" s="19"/>
      <c r="B117" s="371"/>
      <c r="C117" s="804">
        <v>60000</v>
      </c>
      <c r="D117" s="805">
        <v>6.7</v>
      </c>
      <c r="E117" s="805">
        <v>7.9</v>
      </c>
      <c r="F117" s="805">
        <v>8.1999999999999993</v>
      </c>
      <c r="G117" s="805">
        <v>8.5</v>
      </c>
      <c r="H117" s="805">
        <v>8.8000000000000007</v>
      </c>
      <c r="I117" s="805"/>
      <c r="J117" s="805">
        <v>9.1</v>
      </c>
      <c r="K117" s="806">
        <v>60000</v>
      </c>
      <c r="L117" s="807">
        <v>8.6999999999999993</v>
      </c>
      <c r="M117" s="807">
        <v>9.9</v>
      </c>
      <c r="N117" s="807">
        <v>10.7</v>
      </c>
      <c r="O117" s="807">
        <v>10.8</v>
      </c>
      <c r="P117" s="807">
        <v>11.3</v>
      </c>
      <c r="Q117" s="809"/>
      <c r="R117" s="20"/>
      <c r="S117" s="806">
        <v>60000</v>
      </c>
      <c r="T117" s="807">
        <v>12.1</v>
      </c>
      <c r="U117" s="808">
        <v>12.3</v>
      </c>
      <c r="V117" s="375"/>
      <c r="W117" s="375"/>
      <c r="X117" s="375"/>
      <c r="Y117" s="375"/>
      <c r="Z117" s="19"/>
      <c r="AA117" s="19"/>
      <c r="AB117" s="804">
        <v>60000</v>
      </c>
      <c r="AC117" s="20">
        <v>3.9</v>
      </c>
      <c r="AD117" s="824">
        <v>4.5</v>
      </c>
      <c r="AE117" s="19"/>
      <c r="AF117" s="19"/>
      <c r="AG117" s="19"/>
      <c r="AH117" s="827"/>
      <c r="AI117" s="828"/>
      <c r="AJ117" s="828"/>
      <c r="AK117" s="828"/>
      <c r="AL117" s="828"/>
      <c r="AM117" s="828"/>
      <c r="AN117" s="828"/>
      <c r="AO117" s="828"/>
      <c r="AP117" s="827"/>
      <c r="AQ117" s="828"/>
      <c r="AR117" s="828"/>
      <c r="AS117" s="828"/>
      <c r="AT117" s="828"/>
      <c r="AU117" s="828"/>
      <c r="AV117" s="12"/>
      <c r="AW117" s="12"/>
      <c r="AX117" s="827"/>
      <c r="AY117" s="828"/>
      <c r="AZ117" s="828"/>
      <c r="BA117" s="12"/>
      <c r="BB117" s="12"/>
      <c r="BC117" s="12"/>
      <c r="BD117" s="12"/>
      <c r="BE117" s="827"/>
      <c r="BF117" s="829"/>
      <c r="BG117" s="829"/>
      <c r="BH117" s="12"/>
    </row>
    <row r="118" spans="1:60" x14ac:dyDescent="0.2">
      <c r="A118" s="19"/>
      <c r="B118" s="158"/>
      <c r="C118" s="804">
        <v>80000</v>
      </c>
      <c r="D118" s="805">
        <v>6.2</v>
      </c>
      <c r="E118" s="805">
        <v>7.4</v>
      </c>
      <c r="F118" s="805">
        <v>7.7</v>
      </c>
      <c r="G118" s="805">
        <v>8</v>
      </c>
      <c r="H118" s="805">
        <v>8.3000000000000007</v>
      </c>
      <c r="I118" s="805"/>
      <c r="J118" s="805">
        <v>8.6</v>
      </c>
      <c r="K118" s="806">
        <v>80000</v>
      </c>
      <c r="L118" s="807">
        <v>8</v>
      </c>
      <c r="M118" s="807">
        <v>9</v>
      </c>
      <c r="N118" s="807">
        <v>9.6999999999999993</v>
      </c>
      <c r="O118" s="807">
        <v>9.8000000000000007</v>
      </c>
      <c r="P118" s="807">
        <v>10.199999999999999</v>
      </c>
      <c r="Q118" s="809"/>
      <c r="R118" s="20"/>
      <c r="S118" s="806">
        <v>80000</v>
      </c>
      <c r="T118" s="807">
        <v>10</v>
      </c>
      <c r="U118" s="808">
        <v>11.2</v>
      </c>
      <c r="V118" s="375"/>
      <c r="W118" s="375"/>
      <c r="X118" s="375"/>
      <c r="Y118" s="375"/>
      <c r="Z118" s="19"/>
      <c r="AA118" s="19"/>
      <c r="AB118" s="825">
        <v>80000</v>
      </c>
      <c r="AC118" s="20">
        <v>3.7</v>
      </c>
      <c r="AD118" s="824">
        <v>4.2</v>
      </c>
      <c r="AE118" s="19"/>
      <c r="AF118" s="19"/>
      <c r="AG118" s="19"/>
      <c r="AH118" s="827"/>
      <c r="AI118" s="828"/>
      <c r="AJ118" s="828"/>
      <c r="AK118" s="828"/>
      <c r="AL118" s="828"/>
      <c r="AM118" s="828"/>
      <c r="AN118" s="828"/>
      <c r="AO118" s="828"/>
      <c r="AP118" s="827"/>
      <c r="AQ118" s="828"/>
      <c r="AR118" s="828"/>
      <c r="AS118" s="828"/>
      <c r="AT118" s="828"/>
      <c r="AU118" s="828"/>
      <c r="AV118" s="12"/>
      <c r="AW118" s="12"/>
      <c r="AX118" s="827"/>
      <c r="AY118" s="828"/>
      <c r="AZ118" s="828"/>
      <c r="BA118" s="12"/>
      <c r="BB118" s="12"/>
      <c r="BC118" s="12"/>
      <c r="BD118" s="12"/>
      <c r="BE118" s="830"/>
      <c r="BF118" s="829"/>
      <c r="BG118" s="829"/>
      <c r="BH118" s="12"/>
    </row>
    <row r="119" spans="1:60" x14ac:dyDescent="0.2">
      <c r="A119" s="19"/>
      <c r="B119" s="158"/>
      <c r="C119" s="804">
        <v>100000</v>
      </c>
      <c r="D119" s="805">
        <v>5.9</v>
      </c>
      <c r="E119" s="805">
        <v>7.1</v>
      </c>
      <c r="F119" s="805">
        <v>7.3</v>
      </c>
      <c r="G119" s="805">
        <v>7.7</v>
      </c>
      <c r="H119" s="805">
        <v>7.9</v>
      </c>
      <c r="I119" s="805"/>
      <c r="J119" s="805">
        <v>8.3000000000000007</v>
      </c>
      <c r="K119" s="806">
        <v>100000</v>
      </c>
      <c r="L119" s="807">
        <v>7.3</v>
      </c>
      <c r="M119" s="807">
        <v>8.5</v>
      </c>
      <c r="N119" s="807">
        <v>8.9</v>
      </c>
      <c r="O119" s="807">
        <v>9.1999999999999993</v>
      </c>
      <c r="P119" s="807">
        <v>9.6</v>
      </c>
      <c r="Q119" s="809"/>
      <c r="R119" s="20"/>
      <c r="S119" s="806">
        <v>100000</v>
      </c>
      <c r="T119" s="807">
        <v>9.1999999999999993</v>
      </c>
      <c r="U119" s="808">
        <v>10.3</v>
      </c>
      <c r="V119" s="375"/>
      <c r="W119" s="375"/>
      <c r="X119" s="375"/>
      <c r="Y119" s="375"/>
      <c r="Z119" s="19"/>
      <c r="AA119" s="19"/>
      <c r="AB119" s="825">
        <v>100000</v>
      </c>
      <c r="AC119" s="20">
        <v>3.6</v>
      </c>
      <c r="AD119" s="824">
        <v>4</v>
      </c>
      <c r="AE119" s="19"/>
      <c r="AF119" s="19"/>
      <c r="AG119" s="19"/>
      <c r="AH119" s="827"/>
      <c r="AI119" s="828"/>
      <c r="AJ119" s="828"/>
      <c r="AK119" s="828"/>
      <c r="AL119" s="828"/>
      <c r="AM119" s="828"/>
      <c r="AN119" s="828"/>
      <c r="AO119" s="828"/>
      <c r="AP119" s="827"/>
      <c r="AQ119" s="828"/>
      <c r="AR119" s="828"/>
      <c r="AS119" s="828"/>
      <c r="AT119" s="828"/>
      <c r="AU119" s="828"/>
      <c r="AV119" s="12"/>
      <c r="AW119" s="12"/>
      <c r="AX119" s="827"/>
      <c r="AY119" s="828"/>
      <c r="AZ119" s="828"/>
      <c r="BA119" s="12"/>
      <c r="BB119" s="12"/>
      <c r="BC119" s="12"/>
      <c r="BD119" s="12"/>
      <c r="BE119" s="830"/>
      <c r="BF119" s="829"/>
      <c r="BG119" s="829"/>
      <c r="BH119" s="12"/>
    </row>
    <row r="120" spans="1:60" x14ac:dyDescent="0.2">
      <c r="A120" s="19"/>
      <c r="B120" s="158"/>
      <c r="C120" s="804">
        <v>150000</v>
      </c>
      <c r="D120" s="805">
        <v>5.6</v>
      </c>
      <c r="E120" s="805">
        <v>6.7</v>
      </c>
      <c r="F120" s="805">
        <v>6.9</v>
      </c>
      <c r="G120" s="805">
        <v>7.3</v>
      </c>
      <c r="H120" s="805">
        <v>7.5</v>
      </c>
      <c r="I120" s="805"/>
      <c r="J120" s="805">
        <v>7.8</v>
      </c>
      <c r="K120" s="806">
        <v>150000</v>
      </c>
      <c r="L120" s="807">
        <v>6.3</v>
      </c>
      <c r="M120" s="807">
        <v>7.4</v>
      </c>
      <c r="N120" s="807">
        <v>7.6</v>
      </c>
      <c r="O120" s="807">
        <v>8</v>
      </c>
      <c r="P120" s="807">
        <v>8.1999999999999993</v>
      </c>
      <c r="Q120" s="809"/>
      <c r="R120" s="20"/>
      <c r="S120" s="806">
        <v>150000</v>
      </c>
      <c r="T120" s="807">
        <v>7.5</v>
      </c>
      <c r="U120" s="808">
        <v>8.8000000000000007</v>
      </c>
      <c r="V120" s="375"/>
      <c r="W120" s="375"/>
      <c r="X120" s="375"/>
      <c r="Y120" s="375"/>
      <c r="Z120" s="19"/>
      <c r="AA120" s="19"/>
      <c r="AB120" s="804">
        <v>150000</v>
      </c>
      <c r="AC120" s="20">
        <v>3.3</v>
      </c>
      <c r="AD120" s="824">
        <v>3.8</v>
      </c>
      <c r="AE120" s="19"/>
      <c r="AF120" s="19"/>
      <c r="AG120" s="19"/>
      <c r="AH120" s="827"/>
      <c r="AI120" s="831"/>
      <c r="AJ120" s="831"/>
      <c r="AK120" s="831"/>
      <c r="AL120" s="831"/>
      <c r="AM120" s="831"/>
      <c r="AN120" s="831"/>
      <c r="AO120" s="831"/>
      <c r="AP120" s="827"/>
      <c r="AQ120" s="831"/>
      <c r="AR120" s="831"/>
      <c r="AS120" s="831"/>
      <c r="AT120" s="831"/>
      <c r="AU120" s="831"/>
      <c r="AV120" s="12"/>
      <c r="AW120" s="12"/>
      <c r="AX120" s="827"/>
      <c r="AY120" s="831"/>
      <c r="AZ120" s="831"/>
      <c r="BA120" s="12"/>
      <c r="BB120" s="12"/>
      <c r="BC120" s="12"/>
      <c r="BD120" s="12"/>
      <c r="BE120" s="827"/>
      <c r="BF120" s="832"/>
      <c r="BG120" s="832"/>
      <c r="BH120" s="12"/>
    </row>
    <row r="121" spans="1:60" x14ac:dyDescent="0.2">
      <c r="A121" s="19"/>
      <c r="B121" s="158"/>
      <c r="C121" s="810">
        <v>150001</v>
      </c>
      <c r="D121" s="811">
        <v>5.4</v>
      </c>
      <c r="E121" s="811">
        <v>6.5</v>
      </c>
      <c r="F121" s="811">
        <v>6.6</v>
      </c>
      <c r="G121" s="811">
        <v>7.1</v>
      </c>
      <c r="H121" s="811">
        <v>7.3</v>
      </c>
      <c r="I121" s="811"/>
      <c r="J121" s="811">
        <v>7.6</v>
      </c>
      <c r="K121" s="812">
        <v>150001</v>
      </c>
      <c r="L121" s="813">
        <v>6.1</v>
      </c>
      <c r="M121" s="813">
        <v>6.9</v>
      </c>
      <c r="N121" s="813">
        <v>7.1</v>
      </c>
      <c r="O121" s="813">
        <v>7.6</v>
      </c>
      <c r="P121" s="813">
        <v>7.8</v>
      </c>
      <c r="Q121" s="813"/>
      <c r="R121" s="17"/>
      <c r="S121" s="812">
        <v>150001</v>
      </c>
      <c r="T121" s="813">
        <v>6.9</v>
      </c>
      <c r="U121" s="814">
        <v>8</v>
      </c>
      <c r="V121" s="374"/>
      <c r="W121" s="374"/>
      <c r="X121" s="374"/>
      <c r="Y121" s="374"/>
      <c r="Z121" s="19"/>
      <c r="AA121" s="19"/>
      <c r="AB121" s="810">
        <v>150001</v>
      </c>
      <c r="AC121" s="17">
        <v>3.2</v>
      </c>
      <c r="AD121" s="826">
        <v>3.7</v>
      </c>
      <c r="AH121" s="827"/>
      <c r="AI121" s="831"/>
      <c r="AJ121" s="831"/>
      <c r="AK121" s="831"/>
      <c r="AL121" s="831"/>
      <c r="AM121" s="831"/>
      <c r="AN121" s="831"/>
      <c r="AO121" s="831"/>
      <c r="AP121" s="827"/>
      <c r="AQ121" s="807"/>
      <c r="AR121" s="807"/>
      <c r="AS121" s="807"/>
      <c r="AT121" s="807"/>
      <c r="AU121" s="807"/>
      <c r="AV121" s="12"/>
      <c r="AW121" s="12"/>
      <c r="AX121" s="827"/>
      <c r="AY121" s="807"/>
      <c r="AZ121" s="807"/>
      <c r="BA121" s="12"/>
      <c r="BB121" s="12"/>
      <c r="BC121" s="12"/>
      <c r="BD121" s="12"/>
      <c r="BE121" s="827"/>
      <c r="BF121" s="155"/>
      <c r="BG121" s="155"/>
      <c r="BH121" s="12"/>
    </row>
    <row r="122" spans="1:60" x14ac:dyDescent="0.2">
      <c r="A122" s="19"/>
      <c r="B122" s="158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</row>
    <row r="123" spans="1:60" x14ac:dyDescent="0.2">
      <c r="A123" s="19"/>
      <c r="B123" s="158"/>
      <c r="C123" s="19"/>
      <c r="D123" s="19"/>
      <c r="E123" s="19"/>
      <c r="F123" s="19"/>
      <c r="G123" s="19"/>
      <c r="H123" s="19"/>
      <c r="I123" s="19"/>
      <c r="J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</row>
    <row r="124" spans="1:60" x14ac:dyDescent="0.2">
      <c r="A124" s="19"/>
      <c r="B124" s="158"/>
      <c r="C124" s="19"/>
      <c r="D124" s="19"/>
      <c r="E124" s="19"/>
      <c r="F124" s="19"/>
      <c r="G124" s="19"/>
      <c r="H124" s="19"/>
      <c r="I124" s="19"/>
      <c r="J124" s="19"/>
      <c r="K124" s="19" t="s">
        <v>315</v>
      </c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X124" s="19"/>
      <c r="Y124" s="19"/>
      <c r="Z124" s="19"/>
      <c r="AA124" s="19"/>
      <c r="AB124" s="19"/>
      <c r="AC124" s="19"/>
      <c r="AH124" s="155"/>
      <c r="AI124" s="155"/>
      <c r="AJ124" s="155"/>
      <c r="AK124" s="155"/>
      <c r="AL124" s="155"/>
      <c r="AM124" s="155"/>
      <c r="AN124" s="155"/>
      <c r="AO124" s="155"/>
      <c r="AP124" s="155"/>
      <c r="AQ124" s="155"/>
      <c r="AR124" s="155"/>
      <c r="AS124" s="155"/>
      <c r="AT124" s="155"/>
      <c r="AU124" s="155"/>
      <c r="AV124" s="155"/>
      <c r="AW124" s="155"/>
      <c r="AX124" s="155"/>
      <c r="AY124" s="155"/>
      <c r="AZ124" s="155"/>
      <c r="BA124" s="155"/>
      <c r="BB124" s="12"/>
      <c r="BC124" s="155"/>
      <c r="BD124" s="155"/>
      <c r="BE124" s="155"/>
      <c r="BF124" s="12"/>
      <c r="BG124" s="12"/>
      <c r="BH124" s="12"/>
    </row>
    <row r="125" spans="1:60" x14ac:dyDescent="0.2">
      <c r="A125" s="19"/>
      <c r="B125" s="158"/>
      <c r="C125" s="19" t="s">
        <v>49</v>
      </c>
      <c r="D125" s="19"/>
      <c r="E125" s="19"/>
      <c r="F125" s="19"/>
      <c r="G125" s="19"/>
      <c r="H125" s="19"/>
      <c r="I125" s="19"/>
      <c r="J125" s="19"/>
      <c r="K125" s="19" t="s">
        <v>455</v>
      </c>
      <c r="L125" s="19"/>
      <c r="M125" s="19"/>
      <c r="N125" s="19"/>
      <c r="O125" s="19"/>
      <c r="P125" s="19"/>
      <c r="Q125" s="19"/>
      <c r="R125" s="19"/>
      <c r="S125" s="19" t="s">
        <v>266</v>
      </c>
      <c r="T125" s="19"/>
      <c r="U125" s="19"/>
      <c r="V125" s="19"/>
      <c r="W125" s="19" t="s">
        <v>426</v>
      </c>
      <c r="X125" s="379"/>
      <c r="Y125" s="19"/>
      <c r="Z125" s="19"/>
      <c r="AA125" s="19"/>
      <c r="AB125" s="379"/>
      <c r="AC125" s="19"/>
      <c r="AH125" s="155"/>
      <c r="AI125" s="155"/>
      <c r="AJ125" s="155"/>
      <c r="AK125" s="155"/>
      <c r="AL125" s="155"/>
      <c r="AM125" s="155"/>
      <c r="AN125" s="155"/>
      <c r="AO125" s="155"/>
      <c r="AP125" s="155"/>
      <c r="AQ125" s="155"/>
      <c r="AR125" s="155"/>
      <c r="AS125" s="155"/>
      <c r="AT125" s="155"/>
      <c r="AU125" s="155"/>
      <c r="AV125" s="155"/>
      <c r="AW125" s="155"/>
      <c r="AX125" s="155"/>
      <c r="AY125" s="155"/>
      <c r="AZ125" s="155"/>
      <c r="BA125" s="155"/>
      <c r="BB125" s="155"/>
      <c r="BC125" s="833"/>
      <c r="BD125" s="155"/>
      <c r="BE125" s="155"/>
      <c r="BF125" s="12"/>
      <c r="BG125" s="12"/>
      <c r="BH125" s="12"/>
    </row>
    <row r="126" spans="1:60" x14ac:dyDescent="0.2">
      <c r="A126" s="19"/>
      <c r="B126" s="158"/>
      <c r="C126" s="797">
        <v>1</v>
      </c>
      <c r="D126" s="815">
        <v>3.3</v>
      </c>
      <c r="E126" s="816">
        <v>3.5</v>
      </c>
      <c r="F126" s="19"/>
      <c r="G126" s="19"/>
      <c r="H126" s="19"/>
      <c r="I126" s="19"/>
      <c r="J126" s="19"/>
      <c r="K126" s="797">
        <v>1</v>
      </c>
      <c r="L126" s="815">
        <v>5</v>
      </c>
      <c r="M126" s="815">
        <v>6</v>
      </c>
      <c r="N126" s="816">
        <v>7</v>
      </c>
      <c r="O126" s="19"/>
      <c r="P126" s="19"/>
      <c r="Q126" s="19"/>
      <c r="R126" s="19"/>
      <c r="S126" s="797">
        <v>1</v>
      </c>
      <c r="T126" s="815">
        <v>4.4000000000000004</v>
      </c>
      <c r="U126" s="816">
        <v>4.8</v>
      </c>
      <c r="V126" s="19"/>
      <c r="W126" s="821">
        <v>1</v>
      </c>
      <c r="X126" s="105">
        <v>4</v>
      </c>
      <c r="Y126" s="105">
        <v>4.5999999999999996</v>
      </c>
      <c r="Z126" s="822">
        <v>5</v>
      </c>
      <c r="AA126" s="19"/>
      <c r="AB126" s="19"/>
      <c r="AC126" s="19"/>
      <c r="AH126" s="827"/>
      <c r="AI126" s="833"/>
      <c r="AJ126" s="833"/>
      <c r="AK126" s="155"/>
      <c r="AL126" s="155"/>
      <c r="AM126" s="155"/>
      <c r="AN126" s="155"/>
      <c r="AO126" s="155"/>
      <c r="AP126" s="827"/>
      <c r="AQ126" s="833"/>
      <c r="AR126" s="833"/>
      <c r="AS126" s="833"/>
      <c r="AT126" s="155"/>
      <c r="AU126" s="155"/>
      <c r="AV126" s="155"/>
      <c r="AW126" s="155"/>
      <c r="AX126" s="827"/>
      <c r="AY126" s="833"/>
      <c r="AZ126" s="833"/>
      <c r="BA126" s="155"/>
      <c r="BB126" s="834"/>
      <c r="BC126" s="835"/>
      <c r="BD126" s="835"/>
      <c r="BE126" s="835"/>
      <c r="BF126" s="12"/>
      <c r="BG126" s="12"/>
      <c r="BH126" s="12"/>
    </row>
    <row r="127" spans="1:60" x14ac:dyDescent="0.2">
      <c r="A127" s="19"/>
      <c r="B127" s="158"/>
      <c r="C127" s="804">
        <v>100</v>
      </c>
      <c r="D127" s="817">
        <v>3.3</v>
      </c>
      <c r="E127" s="818">
        <v>3.5</v>
      </c>
      <c r="F127" s="19"/>
      <c r="G127" s="19"/>
      <c r="H127" s="19"/>
      <c r="I127" s="19"/>
      <c r="J127" s="19"/>
      <c r="K127" s="804">
        <v>100</v>
      </c>
      <c r="L127" s="817">
        <v>5</v>
      </c>
      <c r="M127" s="817">
        <v>6</v>
      </c>
      <c r="N127" s="818">
        <v>7</v>
      </c>
      <c r="O127" s="19"/>
      <c r="P127" s="19"/>
      <c r="Q127" s="19"/>
      <c r="R127" s="19"/>
      <c r="S127" s="804">
        <v>100</v>
      </c>
      <c r="T127" s="817">
        <v>4.4000000000000004</v>
      </c>
      <c r="U127" s="818">
        <v>4.8</v>
      </c>
      <c r="V127" s="19"/>
      <c r="W127" s="96">
        <v>100</v>
      </c>
      <c r="X127" s="2">
        <v>4</v>
      </c>
      <c r="Y127" s="2">
        <v>4.5999999999999996</v>
      </c>
      <c r="Z127" s="97">
        <v>5</v>
      </c>
      <c r="AA127" s="19"/>
      <c r="AB127" s="19"/>
      <c r="AC127" s="19"/>
      <c r="AH127" s="827"/>
      <c r="AI127" s="829"/>
      <c r="AJ127" s="829"/>
      <c r="AK127" s="155"/>
      <c r="AL127" s="155"/>
      <c r="AM127" s="155"/>
      <c r="AN127" s="155"/>
      <c r="AO127" s="155"/>
      <c r="AP127" s="827"/>
      <c r="AQ127" s="828"/>
      <c r="AR127" s="828"/>
      <c r="AS127" s="828"/>
      <c r="AT127" s="155"/>
      <c r="AU127" s="155"/>
      <c r="AV127" s="155"/>
      <c r="AW127" s="155"/>
      <c r="AX127" s="827"/>
      <c r="AY127" s="828"/>
      <c r="AZ127" s="828"/>
      <c r="BA127" s="155"/>
      <c r="BB127" s="834"/>
      <c r="BC127" s="828"/>
      <c r="BD127" s="828"/>
      <c r="BE127" s="828"/>
      <c r="BF127" s="12"/>
      <c r="BG127" s="12"/>
      <c r="BH127" s="12"/>
    </row>
    <row r="128" spans="1:60" x14ac:dyDescent="0.2">
      <c r="A128" s="19"/>
      <c r="B128" s="158"/>
      <c r="C128" s="804">
        <v>200</v>
      </c>
      <c r="D128" s="817">
        <v>3.1</v>
      </c>
      <c r="E128" s="818">
        <v>3.3</v>
      </c>
      <c r="F128" s="19"/>
      <c r="G128" s="19"/>
      <c r="H128" s="19"/>
      <c r="I128" s="19"/>
      <c r="J128" s="19"/>
      <c r="K128" s="804">
        <v>200</v>
      </c>
      <c r="L128" s="817">
        <v>4</v>
      </c>
      <c r="M128" s="817">
        <v>5</v>
      </c>
      <c r="N128" s="818">
        <v>6</v>
      </c>
      <c r="O128" s="19"/>
      <c r="P128" s="19"/>
      <c r="Q128" s="19"/>
      <c r="R128" s="19"/>
      <c r="S128" s="804">
        <v>200</v>
      </c>
      <c r="T128" s="817">
        <v>4.3</v>
      </c>
      <c r="U128" s="818">
        <v>4.5999999999999996</v>
      </c>
      <c r="V128" s="19"/>
      <c r="W128" s="96">
        <v>200</v>
      </c>
      <c r="X128" s="2">
        <v>3.8</v>
      </c>
      <c r="Y128" s="2">
        <v>4.5</v>
      </c>
      <c r="Z128" s="97">
        <v>4.8</v>
      </c>
      <c r="AA128" s="19"/>
      <c r="AB128" s="19"/>
      <c r="AC128" s="19"/>
      <c r="AH128" s="827"/>
      <c r="AI128" s="829"/>
      <c r="AJ128" s="829"/>
      <c r="AK128" s="155"/>
      <c r="AL128" s="155"/>
      <c r="AM128" s="155"/>
      <c r="AN128" s="155"/>
      <c r="AO128" s="155"/>
      <c r="AP128" s="827"/>
      <c r="AQ128" s="828"/>
      <c r="AR128" s="828"/>
      <c r="AS128" s="828"/>
      <c r="AT128" s="155"/>
      <c r="AU128" s="155"/>
      <c r="AV128" s="155"/>
      <c r="AW128" s="155"/>
      <c r="AX128" s="827"/>
      <c r="AY128" s="828"/>
      <c r="AZ128" s="828"/>
      <c r="BA128" s="155"/>
      <c r="BB128" s="834"/>
      <c r="BC128" s="828"/>
      <c r="BD128" s="828"/>
      <c r="BE128" s="828"/>
      <c r="BF128" s="12"/>
      <c r="BG128" s="12"/>
      <c r="BH128" s="12"/>
    </row>
    <row r="129" spans="1:60" x14ac:dyDescent="0.2">
      <c r="A129" s="19"/>
      <c r="B129" s="158"/>
      <c r="C129" s="804">
        <v>300</v>
      </c>
      <c r="D129" s="817">
        <v>3</v>
      </c>
      <c r="E129" s="818">
        <v>3.2</v>
      </c>
      <c r="F129" s="19"/>
      <c r="G129" s="19"/>
      <c r="H129" s="19"/>
      <c r="I129" s="19"/>
      <c r="J129" s="19"/>
      <c r="K129" s="804">
        <v>300</v>
      </c>
      <c r="L129" s="817">
        <v>3.6</v>
      </c>
      <c r="M129" s="817">
        <v>3.9</v>
      </c>
      <c r="N129" s="818">
        <v>5</v>
      </c>
      <c r="O129" s="19"/>
      <c r="P129" s="19"/>
      <c r="Q129" s="19"/>
      <c r="R129" s="19"/>
      <c r="S129" s="804">
        <v>300</v>
      </c>
      <c r="T129" s="817">
        <v>4.2</v>
      </c>
      <c r="U129" s="818">
        <v>4.4000000000000004</v>
      </c>
      <c r="V129" s="19"/>
      <c r="W129" s="96">
        <v>300</v>
      </c>
      <c r="X129" s="2">
        <v>3.6</v>
      </c>
      <c r="Y129" s="2">
        <v>4.4000000000000004</v>
      </c>
      <c r="Z129" s="97">
        <v>4.5999999999999996</v>
      </c>
      <c r="AA129" s="19"/>
      <c r="AB129" s="19"/>
      <c r="AC129" s="19"/>
      <c r="AH129" s="827"/>
      <c r="AI129" s="829"/>
      <c r="AJ129" s="829"/>
      <c r="AK129" s="155"/>
      <c r="AL129" s="155"/>
      <c r="AM129" s="155"/>
      <c r="AN129" s="155"/>
      <c r="AO129" s="155"/>
      <c r="AP129" s="827"/>
      <c r="AQ129" s="828"/>
      <c r="AR129" s="828"/>
      <c r="AS129" s="828"/>
      <c r="AT129" s="155"/>
      <c r="AU129" s="155"/>
      <c r="AV129" s="155"/>
      <c r="AW129" s="155"/>
      <c r="AX129" s="827"/>
      <c r="AY129" s="828"/>
      <c r="AZ129" s="828"/>
      <c r="BA129" s="155"/>
      <c r="BB129" s="834"/>
      <c r="BC129" s="828"/>
      <c r="BD129" s="828"/>
      <c r="BE129" s="828"/>
      <c r="BF129" s="12"/>
      <c r="BG129" s="12"/>
      <c r="BH129" s="12"/>
    </row>
    <row r="130" spans="1:60" x14ac:dyDescent="0.2">
      <c r="A130" s="19"/>
      <c r="B130" s="158"/>
      <c r="C130" s="804">
        <v>400</v>
      </c>
      <c r="D130" s="817">
        <v>2.9</v>
      </c>
      <c r="E130" s="818">
        <v>3.1</v>
      </c>
      <c r="F130" s="19"/>
      <c r="G130" s="19"/>
      <c r="H130" s="19"/>
      <c r="I130" s="19"/>
      <c r="J130" s="19"/>
      <c r="K130" s="804">
        <v>400</v>
      </c>
      <c r="L130" s="817">
        <v>3.3</v>
      </c>
      <c r="M130" s="817">
        <v>3.7</v>
      </c>
      <c r="N130" s="818">
        <v>4.3</v>
      </c>
      <c r="O130" s="19"/>
      <c r="P130" s="19"/>
      <c r="Q130" s="19"/>
      <c r="R130" s="19"/>
      <c r="S130" s="804">
        <v>400</v>
      </c>
      <c r="T130" s="817">
        <v>4</v>
      </c>
      <c r="U130" s="818">
        <v>4.2</v>
      </c>
      <c r="V130" s="19"/>
      <c r="W130" s="96">
        <v>400</v>
      </c>
      <c r="X130" s="2">
        <v>3.3</v>
      </c>
      <c r="Y130" s="2">
        <v>4.2</v>
      </c>
      <c r="Z130" s="97">
        <v>4.3</v>
      </c>
      <c r="AA130" s="19"/>
      <c r="AB130" s="19"/>
      <c r="AC130" s="19"/>
      <c r="AH130" s="827"/>
      <c r="AI130" s="829"/>
      <c r="AJ130" s="829"/>
      <c r="AK130" s="155"/>
      <c r="AL130" s="155"/>
      <c r="AM130" s="155"/>
      <c r="AN130" s="155"/>
      <c r="AO130" s="155"/>
      <c r="AP130" s="827"/>
      <c r="AQ130" s="828"/>
      <c r="AR130" s="828"/>
      <c r="AS130" s="828"/>
      <c r="AT130" s="155"/>
      <c r="AU130" s="155"/>
      <c r="AV130" s="155"/>
      <c r="AW130" s="155"/>
      <c r="AX130" s="827"/>
      <c r="AY130" s="828"/>
      <c r="AZ130" s="828"/>
      <c r="BA130" s="155"/>
      <c r="BB130" s="834"/>
      <c r="BC130" s="828"/>
      <c r="BD130" s="828"/>
      <c r="BE130" s="828"/>
      <c r="BF130" s="12"/>
      <c r="BG130" s="12"/>
      <c r="BH130" s="12"/>
    </row>
    <row r="131" spans="1:60" x14ac:dyDescent="0.2">
      <c r="A131" s="19"/>
      <c r="B131" s="158"/>
      <c r="C131" s="804">
        <v>500</v>
      </c>
      <c r="D131" s="817">
        <v>2.8</v>
      </c>
      <c r="E131" s="818">
        <v>3</v>
      </c>
      <c r="F131" s="19"/>
      <c r="G131" s="19"/>
      <c r="H131" s="19"/>
      <c r="I131" s="19"/>
      <c r="J131" s="19"/>
      <c r="K131" s="804">
        <v>500</v>
      </c>
      <c r="L131" s="817">
        <v>3</v>
      </c>
      <c r="M131" s="817">
        <v>3.5</v>
      </c>
      <c r="N131" s="818">
        <v>4</v>
      </c>
      <c r="O131" s="19"/>
      <c r="P131" s="19"/>
      <c r="Q131" s="19"/>
      <c r="R131" s="19"/>
      <c r="S131" s="804">
        <v>500</v>
      </c>
      <c r="T131" s="817">
        <v>3.8</v>
      </c>
      <c r="U131" s="818">
        <v>3.9</v>
      </c>
      <c r="V131" s="19"/>
      <c r="W131" s="96">
        <v>500</v>
      </c>
      <c r="X131" s="2">
        <v>3.2</v>
      </c>
      <c r="Y131" s="2">
        <v>3.9</v>
      </c>
      <c r="Z131" s="97">
        <v>4</v>
      </c>
      <c r="AA131" s="19"/>
      <c r="AB131" s="19"/>
      <c r="AC131" s="19"/>
      <c r="AH131" s="827"/>
      <c r="AI131" s="829"/>
      <c r="AJ131" s="829"/>
      <c r="AK131" s="155"/>
      <c r="AL131" s="155"/>
      <c r="AM131" s="155"/>
      <c r="AN131" s="155"/>
      <c r="AO131" s="155"/>
      <c r="AP131" s="827"/>
      <c r="AQ131" s="828"/>
      <c r="AR131" s="828"/>
      <c r="AS131" s="828"/>
      <c r="AT131" s="155"/>
      <c r="AU131" s="155"/>
      <c r="AV131" s="155"/>
      <c r="AW131" s="155"/>
      <c r="AX131" s="827"/>
      <c r="AY131" s="828"/>
      <c r="AZ131" s="828"/>
      <c r="BA131" s="155"/>
      <c r="BB131" s="834"/>
      <c r="BC131" s="828"/>
      <c r="BD131" s="828"/>
      <c r="BE131" s="828"/>
      <c r="BF131" s="12"/>
      <c r="BG131" s="12"/>
      <c r="BH131" s="12"/>
    </row>
    <row r="132" spans="1:60" x14ac:dyDescent="0.2">
      <c r="A132" s="19"/>
      <c r="B132" s="158"/>
      <c r="C132" s="804">
        <v>1000</v>
      </c>
      <c r="D132" s="817">
        <v>2.6</v>
      </c>
      <c r="E132" s="818">
        <v>2.8</v>
      </c>
      <c r="F132" s="19"/>
      <c r="G132" s="19"/>
      <c r="H132" s="19"/>
      <c r="I132" s="19"/>
      <c r="J132" s="19"/>
      <c r="K132" s="804">
        <v>1000</v>
      </c>
      <c r="L132" s="817">
        <v>2.2000000000000002</v>
      </c>
      <c r="M132" s="1002">
        <v>2</v>
      </c>
      <c r="N132" s="818">
        <v>3.2</v>
      </c>
      <c r="O132" s="19"/>
      <c r="P132" s="19"/>
      <c r="Q132" s="19"/>
      <c r="R132" s="19"/>
      <c r="S132" s="804">
        <v>1000</v>
      </c>
      <c r="T132" s="817">
        <v>3</v>
      </c>
      <c r="U132" s="818">
        <v>3.2</v>
      </c>
      <c r="V132" s="19"/>
      <c r="W132" s="96">
        <v>1000</v>
      </c>
      <c r="X132" s="2">
        <v>3</v>
      </c>
      <c r="Y132" s="2">
        <v>3.2</v>
      </c>
      <c r="Z132" s="97">
        <v>3.5</v>
      </c>
      <c r="AA132" s="19"/>
      <c r="AB132" s="19"/>
      <c r="AC132" s="19"/>
      <c r="AH132" s="827"/>
      <c r="AI132" s="829"/>
      <c r="AJ132" s="829"/>
      <c r="AK132" s="155"/>
      <c r="AL132" s="155"/>
      <c r="AM132" s="155"/>
      <c r="AN132" s="155"/>
      <c r="AO132" s="155"/>
      <c r="AP132" s="827"/>
      <c r="AQ132" s="828"/>
      <c r="AR132" s="828"/>
      <c r="AS132" s="828"/>
      <c r="AT132" s="155"/>
      <c r="AU132" s="155"/>
      <c r="AV132" s="155"/>
      <c r="AW132" s="155"/>
      <c r="AX132" s="827"/>
      <c r="AY132" s="828"/>
      <c r="AZ132" s="828"/>
      <c r="BA132" s="155"/>
      <c r="BB132" s="834"/>
      <c r="BC132" s="828"/>
      <c r="BD132" s="828"/>
      <c r="BE132" s="828"/>
      <c r="BF132" s="12"/>
      <c r="BG132" s="12"/>
      <c r="BH132" s="12"/>
    </row>
    <row r="133" spans="1:60" x14ac:dyDescent="0.2">
      <c r="A133" s="19"/>
      <c r="B133" s="158"/>
      <c r="C133" s="804">
        <v>2000</v>
      </c>
      <c r="D133" s="817">
        <v>2.2000000000000002</v>
      </c>
      <c r="E133" s="818">
        <v>2.5</v>
      </c>
      <c r="F133" s="19"/>
      <c r="G133" s="19"/>
      <c r="H133" s="19"/>
      <c r="I133" s="19"/>
      <c r="J133" s="19"/>
      <c r="K133" s="804">
        <v>2000</v>
      </c>
      <c r="L133" s="817">
        <v>1.7</v>
      </c>
      <c r="M133" s="1002">
        <v>1.1000000000000001</v>
      </c>
      <c r="N133" s="818">
        <v>2.7</v>
      </c>
      <c r="O133" s="19"/>
      <c r="P133" s="19"/>
      <c r="Q133" s="19"/>
      <c r="R133" s="19"/>
      <c r="S133" s="804">
        <v>2000</v>
      </c>
      <c r="T133" s="817">
        <v>1.7</v>
      </c>
      <c r="U133" s="818">
        <v>1.9</v>
      </c>
      <c r="V133" s="19"/>
      <c r="W133" s="96">
        <v>2000</v>
      </c>
      <c r="X133" s="2">
        <v>1.7</v>
      </c>
      <c r="Y133" s="2">
        <v>1.8</v>
      </c>
      <c r="Z133" s="97">
        <v>2</v>
      </c>
      <c r="AA133" s="19"/>
      <c r="AB133" s="19"/>
      <c r="AC133" s="19"/>
      <c r="AH133" s="827"/>
      <c r="AI133" s="829"/>
      <c r="AJ133" s="829"/>
      <c r="AK133" s="155"/>
      <c r="AL133" s="155"/>
      <c r="AM133" s="155"/>
      <c r="AN133" s="155"/>
      <c r="AO133" s="155"/>
      <c r="AP133" s="827"/>
      <c r="AQ133" s="828"/>
      <c r="AR133" s="828"/>
      <c r="AS133" s="828"/>
      <c r="AT133" s="155"/>
      <c r="AU133" s="155"/>
      <c r="AV133" s="155"/>
      <c r="AW133" s="155"/>
      <c r="AX133" s="827"/>
      <c r="AY133" s="828"/>
      <c r="AZ133" s="828"/>
      <c r="BA133" s="155"/>
      <c r="BB133" s="834"/>
      <c r="BC133" s="828"/>
      <c r="BD133" s="828"/>
      <c r="BE133" s="828"/>
      <c r="BF133" s="12"/>
      <c r="BG133" s="12"/>
      <c r="BH133" s="12"/>
    </row>
    <row r="134" spans="1:60" x14ac:dyDescent="0.2">
      <c r="A134" s="19"/>
      <c r="B134" s="158"/>
      <c r="C134" s="804">
        <v>3000</v>
      </c>
      <c r="D134" s="817">
        <v>1.8</v>
      </c>
      <c r="E134" s="818">
        <v>2</v>
      </c>
      <c r="F134" s="19"/>
      <c r="G134" s="19"/>
      <c r="H134" s="19"/>
      <c r="I134" s="19"/>
      <c r="J134" s="19"/>
      <c r="K134" s="804">
        <v>3000</v>
      </c>
      <c r="L134" s="817">
        <v>1.6</v>
      </c>
      <c r="M134" s="1002">
        <v>1</v>
      </c>
      <c r="N134" s="818">
        <v>2.2000000000000002</v>
      </c>
      <c r="O134" s="19"/>
      <c r="P134" s="19"/>
      <c r="Q134" s="19"/>
      <c r="R134" s="19"/>
      <c r="S134" s="804">
        <v>3000</v>
      </c>
      <c r="T134" s="817">
        <v>1.6</v>
      </c>
      <c r="U134" s="818">
        <v>1.7</v>
      </c>
      <c r="V134" s="19"/>
      <c r="W134" s="96">
        <v>3000</v>
      </c>
      <c r="X134" s="2">
        <v>1.4</v>
      </c>
      <c r="Y134" s="2">
        <v>1.7</v>
      </c>
      <c r="Z134" s="97">
        <v>1.8</v>
      </c>
      <c r="AA134" s="19"/>
      <c r="AB134" s="19"/>
      <c r="AC134" s="19"/>
      <c r="AH134" s="827"/>
      <c r="AI134" s="829"/>
      <c r="AJ134" s="829"/>
      <c r="AK134" s="155"/>
      <c r="AL134" s="155"/>
      <c r="AM134" s="155"/>
      <c r="AN134" s="155"/>
      <c r="AO134" s="155"/>
      <c r="AP134" s="827"/>
      <c r="AQ134" s="828"/>
      <c r="AR134" s="828"/>
      <c r="AS134" s="828"/>
      <c r="AT134" s="155"/>
      <c r="AU134" s="155"/>
      <c r="AV134" s="155"/>
      <c r="AW134" s="155"/>
      <c r="AX134" s="827"/>
      <c r="AY134" s="828"/>
      <c r="AZ134" s="828"/>
      <c r="BA134" s="155"/>
      <c r="BB134" s="834"/>
      <c r="BC134" s="828"/>
      <c r="BD134" s="828"/>
      <c r="BE134" s="828"/>
      <c r="BF134" s="12"/>
      <c r="BG134" s="12"/>
      <c r="BH134" s="12"/>
    </row>
    <row r="135" spans="1:60" x14ac:dyDescent="0.2">
      <c r="A135" s="19"/>
      <c r="B135" s="158"/>
      <c r="C135" s="804">
        <v>4000</v>
      </c>
      <c r="D135" s="817">
        <v>1.6</v>
      </c>
      <c r="E135" s="818">
        <v>1.8</v>
      </c>
      <c r="F135" s="19"/>
      <c r="G135" s="19"/>
      <c r="H135" s="19"/>
      <c r="I135" s="19"/>
      <c r="J135" s="19"/>
      <c r="K135" s="804">
        <v>4000</v>
      </c>
      <c r="L135" s="817">
        <v>1.4</v>
      </c>
      <c r="M135" s="1002">
        <v>0.9</v>
      </c>
      <c r="N135" s="818">
        <v>2</v>
      </c>
      <c r="O135" s="19"/>
      <c r="P135" s="19"/>
      <c r="Q135" s="19"/>
      <c r="R135" s="19"/>
      <c r="S135" s="804">
        <v>4000</v>
      </c>
      <c r="T135" s="817">
        <v>1.5</v>
      </c>
      <c r="U135" s="818">
        <v>1.6</v>
      </c>
      <c r="V135" s="19"/>
      <c r="W135" s="96">
        <v>4000</v>
      </c>
      <c r="X135" s="2">
        <v>1.3</v>
      </c>
      <c r="Y135" s="2">
        <v>1.6</v>
      </c>
      <c r="Z135" s="97">
        <v>1.7</v>
      </c>
      <c r="AA135" s="19"/>
      <c r="AB135" s="19"/>
      <c r="AC135" s="19"/>
      <c r="AH135" s="827"/>
      <c r="AI135" s="829"/>
      <c r="AJ135" s="829"/>
      <c r="AK135" s="155"/>
      <c r="AL135" s="155"/>
      <c r="AM135" s="155"/>
      <c r="AN135" s="155"/>
      <c r="AO135" s="155"/>
      <c r="AP135" s="827"/>
      <c r="AQ135" s="828"/>
      <c r="AR135" s="828"/>
      <c r="AS135" s="828"/>
      <c r="AT135" s="155"/>
      <c r="AU135" s="155"/>
      <c r="AV135" s="155"/>
      <c r="AW135" s="155"/>
      <c r="AX135" s="827"/>
      <c r="AY135" s="828"/>
      <c r="AZ135" s="828"/>
      <c r="BA135" s="155"/>
      <c r="BB135" s="834"/>
      <c r="BC135" s="828"/>
      <c r="BD135" s="828"/>
      <c r="BE135" s="828"/>
      <c r="BF135" s="12"/>
      <c r="BG135" s="12"/>
      <c r="BH135" s="12"/>
    </row>
    <row r="136" spans="1:60" x14ac:dyDescent="0.2">
      <c r="A136" s="19"/>
      <c r="B136" s="158"/>
      <c r="C136" s="804">
        <v>5000</v>
      </c>
      <c r="D136" s="817">
        <v>1.4</v>
      </c>
      <c r="E136" s="818">
        <v>1.6</v>
      </c>
      <c r="F136" s="19"/>
      <c r="G136" s="19"/>
      <c r="H136" s="19"/>
      <c r="I136" s="19"/>
      <c r="J136" s="19"/>
      <c r="K136" s="804">
        <v>5000</v>
      </c>
      <c r="L136" s="817">
        <v>1.2</v>
      </c>
      <c r="M136" s="1002">
        <v>0.7</v>
      </c>
      <c r="N136" s="818">
        <v>1.8</v>
      </c>
      <c r="O136" s="19"/>
      <c r="P136" s="19"/>
      <c r="Q136" s="19"/>
      <c r="R136" s="19"/>
      <c r="S136" s="804">
        <v>5000</v>
      </c>
      <c r="T136" s="817">
        <v>1.4</v>
      </c>
      <c r="U136" s="818">
        <v>1.5</v>
      </c>
      <c r="V136" s="19"/>
      <c r="W136" s="96">
        <v>5000</v>
      </c>
      <c r="X136" s="2">
        <v>1.2</v>
      </c>
      <c r="Y136" s="2">
        <v>1.5</v>
      </c>
      <c r="Z136" s="97">
        <v>1.6</v>
      </c>
      <c r="AA136" s="19"/>
      <c r="AB136" s="19"/>
      <c r="AC136" s="19"/>
      <c r="AH136" s="827"/>
      <c r="AI136" s="829"/>
      <c r="AJ136" s="829"/>
      <c r="AK136" s="155"/>
      <c r="AL136" s="155"/>
      <c r="AM136" s="155"/>
      <c r="AN136" s="155"/>
      <c r="AO136" s="155"/>
      <c r="AP136" s="827"/>
      <c r="AQ136" s="828"/>
      <c r="AR136" s="828"/>
      <c r="AS136" s="828"/>
      <c r="AT136" s="155"/>
      <c r="AU136" s="155"/>
      <c r="AV136" s="155"/>
      <c r="AW136" s="155"/>
      <c r="AX136" s="827"/>
      <c r="AY136" s="828"/>
      <c r="AZ136" s="828"/>
      <c r="BA136" s="155"/>
      <c r="BB136" s="834"/>
      <c r="BC136" s="828"/>
      <c r="BD136" s="828"/>
      <c r="BE136" s="828"/>
      <c r="BF136" s="12"/>
      <c r="BG136" s="12"/>
      <c r="BH136" s="12"/>
    </row>
    <row r="137" spans="1:60" x14ac:dyDescent="0.2">
      <c r="A137" s="19"/>
      <c r="B137" s="158"/>
      <c r="C137" s="804">
        <v>10000</v>
      </c>
      <c r="D137" s="817">
        <v>0.6</v>
      </c>
      <c r="E137" s="818">
        <v>1</v>
      </c>
      <c r="F137" s="19"/>
      <c r="G137" s="19"/>
      <c r="H137" s="19"/>
      <c r="I137" s="19"/>
      <c r="J137" s="19"/>
      <c r="K137" s="804">
        <v>10000</v>
      </c>
      <c r="L137" s="817">
        <v>0.6</v>
      </c>
      <c r="M137" s="1002">
        <v>0.4</v>
      </c>
      <c r="N137" s="818">
        <v>1.2</v>
      </c>
      <c r="O137" s="19"/>
      <c r="P137" s="19"/>
      <c r="Q137" s="19"/>
      <c r="R137" s="19"/>
      <c r="S137" s="804">
        <v>6000</v>
      </c>
      <c r="T137" s="817">
        <v>1.3</v>
      </c>
      <c r="U137" s="818">
        <v>1.4</v>
      </c>
      <c r="V137" s="19"/>
      <c r="W137" s="96">
        <v>6000</v>
      </c>
      <c r="X137" s="2">
        <v>1.1000000000000001</v>
      </c>
      <c r="Y137" s="2">
        <v>1.4</v>
      </c>
      <c r="Z137" s="97">
        <v>1.5</v>
      </c>
      <c r="AA137" s="19"/>
      <c r="AB137" s="19"/>
      <c r="AC137" s="19"/>
      <c r="AH137" s="827"/>
      <c r="AI137" s="829"/>
      <c r="AJ137" s="829"/>
      <c r="AK137" s="155"/>
      <c r="AL137" s="155"/>
      <c r="AM137" s="155"/>
      <c r="AN137" s="155"/>
      <c r="AO137" s="155"/>
      <c r="AP137" s="827"/>
      <c r="AQ137" s="828"/>
      <c r="AR137" s="828"/>
      <c r="AS137" s="828"/>
      <c r="AT137" s="155"/>
      <c r="AU137" s="155"/>
      <c r="AV137" s="155"/>
      <c r="AW137" s="155"/>
      <c r="AX137" s="827"/>
      <c r="AY137" s="828"/>
      <c r="AZ137" s="828"/>
      <c r="BA137" s="155"/>
      <c r="BB137" s="834"/>
      <c r="BC137" s="828"/>
      <c r="BD137" s="828"/>
      <c r="BE137" s="828"/>
      <c r="BF137" s="12"/>
      <c r="BG137" s="12"/>
      <c r="BH137" s="12"/>
    </row>
    <row r="138" spans="1:60" x14ac:dyDescent="0.2">
      <c r="A138" s="19"/>
      <c r="B138" s="158"/>
      <c r="C138" s="804">
        <v>25000</v>
      </c>
      <c r="D138" s="817">
        <v>0.5</v>
      </c>
      <c r="E138" s="818">
        <v>0.9</v>
      </c>
      <c r="F138" s="19"/>
      <c r="G138" s="19"/>
      <c r="H138" s="19"/>
      <c r="I138" s="19"/>
      <c r="J138" s="19"/>
      <c r="K138" s="804">
        <v>25000</v>
      </c>
      <c r="L138" s="817">
        <v>0.5</v>
      </c>
      <c r="M138" s="1003">
        <v>0.35</v>
      </c>
      <c r="N138" s="818">
        <v>1.1000000000000001</v>
      </c>
      <c r="O138" s="19"/>
      <c r="P138" s="19"/>
      <c r="Q138" s="19"/>
      <c r="R138" s="19"/>
      <c r="S138" s="804">
        <v>7000</v>
      </c>
      <c r="T138" s="817">
        <v>1.2</v>
      </c>
      <c r="U138" s="818">
        <v>1.3</v>
      </c>
      <c r="V138" s="19"/>
      <c r="W138" s="96">
        <v>7000</v>
      </c>
      <c r="X138" s="2">
        <v>1</v>
      </c>
      <c r="Y138" s="2">
        <v>1.3</v>
      </c>
      <c r="Z138" s="97">
        <v>1.4</v>
      </c>
      <c r="AA138" s="19"/>
      <c r="AB138" s="19"/>
      <c r="AC138" s="19"/>
      <c r="AH138" s="827"/>
      <c r="AI138" s="833"/>
      <c r="AJ138" s="833"/>
      <c r="AK138" s="155"/>
      <c r="AL138" s="155"/>
      <c r="AM138" s="155"/>
      <c r="AN138" s="155"/>
      <c r="AO138" s="155"/>
      <c r="AP138" s="827"/>
      <c r="AQ138" s="833"/>
      <c r="AR138" s="833"/>
      <c r="AS138" s="833"/>
      <c r="AT138" s="155"/>
      <c r="AU138" s="155"/>
      <c r="AV138" s="155"/>
      <c r="AW138" s="155"/>
      <c r="AX138" s="827"/>
      <c r="AY138" s="828"/>
      <c r="AZ138" s="828"/>
      <c r="BA138" s="155"/>
      <c r="BB138" s="834"/>
      <c r="BC138" s="828"/>
      <c r="BD138" s="828"/>
      <c r="BE138" s="828"/>
      <c r="BF138" s="12"/>
      <c r="BG138" s="12"/>
      <c r="BH138" s="12"/>
    </row>
    <row r="139" spans="1:60" x14ac:dyDescent="0.2">
      <c r="A139" s="19"/>
      <c r="B139" s="158"/>
      <c r="C139" s="810">
        <v>25001</v>
      </c>
      <c r="D139" s="819">
        <v>0.4</v>
      </c>
      <c r="E139" s="820">
        <v>0.6</v>
      </c>
      <c r="F139" s="19"/>
      <c r="G139" s="19"/>
      <c r="H139" s="19"/>
      <c r="I139" s="19"/>
      <c r="J139" s="19"/>
      <c r="K139" s="810">
        <v>25001</v>
      </c>
      <c r="L139" s="819">
        <v>0.3</v>
      </c>
      <c r="M139" s="1004">
        <v>0.25</v>
      </c>
      <c r="N139" s="820">
        <v>0.7</v>
      </c>
      <c r="O139" s="19"/>
      <c r="P139" s="19"/>
      <c r="Q139" s="19"/>
      <c r="R139" s="19"/>
      <c r="S139" s="804">
        <v>8000</v>
      </c>
      <c r="T139" s="817">
        <v>1.1000000000000001</v>
      </c>
      <c r="U139" s="818">
        <v>1.2</v>
      </c>
      <c r="V139" s="19"/>
      <c r="W139" s="96">
        <v>8000</v>
      </c>
      <c r="X139" s="2">
        <v>0.9</v>
      </c>
      <c r="Y139" s="2">
        <v>1.2</v>
      </c>
      <c r="Z139" s="97">
        <v>1.3</v>
      </c>
      <c r="AA139" s="19"/>
      <c r="AB139" s="19"/>
      <c r="AC139" s="19"/>
      <c r="AH139" s="827"/>
      <c r="AI139" s="833"/>
      <c r="AJ139" s="833"/>
      <c r="AK139" s="155"/>
      <c r="AL139" s="155"/>
      <c r="AM139" s="155"/>
      <c r="AN139" s="155"/>
      <c r="AO139" s="155"/>
      <c r="AP139" s="827"/>
      <c r="AQ139" s="833"/>
      <c r="AR139" s="833"/>
      <c r="AS139" s="833"/>
      <c r="AT139" s="155"/>
      <c r="AU139" s="155"/>
      <c r="AV139" s="155"/>
      <c r="AW139" s="155"/>
      <c r="AX139" s="827"/>
      <c r="AY139" s="833"/>
      <c r="AZ139" s="833"/>
      <c r="BA139" s="155"/>
      <c r="BB139" s="834"/>
      <c r="BC139" s="828"/>
      <c r="BD139" s="828"/>
      <c r="BE139" s="828"/>
      <c r="BF139" s="12"/>
      <c r="BG139" s="12"/>
      <c r="BH139" s="12"/>
    </row>
    <row r="140" spans="1:60" x14ac:dyDescent="0.2">
      <c r="A140" s="19"/>
      <c r="B140" s="158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810">
        <v>10000</v>
      </c>
      <c r="T140" s="819">
        <v>1</v>
      </c>
      <c r="U140" s="820">
        <v>1.1000000000000001</v>
      </c>
      <c r="V140" s="19"/>
      <c r="W140" s="96">
        <v>10000</v>
      </c>
      <c r="X140" s="2">
        <v>0.8</v>
      </c>
      <c r="Y140" s="2">
        <v>1.1000000000000001</v>
      </c>
      <c r="Z140" s="97">
        <v>1.2</v>
      </c>
      <c r="AA140" s="19"/>
      <c r="AB140" s="19"/>
      <c r="AC140" s="19"/>
      <c r="AH140" s="155"/>
      <c r="AI140" s="155"/>
      <c r="AJ140" s="155"/>
      <c r="AK140" s="155"/>
      <c r="AL140" s="155"/>
      <c r="AM140" s="155"/>
      <c r="AN140" s="155"/>
      <c r="AO140" s="155"/>
      <c r="AP140" s="155"/>
      <c r="AQ140" s="155"/>
      <c r="AR140" s="155"/>
      <c r="AS140" s="155"/>
      <c r="AT140" s="155"/>
      <c r="AU140" s="155"/>
      <c r="AV140" s="155"/>
      <c r="AW140" s="155"/>
      <c r="AX140" s="827"/>
      <c r="AY140" s="833"/>
      <c r="AZ140" s="833"/>
      <c r="BA140" s="155"/>
      <c r="BB140" s="834"/>
      <c r="BC140" s="828"/>
      <c r="BD140" s="828"/>
      <c r="BE140" s="828"/>
      <c r="BF140" s="12"/>
      <c r="BG140" s="12"/>
      <c r="BH140" s="12"/>
    </row>
    <row r="141" spans="1:60" x14ac:dyDescent="0.2">
      <c r="A141" s="19"/>
      <c r="B141" s="158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823">
        <v>25000</v>
      </c>
      <c r="X141" s="18">
        <v>0.4</v>
      </c>
      <c r="Y141" s="18">
        <v>0.5</v>
      </c>
      <c r="Z141" s="101">
        <v>0.6</v>
      </c>
      <c r="AA141" s="19"/>
      <c r="AB141" s="19"/>
      <c r="AC141" s="19"/>
      <c r="AG141" s="12"/>
      <c r="AH141" s="155"/>
      <c r="AI141" s="155"/>
      <c r="AJ141" s="155"/>
      <c r="AK141" s="155"/>
      <c r="AL141" s="155"/>
      <c r="AM141" s="155"/>
      <c r="AN141" s="155"/>
      <c r="AO141" s="155"/>
      <c r="AP141" s="155"/>
      <c r="AQ141" s="155"/>
      <c r="AR141" s="155"/>
      <c r="AS141" s="155"/>
      <c r="AT141" s="155"/>
      <c r="AU141" s="155"/>
      <c r="AV141" s="155"/>
      <c r="AW141" s="155"/>
      <c r="AX141" s="155"/>
      <c r="AY141" s="155"/>
      <c r="AZ141" s="155"/>
      <c r="BA141" s="155"/>
      <c r="BB141" s="827"/>
      <c r="BC141" s="155"/>
      <c r="BD141" s="155"/>
      <c r="BE141" s="155"/>
      <c r="BF141" s="12"/>
      <c r="BG141" s="12"/>
      <c r="BH141" s="12"/>
    </row>
    <row r="142" spans="1:60" x14ac:dyDescent="0.2">
      <c r="A142" s="19"/>
      <c r="B142" s="158"/>
      <c r="C142" s="383" t="s">
        <v>711</v>
      </c>
      <c r="D142" s="159" t="s">
        <v>141</v>
      </c>
      <c r="E142" s="159" t="s">
        <v>142</v>
      </c>
      <c r="F142" s="159" t="s">
        <v>143</v>
      </c>
      <c r="G142" s="19"/>
      <c r="H142" s="19"/>
      <c r="I142" s="19"/>
      <c r="J142" s="19"/>
      <c r="K142" s="159"/>
      <c r="L142" s="372" t="s">
        <v>141</v>
      </c>
      <c r="M142" s="372" t="s">
        <v>142</v>
      </c>
      <c r="N142" s="372" t="s">
        <v>143</v>
      </c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G142" s="12"/>
      <c r="AH142" s="12"/>
      <c r="AI142" s="179"/>
      <c r="AJ142" s="179"/>
      <c r="AK142" s="179"/>
      <c r="AL142" s="155"/>
      <c r="AM142" s="155"/>
      <c r="AN142" s="155"/>
      <c r="AO142" s="155"/>
      <c r="AP142" s="179"/>
      <c r="AQ142" s="179"/>
      <c r="AR142" s="179"/>
      <c r="AS142" s="179"/>
      <c r="AT142" s="155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</row>
    <row r="143" spans="1:60" x14ac:dyDescent="0.2">
      <c r="A143" s="19"/>
      <c r="B143" s="158"/>
      <c r="C143" s="19" t="s">
        <v>710</v>
      </c>
      <c r="D143" s="159" t="s">
        <v>1</v>
      </c>
      <c r="E143" s="19"/>
      <c r="F143" s="19"/>
      <c r="G143" s="19"/>
      <c r="H143" s="19"/>
      <c r="I143" s="19"/>
      <c r="J143" s="19"/>
      <c r="K143" s="383" t="s">
        <v>360</v>
      </c>
      <c r="L143" s="19"/>
      <c r="M143" s="19"/>
      <c r="N143" s="370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G143" s="12"/>
      <c r="AH143" s="12"/>
      <c r="AI143" s="179"/>
      <c r="AJ143" s="12"/>
      <c r="AK143" s="12"/>
      <c r="AL143" s="155"/>
      <c r="AM143" s="155"/>
      <c r="AN143" s="155"/>
      <c r="AO143" s="155"/>
      <c r="AP143" s="155"/>
      <c r="AQ143" s="155"/>
      <c r="AR143" s="155"/>
      <c r="AS143" s="155"/>
      <c r="AT143" s="155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</row>
    <row r="144" spans="1:60" x14ac:dyDescent="0.2">
      <c r="A144" s="19"/>
      <c r="B144" s="158"/>
      <c r="C144" s="797">
        <v>1</v>
      </c>
      <c r="D144" s="798">
        <v>23.4</v>
      </c>
      <c r="E144" s="798">
        <v>26</v>
      </c>
      <c r="F144" s="798">
        <v>29.1</v>
      </c>
      <c r="G144" s="802"/>
      <c r="H144" s="802"/>
      <c r="I144" s="802"/>
      <c r="J144" s="802"/>
      <c r="K144" s="799">
        <v>1</v>
      </c>
      <c r="L144" s="800">
        <v>44.6</v>
      </c>
      <c r="M144" s="800">
        <v>49.8</v>
      </c>
      <c r="N144" s="803">
        <v>55.6</v>
      </c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G144" s="12"/>
      <c r="AH144" s="827"/>
      <c r="AI144" s="807"/>
      <c r="AJ144" s="807"/>
      <c r="AK144" s="807"/>
      <c r="AL144" s="155"/>
      <c r="AM144" s="155"/>
      <c r="AN144" s="155"/>
      <c r="AO144" s="155"/>
      <c r="AP144" s="827"/>
      <c r="AQ144" s="807"/>
      <c r="AR144" s="807"/>
      <c r="AS144" s="807"/>
      <c r="AT144" s="155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</row>
    <row r="145" spans="1:57" x14ac:dyDescent="0.2">
      <c r="A145" s="19"/>
      <c r="B145" s="158"/>
      <c r="C145" s="804">
        <v>2000</v>
      </c>
      <c r="D145" s="805">
        <v>23.4</v>
      </c>
      <c r="E145" s="805">
        <v>26</v>
      </c>
      <c r="F145" s="805">
        <v>29.1</v>
      </c>
      <c r="G145" s="20"/>
      <c r="H145" s="20"/>
      <c r="I145" s="20"/>
      <c r="J145" s="20"/>
      <c r="K145" s="806">
        <v>2000</v>
      </c>
      <c r="L145" s="807">
        <v>44.6</v>
      </c>
      <c r="M145" s="807">
        <v>49.8</v>
      </c>
      <c r="N145" s="808">
        <v>55.6</v>
      </c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G145" s="12"/>
      <c r="AH145" s="827"/>
      <c r="AI145" s="828"/>
      <c r="AJ145" s="828"/>
      <c r="AK145" s="828"/>
      <c r="AL145" s="155"/>
      <c r="AM145" s="155"/>
      <c r="AN145" s="155"/>
      <c r="AO145" s="155"/>
      <c r="AP145" s="827"/>
      <c r="AQ145" s="807"/>
      <c r="AR145" s="807"/>
      <c r="AS145" s="807"/>
      <c r="AT145" s="155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</row>
    <row r="146" spans="1:57" x14ac:dyDescent="0.2">
      <c r="A146" s="19"/>
      <c r="B146" s="158"/>
      <c r="C146" s="804">
        <v>3000</v>
      </c>
      <c r="D146" s="805">
        <v>17</v>
      </c>
      <c r="E146" s="805">
        <v>19.100000000000001</v>
      </c>
      <c r="F146" s="805">
        <v>21.2</v>
      </c>
      <c r="G146" s="836"/>
      <c r="H146" s="836"/>
      <c r="I146" s="836"/>
      <c r="J146" s="836"/>
      <c r="K146" s="806">
        <v>3000</v>
      </c>
      <c r="L146" s="807">
        <v>31.2</v>
      </c>
      <c r="M146" s="807">
        <v>35.299999999999997</v>
      </c>
      <c r="N146" s="808">
        <v>39.299999999999997</v>
      </c>
      <c r="O146" s="19"/>
      <c r="P146" s="19"/>
      <c r="V146" s="19"/>
      <c r="W146" s="19"/>
      <c r="X146" s="19"/>
      <c r="Y146" s="19"/>
      <c r="Z146" s="19"/>
      <c r="AA146" s="19"/>
      <c r="AB146" s="19"/>
      <c r="AC146" s="19"/>
      <c r="AG146" s="12"/>
      <c r="AH146" s="827"/>
      <c r="AI146" s="828"/>
      <c r="AJ146" s="828"/>
      <c r="AK146" s="828"/>
      <c r="AL146" s="203"/>
      <c r="AM146" s="203"/>
      <c r="AN146" s="203"/>
      <c r="AO146" s="203"/>
      <c r="AP146" s="827"/>
      <c r="AQ146" s="807"/>
      <c r="AR146" s="807"/>
      <c r="AS146" s="807"/>
      <c r="AT146" s="155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</row>
    <row r="147" spans="1:57" x14ac:dyDescent="0.2">
      <c r="A147" s="19"/>
      <c r="B147" s="158"/>
      <c r="C147" s="804">
        <v>4000</v>
      </c>
      <c r="D147" s="805">
        <v>13.7</v>
      </c>
      <c r="E147" s="805">
        <v>15.6</v>
      </c>
      <c r="F147" s="805">
        <v>17.399999999999999</v>
      </c>
      <c r="G147" s="836"/>
      <c r="H147" s="836"/>
      <c r="I147" s="836"/>
      <c r="J147" s="836"/>
      <c r="K147" s="806">
        <v>4000</v>
      </c>
      <c r="L147" s="807">
        <v>24.5</v>
      </c>
      <c r="M147" s="807">
        <v>27.9</v>
      </c>
      <c r="N147" s="808">
        <v>31.1</v>
      </c>
      <c r="O147" s="19"/>
      <c r="P147" s="19"/>
      <c r="V147" s="19"/>
      <c r="W147" s="19"/>
      <c r="X147" s="19"/>
      <c r="Y147" s="19"/>
      <c r="Z147" s="19"/>
      <c r="AA147" s="19"/>
      <c r="AB147" s="19"/>
      <c r="AC147" s="19"/>
      <c r="AG147" s="12"/>
      <c r="AH147" s="827"/>
      <c r="AI147" s="828"/>
      <c r="AJ147" s="828"/>
      <c r="AK147" s="828"/>
      <c r="AL147" s="203"/>
      <c r="AM147" s="203"/>
      <c r="AN147" s="203"/>
      <c r="AO147" s="203"/>
      <c r="AP147" s="827"/>
      <c r="AQ147" s="828"/>
      <c r="AR147" s="828"/>
      <c r="AS147" s="828"/>
      <c r="AT147" s="155"/>
      <c r="AU147" s="19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</row>
    <row r="148" spans="1:57" x14ac:dyDescent="0.2">
      <c r="A148" s="19"/>
      <c r="B148" s="158"/>
      <c r="C148" s="804">
        <v>5000</v>
      </c>
      <c r="D148" s="805">
        <v>11.8</v>
      </c>
      <c r="E148" s="805">
        <v>13.6</v>
      </c>
      <c r="F148" s="805">
        <v>15</v>
      </c>
      <c r="G148" s="836"/>
      <c r="H148" s="836"/>
      <c r="I148" s="836"/>
      <c r="J148" s="836"/>
      <c r="K148" s="806">
        <v>5000</v>
      </c>
      <c r="L148" s="807">
        <v>20.5</v>
      </c>
      <c r="M148" s="807">
        <v>23.9</v>
      </c>
      <c r="N148" s="808">
        <v>26.6</v>
      </c>
      <c r="O148" s="19"/>
      <c r="P148" s="19"/>
      <c r="V148" s="19"/>
      <c r="W148" s="19"/>
      <c r="X148" s="19"/>
      <c r="Y148" s="19"/>
      <c r="Z148" s="19"/>
      <c r="AA148" s="19"/>
      <c r="AB148" s="19"/>
      <c r="AC148" s="19"/>
      <c r="AG148" s="12"/>
      <c r="AH148" s="827"/>
      <c r="AI148" s="828"/>
      <c r="AJ148" s="828"/>
      <c r="AK148" s="828"/>
      <c r="AL148" s="203"/>
      <c r="AM148" s="203"/>
      <c r="AN148" s="203"/>
      <c r="AO148" s="203"/>
      <c r="AP148" s="827"/>
      <c r="AQ148" s="828"/>
      <c r="AR148" s="828"/>
      <c r="AS148" s="828"/>
      <c r="AT148" s="155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</row>
    <row r="149" spans="1:57" x14ac:dyDescent="0.2">
      <c r="A149" s="19"/>
      <c r="B149" s="158"/>
      <c r="C149" s="804">
        <v>6000</v>
      </c>
      <c r="D149" s="805">
        <v>10.5</v>
      </c>
      <c r="E149" s="805">
        <v>12.2</v>
      </c>
      <c r="F149" s="805">
        <v>13.4</v>
      </c>
      <c r="G149" s="836"/>
      <c r="H149" s="836"/>
      <c r="I149" s="836"/>
      <c r="J149" s="836"/>
      <c r="K149" s="806">
        <v>6000</v>
      </c>
      <c r="L149" s="807">
        <v>17.8</v>
      </c>
      <c r="M149" s="807">
        <v>20.9</v>
      </c>
      <c r="N149" s="808">
        <v>23</v>
      </c>
      <c r="O149" s="19"/>
      <c r="P149" s="19"/>
      <c r="V149" s="19"/>
      <c r="W149" s="19"/>
      <c r="X149" s="19"/>
      <c r="Y149" s="19"/>
      <c r="Z149" s="19"/>
      <c r="AA149" s="19"/>
      <c r="AB149" s="19"/>
      <c r="AC149" s="19"/>
      <c r="AG149" s="12"/>
      <c r="AH149" s="827"/>
      <c r="AI149" s="828"/>
      <c r="AJ149" s="828"/>
      <c r="AK149" s="828"/>
      <c r="AL149" s="203"/>
      <c r="AM149" s="203"/>
      <c r="AN149" s="203"/>
      <c r="AO149" s="203"/>
      <c r="AP149" s="827"/>
      <c r="AQ149" s="828"/>
      <c r="AR149" s="828"/>
      <c r="AS149" s="828"/>
      <c r="AT149" s="155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</row>
    <row r="150" spans="1:57" x14ac:dyDescent="0.2">
      <c r="A150" s="19"/>
      <c r="B150" s="158"/>
      <c r="C150" s="804">
        <v>7000</v>
      </c>
      <c r="D150" s="805">
        <v>9.6</v>
      </c>
      <c r="E150" s="805">
        <v>11.2</v>
      </c>
      <c r="F150" s="805">
        <v>12.3</v>
      </c>
      <c r="G150" s="836"/>
      <c r="H150" s="836"/>
      <c r="I150" s="836"/>
      <c r="J150" s="836"/>
      <c r="K150" s="806">
        <v>7000</v>
      </c>
      <c r="L150" s="807">
        <v>15.8</v>
      </c>
      <c r="M150" s="807">
        <v>18.600000000000001</v>
      </c>
      <c r="N150" s="808">
        <v>20.5</v>
      </c>
      <c r="O150" s="19"/>
      <c r="P150" s="19"/>
      <c r="V150" s="19"/>
      <c r="W150" s="19"/>
      <c r="X150" s="19"/>
      <c r="Y150" s="19"/>
      <c r="Z150" s="19"/>
      <c r="AA150" s="19"/>
      <c r="AB150" s="19"/>
      <c r="AC150" s="19"/>
      <c r="AG150" s="12"/>
      <c r="AH150" s="827"/>
      <c r="AI150" s="828"/>
      <c r="AJ150" s="828"/>
      <c r="AK150" s="828"/>
      <c r="AL150" s="203"/>
      <c r="AM150" s="203"/>
      <c r="AN150" s="203"/>
      <c r="AO150" s="203"/>
      <c r="AP150" s="827"/>
      <c r="AQ150" s="828"/>
      <c r="AR150" s="828"/>
      <c r="AS150" s="828"/>
      <c r="AT150" s="155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</row>
    <row r="151" spans="1:57" x14ac:dyDescent="0.2">
      <c r="A151" s="19"/>
      <c r="B151" s="158"/>
      <c r="C151" s="804">
        <v>8000</v>
      </c>
      <c r="D151" s="805">
        <v>8.9</v>
      </c>
      <c r="E151" s="805">
        <v>10.5</v>
      </c>
      <c r="F151" s="805">
        <v>11.5</v>
      </c>
      <c r="G151" s="836"/>
      <c r="H151" s="836"/>
      <c r="I151" s="836"/>
      <c r="J151" s="836"/>
      <c r="K151" s="806">
        <v>8000</v>
      </c>
      <c r="L151" s="807">
        <v>14.3</v>
      </c>
      <c r="M151" s="807">
        <v>17.100000000000001</v>
      </c>
      <c r="N151" s="808">
        <v>18.8</v>
      </c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G151" s="12"/>
      <c r="AH151" s="827"/>
      <c r="AI151" s="828"/>
      <c r="AJ151" s="828"/>
      <c r="AK151" s="828"/>
      <c r="AL151" s="203"/>
      <c r="AM151" s="203"/>
      <c r="AN151" s="203"/>
      <c r="AO151" s="203"/>
      <c r="AP151" s="827"/>
      <c r="AQ151" s="828"/>
      <c r="AR151" s="828"/>
      <c r="AS151" s="828"/>
      <c r="AT151" s="155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</row>
    <row r="152" spans="1:57" x14ac:dyDescent="0.2">
      <c r="A152" s="19"/>
      <c r="B152" s="158"/>
      <c r="C152" s="804">
        <v>9000</v>
      </c>
      <c r="D152" s="805">
        <v>8.4</v>
      </c>
      <c r="E152" s="805">
        <v>9.9</v>
      </c>
      <c r="F152" s="805">
        <v>10.8</v>
      </c>
      <c r="G152" s="836"/>
      <c r="H152" s="836"/>
      <c r="I152" s="836"/>
      <c r="J152" s="836"/>
      <c r="K152" s="806">
        <v>9000</v>
      </c>
      <c r="L152" s="807">
        <v>13.2</v>
      </c>
      <c r="M152" s="807">
        <v>15.7</v>
      </c>
      <c r="N152" s="808">
        <v>17.2</v>
      </c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G152" s="12"/>
      <c r="AH152" s="827"/>
      <c r="AI152" s="828"/>
      <c r="AJ152" s="828"/>
      <c r="AK152" s="828"/>
      <c r="AL152" s="203"/>
      <c r="AM152" s="203"/>
      <c r="AN152" s="203"/>
      <c r="AO152" s="203"/>
      <c r="AP152" s="827"/>
      <c r="AQ152" s="828"/>
      <c r="AR152" s="828"/>
      <c r="AS152" s="828"/>
      <c r="AT152" s="155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</row>
    <row r="153" spans="1:57" x14ac:dyDescent="0.2">
      <c r="A153" s="19"/>
      <c r="B153" s="158"/>
      <c r="C153" s="804">
        <v>10000</v>
      </c>
      <c r="D153" s="805">
        <v>8</v>
      </c>
      <c r="E153" s="805">
        <v>9.4</v>
      </c>
      <c r="F153" s="805">
        <v>10.3</v>
      </c>
      <c r="G153" s="20"/>
      <c r="H153" s="20"/>
      <c r="I153" s="20"/>
      <c r="J153" s="20"/>
      <c r="K153" s="806">
        <v>10000</v>
      </c>
      <c r="L153" s="807">
        <v>12.3</v>
      </c>
      <c r="M153" s="807">
        <v>14.7</v>
      </c>
      <c r="N153" s="808">
        <v>16.100000000000001</v>
      </c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G153" s="12"/>
      <c r="AH153" s="827"/>
      <c r="AI153" s="828"/>
      <c r="AJ153" s="828"/>
      <c r="AK153" s="828"/>
      <c r="AL153" s="155"/>
      <c r="AM153" s="155"/>
      <c r="AN153" s="155"/>
      <c r="AO153" s="155"/>
      <c r="AP153" s="827"/>
      <c r="AQ153" s="828"/>
      <c r="AR153" s="828"/>
      <c r="AS153" s="828"/>
      <c r="AT153" s="155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</row>
    <row r="154" spans="1:57" x14ac:dyDescent="0.2">
      <c r="C154" s="804">
        <v>15000</v>
      </c>
      <c r="D154" s="805">
        <v>6.7</v>
      </c>
      <c r="E154" s="805">
        <v>8.1</v>
      </c>
      <c r="F154" s="805">
        <v>8.6999999999999993</v>
      </c>
      <c r="G154" s="2"/>
      <c r="H154" s="2"/>
      <c r="I154" s="2"/>
      <c r="J154" s="2"/>
      <c r="K154" s="806">
        <v>15000</v>
      </c>
      <c r="L154" s="807">
        <v>9.6</v>
      </c>
      <c r="M154" s="807">
        <v>11.4</v>
      </c>
      <c r="N154" s="808">
        <v>12.5</v>
      </c>
      <c r="AG154" s="12"/>
      <c r="AH154" s="827"/>
      <c r="AI154" s="828"/>
      <c r="AJ154" s="828"/>
      <c r="AK154" s="828"/>
      <c r="AL154" s="12"/>
      <c r="AM154" s="12"/>
      <c r="AN154" s="12"/>
      <c r="AO154" s="12"/>
      <c r="AP154" s="827"/>
      <c r="AQ154" s="828"/>
      <c r="AR154" s="828"/>
      <c r="AS154" s="828"/>
      <c r="AT154" s="12"/>
    </row>
    <row r="155" spans="1:57" x14ac:dyDescent="0.2">
      <c r="C155" s="804">
        <v>20000</v>
      </c>
      <c r="D155" s="805">
        <v>6</v>
      </c>
      <c r="E155" s="805">
        <v>7.4</v>
      </c>
      <c r="F155" s="805">
        <v>8</v>
      </c>
      <c r="G155" s="2"/>
      <c r="H155" s="2"/>
      <c r="I155" s="2"/>
      <c r="J155" s="2"/>
      <c r="K155" s="806">
        <v>20000</v>
      </c>
      <c r="L155" s="807">
        <v>8.3000000000000007</v>
      </c>
      <c r="M155" s="807">
        <v>9.8000000000000007</v>
      </c>
      <c r="N155" s="808">
        <v>10.7</v>
      </c>
      <c r="AG155" s="12"/>
      <c r="AH155" s="827"/>
      <c r="AI155" s="828"/>
      <c r="AJ155" s="828"/>
      <c r="AK155" s="828"/>
      <c r="AL155" s="12"/>
      <c r="AM155" s="12"/>
      <c r="AN155" s="12"/>
      <c r="AO155" s="12"/>
      <c r="AP155" s="827"/>
      <c r="AQ155" s="828"/>
      <c r="AR155" s="828"/>
      <c r="AS155" s="828"/>
      <c r="AT155" s="12"/>
    </row>
    <row r="156" spans="1:57" x14ac:dyDescent="0.2">
      <c r="C156" s="804">
        <v>25000</v>
      </c>
      <c r="D156" s="805">
        <v>5.6</v>
      </c>
      <c r="E156" s="805">
        <v>7</v>
      </c>
      <c r="F156" s="805">
        <v>7.5</v>
      </c>
      <c r="G156" s="2"/>
      <c r="H156" s="2"/>
      <c r="I156" s="2"/>
      <c r="J156" s="2"/>
      <c r="K156" s="806">
        <v>25000</v>
      </c>
      <c r="L156" s="807">
        <v>7.5</v>
      </c>
      <c r="M156" s="807">
        <v>8.8000000000000007</v>
      </c>
      <c r="N156" s="808">
        <v>9.6</v>
      </c>
      <c r="AG156" s="12"/>
      <c r="AH156" s="827"/>
      <c r="AI156" s="828"/>
      <c r="AJ156" s="828"/>
      <c r="AK156" s="828"/>
      <c r="AL156" s="12"/>
      <c r="AM156" s="12"/>
      <c r="AN156" s="12"/>
      <c r="AO156" s="12"/>
      <c r="AP156" s="827"/>
      <c r="AQ156" s="828"/>
      <c r="AR156" s="828"/>
      <c r="AS156" s="828"/>
      <c r="AT156" s="12"/>
    </row>
    <row r="157" spans="1:57" x14ac:dyDescent="0.2">
      <c r="C157" s="804">
        <v>30000</v>
      </c>
      <c r="D157" s="805">
        <v>5.4</v>
      </c>
      <c r="E157" s="805">
        <v>6.7</v>
      </c>
      <c r="F157" s="805">
        <v>7.2</v>
      </c>
      <c r="G157" s="2"/>
      <c r="H157" s="2"/>
      <c r="I157" s="2"/>
      <c r="J157" s="2"/>
      <c r="K157" s="806">
        <v>30000</v>
      </c>
      <c r="L157" s="807">
        <v>7</v>
      </c>
      <c r="M157" s="807">
        <v>8.4</v>
      </c>
      <c r="N157" s="808">
        <v>9.1</v>
      </c>
      <c r="AG157" s="12"/>
      <c r="AH157" s="827"/>
      <c r="AI157" s="828"/>
      <c r="AJ157" s="828"/>
      <c r="AK157" s="828"/>
      <c r="AL157" s="12"/>
      <c r="AM157" s="12"/>
      <c r="AN157" s="12"/>
      <c r="AO157" s="12"/>
      <c r="AP157" s="827"/>
      <c r="AQ157" s="828"/>
      <c r="AR157" s="828"/>
      <c r="AS157" s="828"/>
      <c r="AT157" s="12"/>
    </row>
    <row r="158" spans="1:57" x14ac:dyDescent="0.2">
      <c r="C158" s="804">
        <v>40000</v>
      </c>
      <c r="D158" s="805">
        <v>5.0999999999999996</v>
      </c>
      <c r="E158" s="805">
        <v>6.3</v>
      </c>
      <c r="F158" s="805">
        <v>6.8</v>
      </c>
      <c r="G158" s="2"/>
      <c r="H158" s="2"/>
      <c r="I158" s="2"/>
      <c r="J158" s="2"/>
      <c r="K158" s="806">
        <v>40000</v>
      </c>
      <c r="L158" s="807">
        <v>6.2</v>
      </c>
      <c r="M158" s="807">
        <v>7.7</v>
      </c>
      <c r="N158" s="808">
        <v>8.4</v>
      </c>
      <c r="AG158" s="12"/>
      <c r="AH158" s="827"/>
      <c r="AI158" s="828"/>
      <c r="AJ158" s="828"/>
      <c r="AK158" s="828"/>
      <c r="AL158" s="12"/>
      <c r="AM158" s="12"/>
      <c r="AN158" s="12"/>
      <c r="AO158" s="12"/>
      <c r="AP158" s="827"/>
      <c r="AQ158" s="828"/>
      <c r="AR158" s="828"/>
      <c r="AS158" s="828"/>
      <c r="AT158" s="12"/>
    </row>
    <row r="159" spans="1:57" x14ac:dyDescent="0.2">
      <c r="C159" s="804">
        <v>50000</v>
      </c>
      <c r="D159" s="805">
        <v>4.9000000000000004</v>
      </c>
      <c r="E159" s="805">
        <v>5.9</v>
      </c>
      <c r="F159" s="805">
        <v>6.5</v>
      </c>
      <c r="G159" s="2"/>
      <c r="H159" s="2"/>
      <c r="I159" s="2"/>
      <c r="J159" s="2"/>
      <c r="K159" s="806">
        <v>50000</v>
      </c>
      <c r="L159" s="807">
        <v>5.8</v>
      </c>
      <c r="M159" s="807">
        <v>7.3</v>
      </c>
      <c r="N159" s="808">
        <v>7.9</v>
      </c>
      <c r="AG159" s="12"/>
      <c r="AH159" s="827"/>
      <c r="AI159" s="828"/>
      <c r="AJ159" s="828"/>
      <c r="AK159" s="828"/>
      <c r="AL159" s="12"/>
      <c r="AM159" s="12"/>
      <c r="AN159" s="12"/>
      <c r="AO159" s="12"/>
      <c r="AP159" s="827"/>
      <c r="AQ159" s="828"/>
      <c r="AR159" s="828"/>
      <c r="AS159" s="828"/>
      <c r="AT159" s="12"/>
    </row>
    <row r="160" spans="1:57" x14ac:dyDescent="0.2">
      <c r="C160" s="804">
        <v>60000</v>
      </c>
      <c r="D160" s="805">
        <v>4.7</v>
      </c>
      <c r="E160" s="805">
        <v>5.7</v>
      </c>
      <c r="F160" s="805">
        <v>6.4</v>
      </c>
      <c r="G160" s="2"/>
      <c r="H160" s="2"/>
      <c r="I160" s="2"/>
      <c r="J160" s="2"/>
      <c r="K160" s="806">
        <v>60000</v>
      </c>
      <c r="L160" s="807">
        <v>5.6</v>
      </c>
      <c r="M160" s="807">
        <v>7</v>
      </c>
      <c r="N160" s="808">
        <v>7.6</v>
      </c>
      <c r="AG160" s="12"/>
      <c r="AH160" s="827"/>
      <c r="AI160" s="828"/>
      <c r="AJ160" s="828"/>
      <c r="AK160" s="828"/>
      <c r="AL160" s="12"/>
      <c r="AM160" s="12"/>
      <c r="AN160" s="12"/>
      <c r="AO160" s="12"/>
      <c r="AP160" s="827"/>
      <c r="AQ160" s="828"/>
      <c r="AR160" s="828"/>
      <c r="AS160" s="828"/>
      <c r="AT160" s="12"/>
    </row>
    <row r="161" spans="3:46" x14ac:dyDescent="0.2">
      <c r="C161" s="804">
        <v>80000</v>
      </c>
      <c r="D161" s="805">
        <v>4.4000000000000004</v>
      </c>
      <c r="E161" s="805">
        <v>5.3</v>
      </c>
      <c r="F161" s="805">
        <v>6</v>
      </c>
      <c r="G161" s="2"/>
      <c r="H161" s="2"/>
      <c r="I161" s="2"/>
      <c r="J161" s="2"/>
      <c r="K161" s="806">
        <v>80000</v>
      </c>
      <c r="L161" s="807">
        <v>5.3</v>
      </c>
      <c r="M161" s="807">
        <v>6.6</v>
      </c>
      <c r="N161" s="808">
        <v>7.2</v>
      </c>
      <c r="AG161" s="12"/>
      <c r="AH161" s="827"/>
      <c r="AI161" s="828"/>
      <c r="AJ161" s="828"/>
      <c r="AK161" s="828"/>
      <c r="AL161" s="12"/>
      <c r="AM161" s="12"/>
      <c r="AN161" s="12"/>
      <c r="AO161" s="12"/>
      <c r="AP161" s="827"/>
      <c r="AQ161" s="828"/>
      <c r="AR161" s="828"/>
      <c r="AS161" s="828"/>
      <c r="AT161" s="12"/>
    </row>
    <row r="162" spans="3:46" x14ac:dyDescent="0.2">
      <c r="C162" s="804">
        <v>100000</v>
      </c>
      <c r="D162" s="805">
        <v>4.3</v>
      </c>
      <c r="E162" s="805">
        <v>5.2</v>
      </c>
      <c r="F162" s="805">
        <v>5.8</v>
      </c>
      <c r="G162" s="2"/>
      <c r="H162" s="2"/>
      <c r="I162" s="2"/>
      <c r="J162" s="2"/>
      <c r="K162" s="806">
        <v>100000</v>
      </c>
      <c r="L162" s="807">
        <v>5.0999999999999996</v>
      </c>
      <c r="M162" s="807">
        <v>6.1</v>
      </c>
      <c r="N162" s="808">
        <v>6.6</v>
      </c>
      <c r="AG162" s="12"/>
      <c r="AH162" s="827"/>
      <c r="AI162" s="828"/>
      <c r="AJ162" s="828"/>
      <c r="AK162" s="828"/>
      <c r="AL162" s="12"/>
      <c r="AM162" s="12"/>
      <c r="AN162" s="12"/>
      <c r="AO162" s="12"/>
      <c r="AP162" s="827"/>
      <c r="AQ162" s="828"/>
      <c r="AR162" s="828"/>
      <c r="AS162" s="828"/>
      <c r="AT162" s="12"/>
    </row>
    <row r="163" spans="3:46" x14ac:dyDescent="0.2">
      <c r="C163" s="804">
        <v>150000</v>
      </c>
      <c r="D163" s="805">
        <v>4</v>
      </c>
      <c r="E163" s="805">
        <v>4.8</v>
      </c>
      <c r="F163" s="805">
        <v>5.4</v>
      </c>
      <c r="G163" s="2"/>
      <c r="H163" s="2"/>
      <c r="I163" s="2"/>
      <c r="J163" s="2"/>
      <c r="K163" s="806">
        <v>150000</v>
      </c>
      <c r="L163" s="807">
        <v>4.8</v>
      </c>
      <c r="M163" s="807">
        <v>5.8</v>
      </c>
      <c r="N163" s="808">
        <v>6.2</v>
      </c>
      <c r="AG163" s="12"/>
      <c r="AH163" s="827"/>
      <c r="AI163" s="831"/>
      <c r="AJ163" s="831"/>
      <c r="AK163" s="831"/>
      <c r="AL163" s="12"/>
      <c r="AM163" s="12"/>
      <c r="AN163" s="12"/>
      <c r="AO163" s="12"/>
      <c r="AP163" s="827"/>
      <c r="AQ163" s="831"/>
      <c r="AR163" s="831"/>
      <c r="AS163" s="831"/>
      <c r="AT163" s="12"/>
    </row>
    <row r="164" spans="3:46" x14ac:dyDescent="0.2">
      <c r="C164" s="810">
        <v>150001</v>
      </c>
      <c r="D164" s="811">
        <v>3.9</v>
      </c>
      <c r="E164" s="811">
        <v>4.5999999999999996</v>
      </c>
      <c r="F164" s="811">
        <v>5.0999999999999996</v>
      </c>
      <c r="G164" s="18"/>
      <c r="H164" s="18"/>
      <c r="I164" s="18"/>
      <c r="J164" s="18"/>
      <c r="K164" s="812">
        <v>150001</v>
      </c>
      <c r="L164" s="813">
        <v>4.7</v>
      </c>
      <c r="M164" s="813">
        <v>5.6</v>
      </c>
      <c r="N164" s="814">
        <v>6</v>
      </c>
      <c r="AG164" s="12"/>
      <c r="AH164" s="827"/>
      <c r="AI164" s="831"/>
      <c r="AJ164" s="831"/>
      <c r="AK164" s="831"/>
      <c r="AL164" s="12"/>
      <c r="AM164" s="12"/>
      <c r="AN164" s="12"/>
      <c r="AO164" s="12"/>
      <c r="AP164" s="827"/>
      <c r="AQ164" s="807"/>
      <c r="AR164" s="807"/>
      <c r="AS164" s="807"/>
      <c r="AT164" s="12"/>
    </row>
    <row r="165" spans="3:46" x14ac:dyDescent="0.2"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</row>
    <row r="166" spans="3:46" x14ac:dyDescent="0.2"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</row>
    <row r="167" spans="3:46" x14ac:dyDescent="0.2">
      <c r="C167" s="19" t="s">
        <v>827</v>
      </c>
      <c r="D167" s="1065" t="s">
        <v>141</v>
      </c>
      <c r="E167" s="1066" t="s">
        <v>142</v>
      </c>
      <c r="F167" s="1066" t="s">
        <v>143</v>
      </c>
      <c r="G167" s="1066" t="s">
        <v>144</v>
      </c>
      <c r="H167" s="1066" t="s">
        <v>145</v>
      </c>
      <c r="I167" s="1066" t="s">
        <v>828</v>
      </c>
      <c r="J167" s="1067" t="s">
        <v>146</v>
      </c>
      <c r="K167" s="159"/>
      <c r="L167" s="1030" t="s">
        <v>141</v>
      </c>
      <c r="M167" s="1031" t="s">
        <v>142</v>
      </c>
      <c r="N167" s="1031" t="s">
        <v>143</v>
      </c>
      <c r="O167" s="1031" t="s">
        <v>144</v>
      </c>
      <c r="P167" s="1031" t="s">
        <v>145</v>
      </c>
      <c r="Q167" s="1031" t="s">
        <v>828</v>
      </c>
      <c r="R167" s="1032" t="s">
        <v>146</v>
      </c>
      <c r="S167" s="159"/>
      <c r="T167" s="1033" t="s">
        <v>141</v>
      </c>
      <c r="U167" s="1034" t="s">
        <v>142</v>
      </c>
      <c r="V167" s="1034" t="s">
        <v>143</v>
      </c>
      <c r="W167" s="1034" t="s">
        <v>144</v>
      </c>
      <c r="X167" s="1034" t="s">
        <v>145</v>
      </c>
      <c r="Y167" s="1034" t="s">
        <v>828</v>
      </c>
      <c r="Z167" s="1035" t="s">
        <v>146</v>
      </c>
      <c r="AA167" s="159"/>
      <c r="AB167" s="1036" t="s">
        <v>141</v>
      </c>
      <c r="AC167" s="1037" t="s">
        <v>142</v>
      </c>
      <c r="AD167" s="1037" t="s">
        <v>143</v>
      </c>
      <c r="AE167" s="1037" t="s">
        <v>144</v>
      </c>
      <c r="AF167" s="1037" t="s">
        <v>145</v>
      </c>
      <c r="AG167" s="1037" t="s">
        <v>828</v>
      </c>
      <c r="AH167" s="1038" t="s">
        <v>146</v>
      </c>
    </row>
    <row r="168" spans="3:46" x14ac:dyDescent="0.2">
      <c r="C168" s="19" t="s">
        <v>843</v>
      </c>
      <c r="D168" s="2215" t="s">
        <v>1</v>
      </c>
      <c r="E168" s="2216"/>
      <c r="F168" s="2216"/>
      <c r="G168" s="2216"/>
      <c r="H168" s="2216"/>
      <c r="I168" s="2216"/>
      <c r="J168" s="2217"/>
      <c r="K168" s="19"/>
      <c r="L168" s="2215" t="s">
        <v>2</v>
      </c>
      <c r="M168" s="2216"/>
      <c r="N168" s="2216"/>
      <c r="O168" s="2216"/>
      <c r="P168" s="2216"/>
      <c r="Q168" s="2216"/>
      <c r="R168" s="2217"/>
      <c r="S168" s="19"/>
      <c r="T168" s="2215" t="s">
        <v>393</v>
      </c>
      <c r="U168" s="2216"/>
      <c r="V168" s="2216"/>
      <c r="W168" s="2216"/>
      <c r="X168" s="2216"/>
      <c r="Y168" s="2216"/>
      <c r="Z168" s="2217"/>
      <c r="AA168" s="19"/>
      <c r="AB168" s="2215" t="s">
        <v>829</v>
      </c>
      <c r="AC168" s="2216"/>
      <c r="AD168" s="2216"/>
      <c r="AE168" s="2216"/>
      <c r="AF168" s="2216"/>
      <c r="AG168" s="2216"/>
      <c r="AH168" s="2217"/>
    </row>
    <row r="169" spans="3:46" x14ac:dyDescent="0.2">
      <c r="C169" s="797">
        <v>1</v>
      </c>
      <c r="D169" s="1051">
        <v>56</v>
      </c>
      <c r="E169" s="1051">
        <v>57</v>
      </c>
      <c r="F169" s="1051">
        <v>62.2</v>
      </c>
      <c r="G169" s="1051">
        <v>64.7</v>
      </c>
      <c r="H169" s="1051">
        <v>66.5</v>
      </c>
      <c r="I169" s="1051"/>
      <c r="J169" s="1052">
        <v>68</v>
      </c>
      <c r="K169" s="799">
        <v>1</v>
      </c>
      <c r="L169" s="1055">
        <v>58.7</v>
      </c>
      <c r="M169" s="1055">
        <v>59.8</v>
      </c>
      <c r="N169" s="1055">
        <v>65.2</v>
      </c>
      <c r="O169" s="1055">
        <v>67.8</v>
      </c>
      <c r="P169" s="1055">
        <v>69.7</v>
      </c>
      <c r="Q169" s="1056"/>
      <c r="R169" s="1057">
        <v>71.3</v>
      </c>
      <c r="S169" s="797">
        <v>1</v>
      </c>
      <c r="T169" s="1055">
        <v>61.4</v>
      </c>
      <c r="U169" s="1055">
        <v>62.5</v>
      </c>
      <c r="V169" s="1055">
        <v>68.2</v>
      </c>
      <c r="W169" s="1055">
        <v>71</v>
      </c>
      <c r="X169" s="1055">
        <v>73</v>
      </c>
      <c r="Y169" s="1055"/>
      <c r="Z169" s="1061">
        <v>74.599999999999994</v>
      </c>
      <c r="AA169" s="799">
        <v>1</v>
      </c>
      <c r="AB169" s="1055">
        <v>61.4</v>
      </c>
      <c r="AC169" s="1055">
        <v>62.5</v>
      </c>
      <c r="AD169" s="1055">
        <v>68.2</v>
      </c>
      <c r="AE169" s="1055">
        <v>71</v>
      </c>
      <c r="AF169" s="1055">
        <v>73</v>
      </c>
      <c r="AG169" s="1056"/>
      <c r="AH169" s="1062">
        <v>74.599999999999994</v>
      </c>
    </row>
    <row r="170" spans="3:46" x14ac:dyDescent="0.2">
      <c r="C170" s="804">
        <v>2000</v>
      </c>
      <c r="D170" s="1051">
        <v>56</v>
      </c>
      <c r="E170" s="1051">
        <v>57</v>
      </c>
      <c r="F170" s="1051">
        <v>62.2</v>
      </c>
      <c r="G170" s="1051">
        <v>64.7</v>
      </c>
      <c r="H170" s="1051">
        <v>66.5</v>
      </c>
      <c r="I170" s="1051"/>
      <c r="J170" s="1052">
        <v>68</v>
      </c>
      <c r="K170" s="806">
        <v>2000</v>
      </c>
      <c r="L170" s="1051">
        <v>58.7</v>
      </c>
      <c r="M170" s="1051">
        <v>59.8</v>
      </c>
      <c r="N170" s="1051">
        <v>65.2</v>
      </c>
      <c r="O170" s="1051">
        <v>67.8</v>
      </c>
      <c r="P170" s="1051">
        <v>69.7</v>
      </c>
      <c r="Q170" s="1051"/>
      <c r="R170" s="1058">
        <v>71.3</v>
      </c>
      <c r="S170" s="804">
        <v>2000</v>
      </c>
      <c r="T170" s="1051">
        <v>61.4</v>
      </c>
      <c r="U170" s="1051">
        <v>62.5</v>
      </c>
      <c r="V170" s="1051">
        <v>68.2</v>
      </c>
      <c r="W170" s="1051">
        <v>71</v>
      </c>
      <c r="X170" s="1051">
        <v>73</v>
      </c>
      <c r="Y170" s="1051"/>
      <c r="Z170" s="1052">
        <v>74.599999999999994</v>
      </c>
      <c r="AA170" s="806">
        <v>2000</v>
      </c>
      <c r="AB170" s="1051">
        <v>61.4</v>
      </c>
      <c r="AC170" s="1051">
        <v>62.5</v>
      </c>
      <c r="AD170" s="1051">
        <v>68.2</v>
      </c>
      <c r="AE170" s="1051">
        <v>71</v>
      </c>
      <c r="AF170" s="1051">
        <v>73</v>
      </c>
      <c r="AG170" s="1051"/>
      <c r="AH170" s="1063">
        <v>74.599999999999994</v>
      </c>
    </row>
    <row r="171" spans="3:46" x14ac:dyDescent="0.2">
      <c r="C171" s="804">
        <v>3000</v>
      </c>
      <c r="D171" s="1051">
        <v>39</v>
      </c>
      <c r="E171" s="1051">
        <v>40.1</v>
      </c>
      <c r="F171" s="1051">
        <v>43.8</v>
      </c>
      <c r="G171" s="1051">
        <v>45.5</v>
      </c>
      <c r="H171" s="1051">
        <v>46.7</v>
      </c>
      <c r="I171" s="1051"/>
      <c r="J171" s="1052">
        <v>48</v>
      </c>
      <c r="K171" s="806">
        <v>3000</v>
      </c>
      <c r="L171" s="1051">
        <v>58.7</v>
      </c>
      <c r="M171" s="1051">
        <v>59.8</v>
      </c>
      <c r="N171" s="1051">
        <v>65.2</v>
      </c>
      <c r="O171" s="1051">
        <v>67.8</v>
      </c>
      <c r="P171" s="1051">
        <v>69.7</v>
      </c>
      <c r="Q171" s="1051"/>
      <c r="R171" s="1058">
        <v>71.3</v>
      </c>
      <c r="S171" s="804">
        <v>3000</v>
      </c>
      <c r="T171" s="1051">
        <v>61.4</v>
      </c>
      <c r="U171" s="1051">
        <v>62.5</v>
      </c>
      <c r="V171" s="1051">
        <v>68.2</v>
      </c>
      <c r="W171" s="1051">
        <v>71</v>
      </c>
      <c r="X171" s="1051">
        <v>73</v>
      </c>
      <c r="Y171" s="1051"/>
      <c r="Z171" s="1052">
        <v>74.599999999999994</v>
      </c>
      <c r="AA171" s="806">
        <v>3000</v>
      </c>
      <c r="AB171" s="1051">
        <v>61.4</v>
      </c>
      <c r="AC171" s="1051">
        <v>62.5</v>
      </c>
      <c r="AD171" s="1051">
        <v>68.2</v>
      </c>
      <c r="AE171" s="1051">
        <v>71</v>
      </c>
      <c r="AF171" s="1051">
        <v>73</v>
      </c>
      <c r="AG171" s="1051"/>
      <c r="AH171" s="1063">
        <v>74.599999999999994</v>
      </c>
    </row>
    <row r="172" spans="3:46" x14ac:dyDescent="0.2">
      <c r="C172" s="804">
        <v>4000</v>
      </c>
      <c r="D172" s="1051">
        <v>30.5</v>
      </c>
      <c r="E172" s="1051">
        <v>31.6</v>
      </c>
      <c r="F172" s="1051">
        <v>34.6</v>
      </c>
      <c r="G172" s="1051">
        <v>35.9</v>
      </c>
      <c r="H172" s="1051">
        <v>36.700000000000003</v>
      </c>
      <c r="I172" s="1051"/>
      <c r="J172" s="1052">
        <v>38</v>
      </c>
      <c r="K172" s="806">
        <v>4000</v>
      </c>
      <c r="L172" s="1051">
        <v>58.7</v>
      </c>
      <c r="M172" s="1051">
        <v>59.8</v>
      </c>
      <c r="N172" s="1051">
        <v>65.2</v>
      </c>
      <c r="O172" s="1051">
        <v>67.8</v>
      </c>
      <c r="P172" s="1051">
        <v>69.7</v>
      </c>
      <c r="Q172" s="1059"/>
      <c r="R172" s="1058">
        <v>71.3</v>
      </c>
      <c r="S172" s="804">
        <v>4000</v>
      </c>
      <c r="T172" s="1051">
        <v>61.4</v>
      </c>
      <c r="U172" s="1051">
        <v>62.5</v>
      </c>
      <c r="V172" s="1051">
        <v>68.2</v>
      </c>
      <c r="W172" s="1051">
        <v>71</v>
      </c>
      <c r="X172" s="1051">
        <v>73</v>
      </c>
      <c r="Y172" s="1051"/>
      <c r="Z172" s="1052">
        <v>74.599999999999994</v>
      </c>
      <c r="AA172" s="806">
        <v>4000</v>
      </c>
      <c r="AB172" s="1051">
        <v>61.4</v>
      </c>
      <c r="AC172" s="1051">
        <v>62.5</v>
      </c>
      <c r="AD172" s="1051">
        <v>68.2</v>
      </c>
      <c r="AE172" s="1051">
        <v>71</v>
      </c>
      <c r="AF172" s="1051">
        <v>73</v>
      </c>
      <c r="AG172" s="1059"/>
      <c r="AH172" s="1063">
        <v>74.599999999999994</v>
      </c>
    </row>
    <row r="173" spans="3:46" x14ac:dyDescent="0.2">
      <c r="C173" s="804">
        <v>5000</v>
      </c>
      <c r="D173" s="1051">
        <v>25.4</v>
      </c>
      <c r="E173" s="1051">
        <v>26.5</v>
      </c>
      <c r="F173" s="1051">
        <v>29.1</v>
      </c>
      <c r="G173" s="1051">
        <v>30.1</v>
      </c>
      <c r="H173" s="1051">
        <v>30.8</v>
      </c>
      <c r="I173" s="1051"/>
      <c r="J173" s="1052">
        <v>32</v>
      </c>
      <c r="K173" s="806">
        <v>5000</v>
      </c>
      <c r="L173" s="1051">
        <v>48</v>
      </c>
      <c r="M173" s="1051">
        <v>48.9</v>
      </c>
      <c r="N173" s="1051">
        <v>53.6</v>
      </c>
      <c r="O173" s="1051">
        <v>55.7</v>
      </c>
      <c r="P173" s="1051">
        <v>57.2</v>
      </c>
      <c r="Q173" s="1059"/>
      <c r="R173" s="1058">
        <v>58.5</v>
      </c>
      <c r="S173" s="804">
        <v>5000</v>
      </c>
      <c r="T173" s="1051">
        <v>61.4</v>
      </c>
      <c r="U173" s="1051">
        <v>62.5</v>
      </c>
      <c r="V173" s="1051">
        <v>68.2</v>
      </c>
      <c r="W173" s="1051">
        <v>71</v>
      </c>
      <c r="X173" s="1051">
        <v>73</v>
      </c>
      <c r="Y173" s="1051"/>
      <c r="Z173" s="1052">
        <v>74.599999999999994</v>
      </c>
      <c r="AA173" s="806">
        <v>5000</v>
      </c>
      <c r="AB173" s="1051">
        <v>61.4</v>
      </c>
      <c r="AC173" s="1051">
        <v>62.5</v>
      </c>
      <c r="AD173" s="1051">
        <v>68.2</v>
      </c>
      <c r="AE173" s="1051">
        <v>71</v>
      </c>
      <c r="AF173" s="1051">
        <v>73</v>
      </c>
      <c r="AG173" s="1059"/>
      <c r="AH173" s="1063">
        <v>74.599999999999994</v>
      </c>
    </row>
    <row r="174" spans="3:46" x14ac:dyDescent="0.2">
      <c r="C174" s="804">
        <v>6000</v>
      </c>
      <c r="D174" s="1051">
        <v>22</v>
      </c>
      <c r="E174" s="1051">
        <v>23.1</v>
      </c>
      <c r="F174" s="1051">
        <v>26.3</v>
      </c>
      <c r="G174" s="1051">
        <v>26.2</v>
      </c>
      <c r="H174" s="1051">
        <v>27.7</v>
      </c>
      <c r="I174" s="1051"/>
      <c r="J174" s="1052">
        <v>27.8</v>
      </c>
      <c r="K174" s="806">
        <v>6000</v>
      </c>
      <c r="L174" s="1051">
        <v>40.9</v>
      </c>
      <c r="M174" s="1051">
        <v>42</v>
      </c>
      <c r="N174" s="1051">
        <v>45.9</v>
      </c>
      <c r="O174" s="1051">
        <v>47.7</v>
      </c>
      <c r="P174" s="1051">
        <v>48.9</v>
      </c>
      <c r="Q174" s="1059"/>
      <c r="R174" s="1058">
        <v>50.3</v>
      </c>
      <c r="S174" s="804">
        <v>6000</v>
      </c>
      <c r="T174" s="1051">
        <v>61.4</v>
      </c>
      <c r="U174" s="1051">
        <v>62.5</v>
      </c>
      <c r="V174" s="1051">
        <v>68.2</v>
      </c>
      <c r="W174" s="1051">
        <v>71</v>
      </c>
      <c r="X174" s="1051">
        <v>73</v>
      </c>
      <c r="Y174" s="1051"/>
      <c r="Z174" s="1052">
        <v>74.599999999999994</v>
      </c>
      <c r="AA174" s="806">
        <v>6000</v>
      </c>
      <c r="AB174" s="1051">
        <v>61.4</v>
      </c>
      <c r="AC174" s="1051">
        <v>62.5</v>
      </c>
      <c r="AD174" s="1051">
        <v>68.2</v>
      </c>
      <c r="AE174" s="1051">
        <v>71</v>
      </c>
      <c r="AF174" s="1051">
        <v>73</v>
      </c>
      <c r="AG174" s="1059"/>
      <c r="AH174" s="1063">
        <v>74.599999999999994</v>
      </c>
    </row>
    <row r="175" spans="3:46" x14ac:dyDescent="0.2">
      <c r="C175" s="804">
        <v>7000</v>
      </c>
      <c r="D175" s="1051">
        <v>19.600000000000001</v>
      </c>
      <c r="E175" s="1051">
        <v>20.7</v>
      </c>
      <c r="F175" s="1051">
        <v>22.6</v>
      </c>
      <c r="G175" s="1051">
        <v>23.4</v>
      </c>
      <c r="H175" s="1051">
        <v>24.6</v>
      </c>
      <c r="I175" s="1051"/>
      <c r="J175" s="1052">
        <v>24.9</v>
      </c>
      <c r="K175" s="806">
        <v>7000</v>
      </c>
      <c r="L175" s="1299">
        <v>35.700000000000003</v>
      </c>
      <c r="M175" s="1051">
        <v>36.700000000000003</v>
      </c>
      <c r="N175" s="1051">
        <v>40</v>
      </c>
      <c r="O175" s="1051">
        <v>41.6</v>
      </c>
      <c r="P175" s="1051">
        <v>42.6</v>
      </c>
      <c r="Q175" s="1059"/>
      <c r="R175" s="1058">
        <v>43.8</v>
      </c>
      <c r="S175" s="804">
        <v>7000</v>
      </c>
      <c r="T175" s="1051">
        <v>53.6</v>
      </c>
      <c r="U175" s="1051">
        <v>54.6</v>
      </c>
      <c r="V175" s="1051">
        <v>59.5</v>
      </c>
      <c r="W175" s="1051">
        <v>62</v>
      </c>
      <c r="X175" s="1051">
        <v>63.7</v>
      </c>
      <c r="Y175" s="1051"/>
      <c r="Z175" s="1052">
        <v>65</v>
      </c>
      <c r="AA175" s="806">
        <v>7000</v>
      </c>
      <c r="AB175" s="1051">
        <v>53.6</v>
      </c>
      <c r="AC175" s="1051">
        <v>54.6</v>
      </c>
      <c r="AD175" s="1051">
        <v>59.5</v>
      </c>
      <c r="AE175" s="1051">
        <v>62</v>
      </c>
      <c r="AF175" s="1051">
        <v>63.7</v>
      </c>
      <c r="AG175" s="1059"/>
      <c r="AH175" s="1063">
        <v>65</v>
      </c>
    </row>
    <row r="176" spans="3:46" x14ac:dyDescent="0.2">
      <c r="C176" s="804">
        <v>8000</v>
      </c>
      <c r="D176" s="1051">
        <v>17.7</v>
      </c>
      <c r="E176" s="1051">
        <v>18.899999999999999</v>
      </c>
      <c r="F176" s="1051">
        <v>20.6</v>
      </c>
      <c r="G176" s="1051">
        <v>21.3</v>
      </c>
      <c r="H176" s="1051">
        <v>22.3</v>
      </c>
      <c r="I176" s="1051"/>
      <c r="J176" s="1052">
        <v>22.6</v>
      </c>
      <c r="K176" s="806">
        <v>8000</v>
      </c>
      <c r="L176" s="1299">
        <v>31.9</v>
      </c>
      <c r="M176" s="1051">
        <v>33.1</v>
      </c>
      <c r="N176" s="1051">
        <v>36.200000000000003</v>
      </c>
      <c r="O176" s="1051">
        <v>37.6</v>
      </c>
      <c r="P176" s="1051">
        <v>38.4</v>
      </c>
      <c r="Q176" s="1059"/>
      <c r="R176" s="1058">
        <v>39.799999999999997</v>
      </c>
      <c r="S176" s="804">
        <v>8000</v>
      </c>
      <c r="T176" s="1051">
        <v>47.7</v>
      </c>
      <c r="U176" s="1051">
        <v>48.6</v>
      </c>
      <c r="V176" s="1051">
        <v>52.9</v>
      </c>
      <c r="W176" s="1051">
        <v>55.1</v>
      </c>
      <c r="X176" s="1051">
        <v>56.6</v>
      </c>
      <c r="Y176" s="1051"/>
      <c r="Z176" s="1052">
        <v>57.7</v>
      </c>
      <c r="AA176" s="806">
        <v>8000</v>
      </c>
      <c r="AB176" s="1051">
        <v>47.7</v>
      </c>
      <c r="AC176" s="1051">
        <v>48.6</v>
      </c>
      <c r="AD176" s="1051">
        <v>52.9</v>
      </c>
      <c r="AE176" s="1051">
        <v>55.1</v>
      </c>
      <c r="AF176" s="1051">
        <v>56.6</v>
      </c>
      <c r="AG176" s="1059"/>
      <c r="AH176" s="1063">
        <v>57.7</v>
      </c>
    </row>
    <row r="177" spans="3:34" x14ac:dyDescent="0.2">
      <c r="C177" s="804">
        <v>9000</v>
      </c>
      <c r="D177" s="1051">
        <v>16.3</v>
      </c>
      <c r="E177" s="1051">
        <v>17.5</v>
      </c>
      <c r="F177" s="1051">
        <v>19.100000000000001</v>
      </c>
      <c r="G177" s="1051">
        <v>19.600000000000001</v>
      </c>
      <c r="H177" s="1051">
        <v>20.6</v>
      </c>
      <c r="I177" s="1051"/>
      <c r="J177" s="1052">
        <v>20.9</v>
      </c>
      <c r="K177" s="806">
        <v>9000</v>
      </c>
      <c r="L177" s="1051">
        <v>29</v>
      </c>
      <c r="M177" s="1051">
        <v>30.1</v>
      </c>
      <c r="N177" s="1051">
        <v>32.9</v>
      </c>
      <c r="O177" s="1051">
        <v>34.200000000000003</v>
      </c>
      <c r="P177" s="1051">
        <v>34.9</v>
      </c>
      <c r="Q177" s="1059"/>
      <c r="R177" s="1058">
        <v>36.1</v>
      </c>
      <c r="S177" s="804">
        <v>9000</v>
      </c>
      <c r="T177" s="1051">
        <v>43.2</v>
      </c>
      <c r="U177" s="1051">
        <v>44</v>
      </c>
      <c r="V177" s="1051">
        <v>47.8</v>
      </c>
      <c r="W177" s="1051">
        <v>49.8</v>
      </c>
      <c r="X177" s="1051">
        <v>51.1</v>
      </c>
      <c r="Y177" s="1051"/>
      <c r="Z177" s="1052">
        <v>51.6</v>
      </c>
      <c r="AA177" s="806">
        <v>9000</v>
      </c>
      <c r="AB177" s="1051">
        <v>43.2</v>
      </c>
      <c r="AC177" s="1051">
        <v>44</v>
      </c>
      <c r="AD177" s="1051">
        <v>47.8</v>
      </c>
      <c r="AE177" s="1051">
        <v>49.8</v>
      </c>
      <c r="AF177" s="1051">
        <v>51.1</v>
      </c>
      <c r="AG177" s="1059"/>
      <c r="AH177" s="1063">
        <v>51.6</v>
      </c>
    </row>
    <row r="178" spans="3:34" x14ac:dyDescent="0.2">
      <c r="C178" s="804">
        <v>10000</v>
      </c>
      <c r="D178" s="1051">
        <v>15.2</v>
      </c>
      <c r="E178" s="1051">
        <v>16.399999999999999</v>
      </c>
      <c r="F178" s="1051">
        <v>17.8</v>
      </c>
      <c r="G178" s="1051">
        <v>18.3</v>
      </c>
      <c r="H178" s="1051">
        <v>19.2</v>
      </c>
      <c r="I178" s="1051"/>
      <c r="J178" s="1052">
        <v>19.5</v>
      </c>
      <c r="K178" s="806">
        <v>10000</v>
      </c>
      <c r="L178" s="1051">
        <v>26.6</v>
      </c>
      <c r="M178" s="1051">
        <v>27.7</v>
      </c>
      <c r="N178" s="1051">
        <v>30.5</v>
      </c>
      <c r="O178" s="1051">
        <v>31.5</v>
      </c>
      <c r="P178" s="1051">
        <v>32.200000000000003</v>
      </c>
      <c r="Q178" s="1059"/>
      <c r="R178" s="1058">
        <v>33.5</v>
      </c>
      <c r="S178" s="804">
        <v>10000</v>
      </c>
      <c r="T178" s="1051">
        <v>39.6</v>
      </c>
      <c r="U178" s="1051">
        <v>40.299999999999997</v>
      </c>
      <c r="V178" s="1051">
        <v>43.7</v>
      </c>
      <c r="W178" s="1051">
        <v>45.5</v>
      </c>
      <c r="X178" s="1051">
        <v>46.7</v>
      </c>
      <c r="Y178" s="1051"/>
      <c r="Z178" s="1052">
        <v>47.8</v>
      </c>
      <c r="AA178" s="806">
        <v>10000</v>
      </c>
      <c r="AB178" s="1051">
        <v>39.6</v>
      </c>
      <c r="AC178" s="1051">
        <v>40.299999999999997</v>
      </c>
      <c r="AD178" s="1051">
        <v>43.7</v>
      </c>
      <c r="AE178" s="1051">
        <v>45.5</v>
      </c>
      <c r="AF178" s="1051">
        <v>46.7</v>
      </c>
      <c r="AG178" s="1059"/>
      <c r="AH178" s="1063">
        <v>47.8</v>
      </c>
    </row>
    <row r="179" spans="3:34" x14ac:dyDescent="0.2">
      <c r="C179" s="804">
        <v>15000</v>
      </c>
      <c r="D179" s="1051">
        <v>10.8</v>
      </c>
      <c r="E179" s="1051">
        <v>13</v>
      </c>
      <c r="F179" s="1051">
        <v>14</v>
      </c>
      <c r="G179" s="1051">
        <v>14.4</v>
      </c>
      <c r="H179" s="1051">
        <v>15.2</v>
      </c>
      <c r="I179" s="1051"/>
      <c r="J179" s="1052">
        <v>15.6</v>
      </c>
      <c r="K179" s="806">
        <v>15000</v>
      </c>
      <c r="L179" s="1299">
        <v>19.399999999999999</v>
      </c>
      <c r="M179" s="1051">
        <v>20.100000000000001</v>
      </c>
      <c r="N179" s="1051">
        <v>22</v>
      </c>
      <c r="O179" s="1051">
        <v>22.7</v>
      </c>
      <c r="P179" s="1051">
        <v>23.2</v>
      </c>
      <c r="Q179" s="1059"/>
      <c r="R179" s="1058">
        <v>24.1</v>
      </c>
      <c r="S179" s="804">
        <v>15000</v>
      </c>
      <c r="T179" s="1299">
        <v>27.7</v>
      </c>
      <c r="U179" s="1051">
        <v>29</v>
      </c>
      <c r="V179" s="1051">
        <v>31.8</v>
      </c>
      <c r="W179" s="1051">
        <v>32.9</v>
      </c>
      <c r="X179" s="1051">
        <v>33.700000000000003</v>
      </c>
      <c r="Y179" s="1051"/>
      <c r="Z179" s="1052">
        <v>35</v>
      </c>
      <c r="AA179" s="806">
        <v>15000</v>
      </c>
      <c r="AB179" s="1051">
        <v>27.7</v>
      </c>
      <c r="AC179" s="1051">
        <v>29</v>
      </c>
      <c r="AD179" s="1051">
        <v>31.8</v>
      </c>
      <c r="AE179" s="1051">
        <v>32.9</v>
      </c>
      <c r="AF179" s="1051">
        <v>33.700000000000003</v>
      </c>
      <c r="AG179" s="1059"/>
      <c r="AH179" s="1063">
        <v>35</v>
      </c>
    </row>
    <row r="180" spans="3:34" x14ac:dyDescent="0.2">
      <c r="C180" s="804">
        <v>20000</v>
      </c>
      <c r="D180" s="1051">
        <v>10.1</v>
      </c>
      <c r="E180" s="1051">
        <v>11.3</v>
      </c>
      <c r="F180" s="1051">
        <v>12.1</v>
      </c>
      <c r="G180" s="1051">
        <v>12.4</v>
      </c>
      <c r="H180" s="1051">
        <v>13</v>
      </c>
      <c r="I180" s="1051"/>
      <c r="J180" s="1052">
        <v>13.2</v>
      </c>
      <c r="K180" s="806">
        <v>20000</v>
      </c>
      <c r="L180" s="1051">
        <v>15.9</v>
      </c>
      <c r="M180" s="1051">
        <v>17.100000000000001</v>
      </c>
      <c r="N180" s="1051">
        <v>18.600000000000001</v>
      </c>
      <c r="O180" s="1051">
        <v>19.100000000000001</v>
      </c>
      <c r="P180" s="1051">
        <v>20.100000000000001</v>
      </c>
      <c r="Q180" s="1059"/>
      <c r="R180" s="1058">
        <v>20.399999999999999</v>
      </c>
      <c r="S180" s="804">
        <v>20000</v>
      </c>
      <c r="T180" s="1051">
        <v>22.6</v>
      </c>
      <c r="U180" s="1051">
        <v>23.6</v>
      </c>
      <c r="V180" s="1051">
        <v>25.8</v>
      </c>
      <c r="W180" s="1051">
        <v>26.7</v>
      </c>
      <c r="X180" s="1051">
        <v>27.3</v>
      </c>
      <c r="Y180" s="1051"/>
      <c r="Z180" s="1052">
        <v>28.3</v>
      </c>
      <c r="AA180" s="806">
        <v>20000</v>
      </c>
      <c r="AB180" s="1051">
        <v>22.6</v>
      </c>
      <c r="AC180" s="1051">
        <v>23.6</v>
      </c>
      <c r="AD180" s="1051">
        <v>25.8</v>
      </c>
      <c r="AE180" s="1051">
        <v>26.7</v>
      </c>
      <c r="AF180" s="1051">
        <v>27.3</v>
      </c>
      <c r="AG180" s="1059"/>
      <c r="AH180" s="1063">
        <v>28.3</v>
      </c>
    </row>
    <row r="181" spans="3:34" x14ac:dyDescent="0.2">
      <c r="C181" s="804">
        <v>25000</v>
      </c>
      <c r="D181" s="1051">
        <v>9.1</v>
      </c>
      <c r="E181" s="1051">
        <v>10.3</v>
      </c>
      <c r="F181" s="1051">
        <v>11</v>
      </c>
      <c r="G181" s="1051">
        <v>11.2</v>
      </c>
      <c r="H181" s="1051">
        <v>11.7</v>
      </c>
      <c r="I181" s="1051"/>
      <c r="J181" s="1052">
        <v>12</v>
      </c>
      <c r="K181" s="806">
        <v>25000</v>
      </c>
      <c r="L181" s="1051">
        <v>13.8</v>
      </c>
      <c r="M181" s="1051">
        <v>14.8</v>
      </c>
      <c r="N181" s="1051">
        <v>16</v>
      </c>
      <c r="O181" s="1051">
        <v>16.399999999999999</v>
      </c>
      <c r="P181" s="1051">
        <v>17.2</v>
      </c>
      <c r="Q181" s="1051"/>
      <c r="R181" s="1058">
        <v>17.5</v>
      </c>
      <c r="S181" s="804">
        <v>25000</v>
      </c>
      <c r="T181" s="1051">
        <v>18.5</v>
      </c>
      <c r="U181" s="1051">
        <v>19.3</v>
      </c>
      <c r="V181" s="1051">
        <v>21.1</v>
      </c>
      <c r="W181" s="1051">
        <v>21.8</v>
      </c>
      <c r="X181" s="1051">
        <v>22.3</v>
      </c>
      <c r="Y181" s="1051"/>
      <c r="Z181" s="1052">
        <v>24.7</v>
      </c>
      <c r="AA181" s="806">
        <v>25000</v>
      </c>
      <c r="AB181" s="1051">
        <v>18.5</v>
      </c>
      <c r="AC181" s="1051">
        <v>19.3</v>
      </c>
      <c r="AD181" s="1051">
        <v>21.1</v>
      </c>
      <c r="AE181" s="1051">
        <v>21.8</v>
      </c>
      <c r="AF181" s="1051">
        <v>22.3</v>
      </c>
      <c r="AG181" s="1051"/>
      <c r="AH181" s="1063">
        <v>24.7</v>
      </c>
    </row>
    <row r="182" spans="3:34" x14ac:dyDescent="0.2">
      <c r="C182" s="804">
        <v>30000</v>
      </c>
      <c r="D182" s="1051">
        <v>8.4</v>
      </c>
      <c r="E182" s="1051">
        <v>9.5</v>
      </c>
      <c r="F182" s="1051">
        <v>10.3</v>
      </c>
      <c r="G182" s="1051">
        <v>10.4</v>
      </c>
      <c r="H182" s="1051">
        <v>10.9</v>
      </c>
      <c r="I182" s="1051"/>
      <c r="J182" s="1052">
        <v>11.2</v>
      </c>
      <c r="K182" s="806">
        <v>30000</v>
      </c>
      <c r="L182" s="1051">
        <v>12.4</v>
      </c>
      <c r="M182" s="1051">
        <v>13.7</v>
      </c>
      <c r="N182" s="1051">
        <v>14.8</v>
      </c>
      <c r="O182" s="1051">
        <v>15.3</v>
      </c>
      <c r="P182" s="1051">
        <v>14.4</v>
      </c>
      <c r="Q182" s="1059"/>
      <c r="R182" s="1058">
        <v>14.5</v>
      </c>
      <c r="S182" s="804">
        <v>30000</v>
      </c>
      <c r="T182" s="1051">
        <v>16.5</v>
      </c>
      <c r="U182" s="1051">
        <v>17.8</v>
      </c>
      <c r="V182" s="1051">
        <v>19.399999999999999</v>
      </c>
      <c r="W182" s="1051">
        <v>19.899999999999999</v>
      </c>
      <c r="X182" s="1051">
        <v>20.9</v>
      </c>
      <c r="Y182" s="1051"/>
      <c r="Z182" s="1052">
        <v>21.3</v>
      </c>
      <c r="AA182" s="806">
        <v>30000</v>
      </c>
      <c r="AB182" s="1051">
        <v>16.5</v>
      </c>
      <c r="AC182" s="1051">
        <v>17.8</v>
      </c>
      <c r="AD182" s="1051">
        <v>19.399999999999999</v>
      </c>
      <c r="AE182" s="1051">
        <v>19.899999999999999</v>
      </c>
      <c r="AF182" s="1051">
        <v>20.9</v>
      </c>
      <c r="AG182" s="1059"/>
      <c r="AH182" s="1063">
        <v>21.3</v>
      </c>
    </row>
    <row r="183" spans="3:34" x14ac:dyDescent="0.2">
      <c r="C183" s="804">
        <v>40000</v>
      </c>
      <c r="D183" s="1051">
        <v>7.7</v>
      </c>
      <c r="E183" s="1051">
        <v>8.6999999999999993</v>
      </c>
      <c r="F183" s="1051">
        <v>9.3000000000000007</v>
      </c>
      <c r="G183" s="1051">
        <v>9.4</v>
      </c>
      <c r="H183" s="1051">
        <v>9.8000000000000007</v>
      </c>
      <c r="I183" s="1051"/>
      <c r="J183" s="1052">
        <v>10.1</v>
      </c>
      <c r="K183" s="806">
        <v>40000</v>
      </c>
      <c r="L183" s="1051">
        <v>10.5</v>
      </c>
      <c r="M183" s="1051">
        <v>11.8</v>
      </c>
      <c r="N183" s="1051">
        <v>12.6</v>
      </c>
      <c r="O183" s="1051">
        <v>12.9</v>
      </c>
      <c r="P183" s="1051">
        <v>13.6</v>
      </c>
      <c r="Q183" s="1059"/>
      <c r="R183" s="1058">
        <v>13.8</v>
      </c>
      <c r="S183" s="804">
        <v>40000</v>
      </c>
      <c r="T183" s="1051">
        <v>15.1</v>
      </c>
      <c r="U183" s="1051">
        <v>16.3</v>
      </c>
      <c r="V183" s="1051">
        <v>17.7</v>
      </c>
      <c r="W183" s="1051">
        <v>18.100000000000001</v>
      </c>
      <c r="X183" s="1051">
        <v>19</v>
      </c>
      <c r="Y183" s="1051"/>
      <c r="Z183" s="1052">
        <v>19.399999999999999</v>
      </c>
      <c r="AA183" s="806">
        <v>40000</v>
      </c>
      <c r="AB183" s="1051">
        <v>15.1</v>
      </c>
      <c r="AC183" s="1051">
        <v>16.3</v>
      </c>
      <c r="AD183" s="1051">
        <v>17.7</v>
      </c>
      <c r="AE183" s="1051">
        <v>18.100000000000001</v>
      </c>
      <c r="AF183" s="1051">
        <v>19</v>
      </c>
      <c r="AG183" s="1059"/>
      <c r="AH183" s="1063">
        <v>19.399999999999999</v>
      </c>
    </row>
    <row r="184" spans="3:34" x14ac:dyDescent="0.2">
      <c r="C184" s="804">
        <v>50000</v>
      </c>
      <c r="D184" s="1051">
        <v>7</v>
      </c>
      <c r="E184" s="1051">
        <v>8.1999999999999993</v>
      </c>
      <c r="F184" s="1051">
        <v>8.6</v>
      </c>
      <c r="G184" s="1051">
        <v>8.9</v>
      </c>
      <c r="H184" s="1051">
        <v>9.1999999999999993</v>
      </c>
      <c r="I184" s="1051"/>
      <c r="J184" s="1052">
        <v>9.5</v>
      </c>
      <c r="K184" s="806">
        <v>50000</v>
      </c>
      <c r="L184" s="1051">
        <v>9.5</v>
      </c>
      <c r="M184" s="1051">
        <v>10.7</v>
      </c>
      <c r="N184" s="1051">
        <v>11.5</v>
      </c>
      <c r="O184" s="1051">
        <v>11.7</v>
      </c>
      <c r="P184" s="1051">
        <v>12.2</v>
      </c>
      <c r="Q184" s="1059"/>
      <c r="R184" s="1058">
        <v>12.5</v>
      </c>
      <c r="S184" s="804">
        <v>50000</v>
      </c>
      <c r="T184" s="1051">
        <v>13.8</v>
      </c>
      <c r="U184" s="1051">
        <v>14.9</v>
      </c>
      <c r="V184" s="1051">
        <v>16.2</v>
      </c>
      <c r="W184" s="1051">
        <v>16.600000000000001</v>
      </c>
      <c r="X184" s="1051">
        <v>17.399999999999999</v>
      </c>
      <c r="Y184" s="1051"/>
      <c r="Z184" s="1052">
        <v>17.8</v>
      </c>
      <c r="AA184" s="806">
        <v>50000</v>
      </c>
      <c r="AB184" s="1051">
        <v>13.8</v>
      </c>
      <c r="AC184" s="1051">
        <v>14.9</v>
      </c>
      <c r="AD184" s="1051">
        <v>16.2</v>
      </c>
      <c r="AE184" s="1051">
        <v>16.600000000000001</v>
      </c>
      <c r="AF184" s="1051">
        <v>17.399999999999999</v>
      </c>
      <c r="AG184" s="1059"/>
      <c r="AH184" s="1063">
        <v>17.8</v>
      </c>
    </row>
    <row r="185" spans="3:34" x14ac:dyDescent="0.2">
      <c r="C185" s="804">
        <v>60000</v>
      </c>
      <c r="D185" s="1051">
        <v>6.7</v>
      </c>
      <c r="E185" s="1051">
        <v>7.9</v>
      </c>
      <c r="F185" s="1051">
        <v>8.1999999999999993</v>
      </c>
      <c r="G185" s="1051">
        <v>8.5</v>
      </c>
      <c r="H185" s="1051">
        <v>8.8000000000000007</v>
      </c>
      <c r="I185" s="1051"/>
      <c r="J185" s="1052">
        <v>9.1</v>
      </c>
      <c r="K185" s="806">
        <v>60000</v>
      </c>
      <c r="L185" s="1051">
        <v>8.6999999999999993</v>
      </c>
      <c r="M185" s="1051">
        <v>9.9</v>
      </c>
      <c r="N185" s="1051">
        <v>10.7</v>
      </c>
      <c r="O185" s="1051">
        <v>10.8</v>
      </c>
      <c r="P185" s="1051">
        <v>11.3</v>
      </c>
      <c r="Q185" s="1059"/>
      <c r="R185" s="1058">
        <v>11.7</v>
      </c>
      <c r="S185" s="804">
        <v>60000</v>
      </c>
      <c r="T185" s="1051">
        <v>12.1</v>
      </c>
      <c r="U185" s="1051">
        <v>12.3</v>
      </c>
      <c r="V185" s="1051">
        <v>13.3</v>
      </c>
      <c r="W185" s="1051">
        <v>13.6</v>
      </c>
      <c r="X185" s="1051">
        <v>14.3</v>
      </c>
      <c r="Y185" s="1051"/>
      <c r="Z185" s="1052">
        <v>14.5</v>
      </c>
      <c r="AA185" s="806">
        <v>60000</v>
      </c>
      <c r="AB185" s="1051">
        <v>12.1</v>
      </c>
      <c r="AC185" s="1051">
        <v>12.3</v>
      </c>
      <c r="AD185" s="1051">
        <v>13.3</v>
      </c>
      <c r="AE185" s="1051">
        <v>13.6</v>
      </c>
      <c r="AF185" s="1051">
        <v>14.3</v>
      </c>
      <c r="AG185" s="1059"/>
      <c r="AH185" s="1063">
        <v>14.5</v>
      </c>
    </row>
    <row r="186" spans="3:34" x14ac:dyDescent="0.2">
      <c r="C186" s="804">
        <v>80000</v>
      </c>
      <c r="D186" s="1051">
        <v>6.2</v>
      </c>
      <c r="E186" s="1051">
        <v>7.4</v>
      </c>
      <c r="F186" s="1051">
        <v>7.7</v>
      </c>
      <c r="G186" s="1051">
        <v>8</v>
      </c>
      <c r="H186" s="1051">
        <v>8.3000000000000007</v>
      </c>
      <c r="I186" s="1051"/>
      <c r="J186" s="1052">
        <v>8.6</v>
      </c>
      <c r="K186" s="806">
        <v>80000</v>
      </c>
      <c r="L186" s="1051">
        <v>8</v>
      </c>
      <c r="M186" s="1051">
        <v>9</v>
      </c>
      <c r="N186" s="1051">
        <v>9.6999999999999993</v>
      </c>
      <c r="O186" s="1051">
        <v>9.8000000000000007</v>
      </c>
      <c r="P186" s="1051">
        <v>10.199999999999999</v>
      </c>
      <c r="Q186" s="1059"/>
      <c r="R186" s="1058">
        <v>10.5</v>
      </c>
      <c r="S186" s="804">
        <v>80000</v>
      </c>
      <c r="T186" s="1051">
        <v>10</v>
      </c>
      <c r="U186" s="1051">
        <v>11.2</v>
      </c>
      <c r="V186" s="1051">
        <v>12</v>
      </c>
      <c r="W186" s="1051">
        <v>12.3</v>
      </c>
      <c r="X186" s="1051">
        <v>12.9</v>
      </c>
      <c r="Y186" s="1051"/>
      <c r="Z186" s="1052">
        <v>13.1</v>
      </c>
      <c r="AA186" s="806">
        <v>80000</v>
      </c>
      <c r="AB186" s="1051">
        <v>10</v>
      </c>
      <c r="AC186" s="1051">
        <v>11.2</v>
      </c>
      <c r="AD186" s="1051">
        <v>12</v>
      </c>
      <c r="AE186" s="1051">
        <v>12.3</v>
      </c>
      <c r="AF186" s="1051">
        <v>12.9</v>
      </c>
      <c r="AG186" s="1059"/>
      <c r="AH186" s="1063">
        <v>13.1</v>
      </c>
    </row>
    <row r="187" spans="3:34" x14ac:dyDescent="0.2">
      <c r="C187" s="804">
        <v>100000</v>
      </c>
      <c r="D187" s="1051">
        <v>5.9</v>
      </c>
      <c r="E187" s="1051">
        <v>7.1</v>
      </c>
      <c r="F187" s="1051">
        <v>7.3</v>
      </c>
      <c r="G187" s="1051">
        <v>7.7</v>
      </c>
      <c r="H187" s="1051">
        <v>7.9</v>
      </c>
      <c r="I187" s="1051"/>
      <c r="J187" s="1052">
        <v>8.3000000000000007</v>
      </c>
      <c r="K187" s="806">
        <v>100000</v>
      </c>
      <c r="L187" s="1051">
        <v>7.3</v>
      </c>
      <c r="M187" s="1051">
        <v>8.5</v>
      </c>
      <c r="N187" s="1051">
        <v>8.9</v>
      </c>
      <c r="O187" s="1051">
        <v>9.1999999999999993</v>
      </c>
      <c r="P187" s="1051">
        <v>9.6</v>
      </c>
      <c r="Q187" s="1059"/>
      <c r="R187" s="1058">
        <v>9.9</v>
      </c>
      <c r="S187" s="804">
        <v>100000</v>
      </c>
      <c r="T187" s="1051">
        <v>9.1999999999999993</v>
      </c>
      <c r="U187" s="1051">
        <v>10.3</v>
      </c>
      <c r="V187" s="1051">
        <v>11</v>
      </c>
      <c r="W187" s="1051">
        <v>11.3</v>
      </c>
      <c r="X187" s="1051">
        <v>11.8</v>
      </c>
      <c r="Y187" s="1051"/>
      <c r="Z187" s="1052">
        <v>12</v>
      </c>
      <c r="AA187" s="806">
        <v>100000</v>
      </c>
      <c r="AB187" s="1051">
        <v>9.1999999999999993</v>
      </c>
      <c r="AC187" s="1051">
        <v>10.3</v>
      </c>
      <c r="AD187" s="1051">
        <v>11</v>
      </c>
      <c r="AE187" s="1051">
        <v>11.3</v>
      </c>
      <c r="AF187" s="1051">
        <v>11.8</v>
      </c>
      <c r="AG187" s="1059"/>
      <c r="AH187" s="1063">
        <v>12</v>
      </c>
    </row>
    <row r="188" spans="3:34" x14ac:dyDescent="0.2">
      <c r="C188" s="804">
        <v>150000</v>
      </c>
      <c r="D188" s="1051">
        <v>5.6</v>
      </c>
      <c r="E188" s="1051">
        <v>6.7</v>
      </c>
      <c r="F188" s="1051">
        <v>6.9</v>
      </c>
      <c r="G188" s="1051">
        <v>7.3</v>
      </c>
      <c r="H188" s="1051">
        <v>7.5</v>
      </c>
      <c r="I188" s="1051"/>
      <c r="J188" s="1052">
        <v>7.8</v>
      </c>
      <c r="K188" s="806">
        <v>150000</v>
      </c>
      <c r="L188" s="1051">
        <v>6.3</v>
      </c>
      <c r="M188" s="1051">
        <v>7.4</v>
      </c>
      <c r="N188" s="1051">
        <v>7.6</v>
      </c>
      <c r="O188" s="1051">
        <v>8</v>
      </c>
      <c r="P188" s="1051">
        <v>8.1999999999999993</v>
      </c>
      <c r="Q188" s="1059"/>
      <c r="R188" s="1058">
        <v>8.6</v>
      </c>
      <c r="S188" s="804">
        <v>150000</v>
      </c>
      <c r="T188" s="1051">
        <v>7.5</v>
      </c>
      <c r="U188" s="1051">
        <v>8.8000000000000007</v>
      </c>
      <c r="V188" s="1051">
        <v>9.3000000000000007</v>
      </c>
      <c r="W188" s="1051">
        <v>9.6</v>
      </c>
      <c r="X188" s="1051">
        <v>9.9</v>
      </c>
      <c r="Y188" s="1051"/>
      <c r="Z188" s="1052">
        <v>10.3</v>
      </c>
      <c r="AA188" s="806">
        <v>150000</v>
      </c>
      <c r="AB188" s="1051">
        <v>7.5</v>
      </c>
      <c r="AC188" s="1051">
        <v>8.8000000000000007</v>
      </c>
      <c r="AD188" s="1051">
        <v>9.3000000000000007</v>
      </c>
      <c r="AE188" s="1051">
        <v>9.6</v>
      </c>
      <c r="AF188" s="1051">
        <v>9.9</v>
      </c>
      <c r="AG188" s="1059"/>
      <c r="AH188" s="1063">
        <v>10.3</v>
      </c>
    </row>
    <row r="189" spans="3:34" x14ac:dyDescent="0.2">
      <c r="C189" s="810">
        <v>150001</v>
      </c>
      <c r="D189" s="1053">
        <v>5.4</v>
      </c>
      <c r="E189" s="1053">
        <v>6.5</v>
      </c>
      <c r="F189" s="1053">
        <v>6.6</v>
      </c>
      <c r="G189" s="1053">
        <v>7.1</v>
      </c>
      <c r="H189" s="1053">
        <v>7.3</v>
      </c>
      <c r="I189" s="1053"/>
      <c r="J189" s="1054">
        <v>7.6</v>
      </c>
      <c r="K189" s="812">
        <v>150001</v>
      </c>
      <c r="L189" s="1053">
        <v>6.1</v>
      </c>
      <c r="M189" s="1053">
        <v>6.9</v>
      </c>
      <c r="N189" s="1053">
        <v>7.1</v>
      </c>
      <c r="O189" s="1053">
        <v>7.6</v>
      </c>
      <c r="P189" s="1053">
        <v>7.8</v>
      </c>
      <c r="Q189" s="1053"/>
      <c r="R189" s="1060">
        <v>8.1</v>
      </c>
      <c r="S189" s="810">
        <v>150001</v>
      </c>
      <c r="T189" s="1053">
        <v>6.9</v>
      </c>
      <c r="U189" s="1053">
        <v>8</v>
      </c>
      <c r="V189" s="1053">
        <v>8.4</v>
      </c>
      <c r="W189" s="1053">
        <v>8.6999999999999993</v>
      </c>
      <c r="X189" s="1053">
        <v>9</v>
      </c>
      <c r="Y189" s="1053"/>
      <c r="Z189" s="1054">
        <v>9.3000000000000007</v>
      </c>
      <c r="AA189" s="812">
        <v>150001</v>
      </c>
      <c r="AB189" s="1053">
        <v>6.9</v>
      </c>
      <c r="AC189" s="1053">
        <v>8</v>
      </c>
      <c r="AD189" s="1053">
        <v>8.4</v>
      </c>
      <c r="AE189" s="1053">
        <v>8.6999999999999993</v>
      </c>
      <c r="AF189" s="1053">
        <v>9</v>
      </c>
      <c r="AG189" s="1053"/>
      <c r="AH189" s="1064">
        <v>9.3000000000000007</v>
      </c>
    </row>
    <row r="508" spans="1:446" x14ac:dyDescent="0.2">
      <c r="A508" s="11">
        <v>1</v>
      </c>
      <c r="D508" s="5"/>
      <c r="F508" s="5"/>
      <c r="H508" s="5"/>
      <c r="J508" s="5"/>
      <c r="L508" s="5"/>
      <c r="N508" s="5"/>
      <c r="P508" s="5"/>
      <c r="R508" s="5"/>
      <c r="T508" s="5"/>
      <c r="V508" s="5"/>
      <c r="X508" s="5"/>
      <c r="Z508" s="5"/>
      <c r="AB508" s="5"/>
      <c r="AD508" s="5"/>
      <c r="AF508" s="5"/>
      <c r="AH508" s="5"/>
      <c r="AJ508" s="5"/>
      <c r="AL508" s="5"/>
      <c r="AN508" s="5"/>
      <c r="AP508" s="5"/>
      <c r="AR508" s="5"/>
      <c r="AT508" s="5"/>
      <c r="AV508" s="5"/>
      <c r="AX508" s="5"/>
      <c r="AZ508" s="5"/>
      <c r="BB508" s="5"/>
      <c r="BD508" s="5"/>
      <c r="BF508" s="5"/>
      <c r="BH508" s="5"/>
      <c r="BJ508" s="5"/>
      <c r="BL508" s="5"/>
      <c r="BN508" s="5"/>
      <c r="BP508" s="5"/>
      <c r="BR508" s="5"/>
      <c r="BT508" s="5"/>
      <c r="BV508" s="5"/>
      <c r="BX508" s="5"/>
      <c r="BZ508" s="5"/>
      <c r="CB508" s="5"/>
      <c r="CD508" s="5"/>
      <c r="CF508" s="5"/>
      <c r="CH508" s="5"/>
      <c r="CJ508" s="5"/>
      <c r="CL508" s="5"/>
      <c r="CN508" s="5"/>
      <c r="CP508" s="5"/>
      <c r="CR508" s="5"/>
      <c r="CT508" s="5"/>
      <c r="CV508" s="5"/>
      <c r="CX508" s="5"/>
      <c r="CZ508" s="5"/>
      <c r="DB508" s="5"/>
      <c r="DD508" s="5"/>
      <c r="DF508" s="5"/>
      <c r="DH508" s="5"/>
      <c r="DJ508" s="5"/>
      <c r="DL508" s="5"/>
      <c r="DN508" s="5"/>
      <c r="DP508" s="5"/>
      <c r="DR508" s="5"/>
      <c r="DT508" s="5"/>
      <c r="DV508" s="5"/>
      <c r="DX508" s="5"/>
      <c r="DZ508" s="5"/>
      <c r="EB508" s="5"/>
      <c r="ED508" s="5"/>
      <c r="EF508" s="5"/>
      <c r="EH508" s="5"/>
      <c r="EJ508" s="5"/>
      <c r="EL508" s="5"/>
      <c r="EN508" s="5"/>
      <c r="EP508" s="5"/>
      <c r="ER508" s="5"/>
      <c r="ET508" s="5"/>
      <c r="EV508" s="5"/>
      <c r="EX508" s="5"/>
      <c r="EZ508" s="5"/>
      <c r="FB508" s="5"/>
      <c r="FD508" s="5"/>
      <c r="FF508" s="5"/>
      <c r="FH508" s="5"/>
      <c r="FJ508" s="5"/>
      <c r="FL508" s="5"/>
      <c r="FN508" s="5"/>
      <c r="FP508" s="5"/>
      <c r="FR508" s="5"/>
      <c r="FT508" s="5"/>
      <c r="FV508" s="5"/>
      <c r="FX508" s="5"/>
      <c r="FZ508" s="5"/>
      <c r="GB508" s="5"/>
      <c r="GD508" s="5"/>
      <c r="GF508" s="5"/>
      <c r="GH508" s="5"/>
      <c r="GJ508" s="5"/>
      <c r="GL508" s="5"/>
      <c r="GN508" s="5"/>
      <c r="GP508" s="5"/>
      <c r="GR508" s="5"/>
      <c r="GT508" s="5"/>
      <c r="GV508" s="5"/>
      <c r="GX508" s="5"/>
      <c r="GZ508" s="5"/>
      <c r="HB508" s="5"/>
      <c r="HD508" s="5"/>
      <c r="HF508" s="5"/>
      <c r="HH508" s="5"/>
      <c r="HJ508" s="5"/>
      <c r="HL508" s="5"/>
      <c r="HN508" s="5"/>
      <c r="HP508" s="5"/>
      <c r="HR508" s="5"/>
      <c r="HT508" s="5"/>
      <c r="HV508" s="5"/>
      <c r="HX508" s="5"/>
      <c r="HZ508" s="5"/>
      <c r="IB508" s="5"/>
      <c r="ID508" s="5">
        <v>238</v>
      </c>
      <c r="IE508" s="11">
        <v>239</v>
      </c>
      <c r="IF508" s="5">
        <v>240</v>
      </c>
      <c r="IG508" s="11">
        <v>241</v>
      </c>
      <c r="IH508" s="5">
        <v>242</v>
      </c>
      <c r="II508" s="11">
        <v>243</v>
      </c>
      <c r="IJ508" s="5">
        <v>244</v>
      </c>
      <c r="IK508" s="11">
        <v>245</v>
      </c>
      <c r="IL508" s="5">
        <v>246</v>
      </c>
      <c r="IM508" s="11">
        <v>247</v>
      </c>
      <c r="IN508" s="5">
        <v>248</v>
      </c>
      <c r="IO508" s="11">
        <v>249</v>
      </c>
      <c r="IP508" s="5">
        <v>250</v>
      </c>
      <c r="IQ508" s="11">
        <v>251</v>
      </c>
      <c r="IR508" s="5">
        <v>252</v>
      </c>
      <c r="IS508" s="11">
        <v>253</v>
      </c>
      <c r="IT508" s="5">
        <v>254</v>
      </c>
      <c r="IU508" s="11">
        <v>255</v>
      </c>
      <c r="IV508" s="5">
        <v>256</v>
      </c>
      <c r="IW508" s="11">
        <v>257</v>
      </c>
      <c r="IX508" s="5">
        <v>258</v>
      </c>
      <c r="IY508" s="11">
        <v>259</v>
      </c>
      <c r="IZ508" s="5">
        <v>260</v>
      </c>
      <c r="JA508" s="11">
        <v>261</v>
      </c>
      <c r="JB508" s="5">
        <v>262</v>
      </c>
      <c r="JC508" s="11">
        <v>263</v>
      </c>
      <c r="JD508" s="5">
        <v>264</v>
      </c>
      <c r="JE508" s="11">
        <v>265</v>
      </c>
      <c r="JF508" s="5">
        <v>266</v>
      </c>
      <c r="JG508" s="11">
        <v>267</v>
      </c>
      <c r="JH508" s="5">
        <v>268</v>
      </c>
      <c r="JI508" s="11">
        <v>269</v>
      </c>
      <c r="JJ508" s="5">
        <v>270</v>
      </c>
      <c r="JK508" s="11">
        <v>271</v>
      </c>
      <c r="JL508" s="5">
        <v>272</v>
      </c>
      <c r="JM508" s="11">
        <v>273</v>
      </c>
      <c r="JN508" s="5">
        <v>274</v>
      </c>
      <c r="JO508" s="11">
        <v>275</v>
      </c>
      <c r="JP508" s="5">
        <v>276</v>
      </c>
      <c r="JQ508" s="11">
        <v>277</v>
      </c>
      <c r="JR508" s="5">
        <v>278</v>
      </c>
      <c r="JS508" s="11">
        <v>279</v>
      </c>
      <c r="JT508" s="5">
        <v>280</v>
      </c>
      <c r="JU508" s="11">
        <v>281</v>
      </c>
      <c r="JV508" s="5">
        <v>282</v>
      </c>
      <c r="JW508" s="11">
        <v>283</v>
      </c>
      <c r="JX508" s="5">
        <v>284</v>
      </c>
      <c r="JY508" s="11">
        <v>285</v>
      </c>
      <c r="JZ508" s="5">
        <v>286</v>
      </c>
      <c r="KA508" s="11">
        <v>287</v>
      </c>
      <c r="KB508" s="5">
        <v>288</v>
      </c>
      <c r="KC508" s="11">
        <v>289</v>
      </c>
      <c r="KD508" s="5">
        <v>290</v>
      </c>
      <c r="KE508" s="11">
        <v>291</v>
      </c>
      <c r="KF508" s="5">
        <v>292</v>
      </c>
      <c r="KG508" s="11">
        <v>293</v>
      </c>
      <c r="KH508" s="5">
        <v>294</v>
      </c>
      <c r="KI508" s="11">
        <v>295</v>
      </c>
      <c r="KJ508" s="5">
        <v>296</v>
      </c>
      <c r="KK508" s="11">
        <v>297</v>
      </c>
      <c r="KL508" s="5">
        <v>298</v>
      </c>
      <c r="KM508" s="11">
        <v>299</v>
      </c>
      <c r="KN508" s="5">
        <v>300</v>
      </c>
      <c r="KO508" s="11"/>
      <c r="KP508" s="5"/>
      <c r="KQ508" s="11"/>
      <c r="KR508" s="5"/>
      <c r="KS508" s="11"/>
      <c r="KT508" s="5"/>
      <c r="KU508" s="11"/>
      <c r="KV508" s="5"/>
      <c r="KW508" s="11"/>
      <c r="KX508" s="11"/>
      <c r="KY508" s="11"/>
      <c r="KZ508" s="5"/>
      <c r="LA508" s="11"/>
      <c r="LB508" s="11"/>
      <c r="LC508" s="11"/>
      <c r="LD508" s="11"/>
      <c r="LE508" s="11"/>
      <c r="LF508" s="5"/>
      <c r="LG508" s="5"/>
      <c r="LH508" s="5"/>
      <c r="LI508" s="11"/>
      <c r="LJ508" s="11"/>
      <c r="LK508" s="11"/>
      <c r="LL508" s="5"/>
      <c r="LM508" s="11"/>
      <c r="LN508" s="5"/>
      <c r="LO508" s="5"/>
      <c r="LP508" s="5"/>
      <c r="LQ508" s="11"/>
      <c r="LR508" s="5"/>
      <c r="LS508" s="11"/>
      <c r="LT508" s="5"/>
      <c r="LU508" s="11"/>
      <c r="LV508" s="5"/>
      <c r="LW508" s="11"/>
      <c r="LX508" s="5"/>
      <c r="LY508" s="11"/>
      <c r="LZ508" s="5"/>
      <c r="MA508" s="11"/>
      <c r="MB508" s="5"/>
      <c r="MC508" s="11"/>
      <c r="MD508" s="5"/>
      <c r="ME508" s="11"/>
      <c r="MF508" s="5"/>
      <c r="MG508" s="11"/>
      <c r="MH508" s="5"/>
      <c r="MI508" s="11"/>
      <c r="MJ508" s="5"/>
      <c r="MK508" s="11"/>
      <c r="ML508" s="5"/>
      <c r="MM508" s="11"/>
      <c r="MN508" s="5"/>
      <c r="MO508" s="11"/>
      <c r="MP508" s="5"/>
      <c r="MQ508" s="11"/>
      <c r="MR508" s="5"/>
      <c r="MS508" s="11"/>
      <c r="MT508" s="5"/>
      <c r="MU508" s="11"/>
      <c r="MV508" s="5"/>
      <c r="MW508" s="11"/>
      <c r="MX508" s="5"/>
      <c r="MY508" s="11"/>
      <c r="MZ508" s="5"/>
      <c r="NA508" s="11"/>
      <c r="NB508" s="5"/>
      <c r="NC508" s="11"/>
      <c r="ND508" s="5"/>
      <c r="NE508" s="11"/>
      <c r="NF508" s="5"/>
      <c r="NG508" s="11"/>
      <c r="NH508" s="5"/>
      <c r="NI508" s="11"/>
      <c r="NJ508" s="5"/>
      <c r="NK508" s="11"/>
      <c r="NL508" s="5"/>
      <c r="NM508" s="11"/>
      <c r="NN508" s="5"/>
      <c r="NO508" s="11"/>
      <c r="NP508" s="5"/>
      <c r="NQ508" s="11"/>
      <c r="NR508" s="5"/>
      <c r="NS508" s="11"/>
      <c r="NT508" s="5"/>
      <c r="NU508" s="11"/>
      <c r="NV508" s="5"/>
      <c r="NW508" s="11"/>
      <c r="NX508" s="5"/>
      <c r="NY508" s="11"/>
      <c r="NZ508" s="5"/>
      <c r="OA508" s="11"/>
      <c r="OB508" s="5"/>
      <c r="OC508" s="11"/>
      <c r="OD508" s="5"/>
      <c r="OE508" s="11"/>
      <c r="OF508" s="5"/>
      <c r="OG508" s="11"/>
      <c r="OH508" s="5"/>
      <c r="OI508" s="11"/>
      <c r="OJ508" s="5"/>
      <c r="OK508" s="11"/>
      <c r="OL508" s="5"/>
      <c r="OM508" s="11"/>
      <c r="ON508" s="5"/>
      <c r="OO508" s="11"/>
      <c r="OP508" s="5"/>
      <c r="OQ508" s="11"/>
      <c r="OR508" s="5"/>
      <c r="OS508" s="11"/>
      <c r="OT508" s="5"/>
      <c r="OU508" s="11"/>
      <c r="OV508" s="5"/>
      <c r="OW508" s="11"/>
      <c r="OX508" s="5"/>
      <c r="OY508" s="11"/>
      <c r="OZ508" s="5"/>
      <c r="PA508" s="11"/>
      <c r="PB508" s="5"/>
      <c r="PC508" s="11"/>
      <c r="PD508" s="5"/>
      <c r="PE508" s="11"/>
      <c r="PF508" s="5"/>
      <c r="PG508" s="11"/>
      <c r="PH508" s="5"/>
      <c r="PI508" s="11"/>
      <c r="PJ508" s="5"/>
      <c r="PK508" s="11"/>
      <c r="PL508" s="5"/>
      <c r="PM508" s="11"/>
      <c r="PN508" s="5"/>
      <c r="PO508" s="11"/>
      <c r="PP508" s="5"/>
      <c r="PQ508" s="11"/>
      <c r="PR508" s="5"/>
      <c r="PS508" s="11"/>
      <c r="PT508" s="5"/>
      <c r="PU508" s="11"/>
      <c r="PV508" s="5"/>
      <c r="PW508" s="11"/>
      <c r="PX508" s="5"/>
      <c r="PY508" s="11"/>
      <c r="PZ508" s="5"/>
      <c r="QA508" s="11"/>
      <c r="QB508" s="5"/>
      <c r="QC508" s="11"/>
      <c r="QD508" s="5"/>
    </row>
  </sheetData>
  <sheetProtection selectLockedCells="1"/>
  <autoFilter ref="KD44:LV65"/>
  <customSheetViews>
    <customSheetView guid="{DFC1AA5A-BB58-4864-A1E0-C1D77A337997}" scale="75" showPageBreaks="1" hiddenRows="1" showRuler="0" topLeftCell="A86">
      <selection activeCell="H107" sqref="H107"/>
      <pageMargins left="0.78740157480314965" right="0.78740157480314965" top="0.98425196850393704" bottom="0.98425196850393704" header="0.51181102362204722" footer="0.51181102362204722"/>
      <printOptions headings="1"/>
      <pageSetup paperSize="9" orientation="portrait" r:id="rId1"/>
      <headerFooter alignWithMargins="0"/>
    </customSheetView>
  </customSheetViews>
  <mergeCells count="53">
    <mergeCell ref="U11:W11"/>
    <mergeCell ref="X11:Z11"/>
    <mergeCell ref="AA11:AC11"/>
    <mergeCell ref="AD11:AF11"/>
    <mergeCell ref="F12:G12"/>
    <mergeCell ref="H12:I12"/>
    <mergeCell ref="L12:M12"/>
    <mergeCell ref="AZ28:BA28"/>
    <mergeCell ref="BE26:BR26"/>
    <mergeCell ref="R63:T63"/>
    <mergeCell ref="R65:T65"/>
    <mergeCell ref="R64:T64"/>
    <mergeCell ref="O44:Q44"/>
    <mergeCell ref="BS70:BS72"/>
    <mergeCell ref="BS59:BS61"/>
    <mergeCell ref="R68:T68"/>
    <mergeCell ref="R69:T69"/>
    <mergeCell ref="R67:T67"/>
    <mergeCell ref="R60:T60"/>
    <mergeCell ref="R66:T66"/>
    <mergeCell ref="R62:T62"/>
    <mergeCell ref="Q59:T59"/>
    <mergeCell ref="R61:T61"/>
    <mergeCell ref="S44:U44"/>
    <mergeCell ref="BT59:BT61"/>
    <mergeCell ref="BU59:BY59"/>
    <mergeCell ref="BU60:BY60"/>
    <mergeCell ref="BS62:BS69"/>
    <mergeCell ref="V61:V64"/>
    <mergeCell ref="W61:W64"/>
    <mergeCell ref="V66:V69"/>
    <mergeCell ref="W66:W69"/>
    <mergeCell ref="Y66:Y69"/>
    <mergeCell ref="D168:J168"/>
    <mergeCell ref="L168:R168"/>
    <mergeCell ref="T168:Z168"/>
    <mergeCell ref="AB168:AH168"/>
    <mergeCell ref="L100:Q100"/>
    <mergeCell ref="BZ26:DA26"/>
    <mergeCell ref="KT27:KV27"/>
    <mergeCell ref="KW27:LE27"/>
    <mergeCell ref="LF27:LM27"/>
    <mergeCell ref="LN27:LQ27"/>
    <mergeCell ref="CA27:CC27"/>
    <mergeCell ref="CD27:CF27"/>
    <mergeCell ref="CG27:CI27"/>
    <mergeCell ref="CJ27:CL27"/>
    <mergeCell ref="E10:G10"/>
    <mergeCell ref="E7:G7"/>
    <mergeCell ref="J7:M7"/>
    <mergeCell ref="P7:S7"/>
    <mergeCell ref="E9:G9"/>
    <mergeCell ref="J9:M9"/>
  </mergeCells>
  <phoneticPr fontId="0" type="noConversion"/>
  <conditionalFormatting sqref="F33:F41">
    <cfRule type="expression" dxfId="625" priority="160" stopIfTrue="1">
      <formula>(LOOKUP($E33,$B$13:$B$26,$A$13:$A$26)=8)</formula>
    </cfRule>
  </conditionalFormatting>
  <conditionalFormatting sqref="G33:H41">
    <cfRule type="expression" dxfId="624" priority="161" stopIfTrue="1">
      <formula>(LOOKUP($E33,$B$13:$B$26,$A$13:$A$26)&lt;8)</formula>
    </cfRule>
  </conditionalFormatting>
  <conditionalFormatting sqref="E45:E56">
    <cfRule type="expression" dxfId="623" priority="162" stopIfTrue="1">
      <formula>($B45=0)</formula>
    </cfRule>
  </conditionalFormatting>
  <conditionalFormatting sqref="F33:F38">
    <cfRule type="expression" dxfId="622" priority="159" stopIfTrue="1">
      <formula>(LOOKUP($E33,$B$13:$B$26,$A$13:$A$26)=8)</formula>
    </cfRule>
  </conditionalFormatting>
  <conditionalFormatting sqref="F33:F38">
    <cfRule type="expression" dxfId="621" priority="158" stopIfTrue="1">
      <formula>(LOOKUP($E33,$B$13:$B$26,$A$13:$A$26)=8)</formula>
    </cfRule>
  </conditionalFormatting>
  <conditionalFormatting sqref="G33:H36">
    <cfRule type="expression" dxfId="620" priority="157" stopIfTrue="1">
      <formula>(LOOKUP($E33,$B$13:$B$26,$A$13:$A$26)&lt;8)</formula>
    </cfRule>
  </conditionalFormatting>
  <conditionalFormatting sqref="F33:F41">
    <cfRule type="expression" dxfId="619" priority="156" stopIfTrue="1">
      <formula>(LOOKUP($E33,$B$13:$B$26,$A$13:$A$26)=8)</formula>
    </cfRule>
  </conditionalFormatting>
  <conditionalFormatting sqref="G33:H41">
    <cfRule type="expression" dxfId="618" priority="155" stopIfTrue="1">
      <formula>(LOOKUP($E33,$B$13:$B$26,$A$13:$A$26)&lt;8)</formula>
    </cfRule>
  </conditionalFormatting>
  <conditionalFormatting sqref="F33:F38">
    <cfRule type="expression" dxfId="617" priority="154" stopIfTrue="1">
      <formula>(LOOKUP($E33,$B$13:$B$26,$A$13:$A$26)=8)</formula>
    </cfRule>
  </conditionalFormatting>
  <conditionalFormatting sqref="F33:F38">
    <cfRule type="expression" dxfId="616" priority="153" stopIfTrue="1">
      <formula>(LOOKUP($E33,$B$13:$B$26,$A$13:$A$26)=8)</formula>
    </cfRule>
  </conditionalFormatting>
  <conditionalFormatting sqref="G33:H36">
    <cfRule type="expression" dxfId="615" priority="152" stopIfTrue="1">
      <formula>(LOOKUP($E33,$B$13:$B$26,$A$13:$A$26)&lt;8)</formula>
    </cfRule>
  </conditionalFormatting>
  <conditionalFormatting sqref="F30:F32">
    <cfRule type="expression" dxfId="614" priority="151" stopIfTrue="1">
      <formula>(LOOKUP($E30,$B$13:$B$26,$A$13:$A$26)=8)</formula>
    </cfRule>
  </conditionalFormatting>
  <conditionalFormatting sqref="G30:H32">
    <cfRule type="expression" dxfId="613" priority="150" stopIfTrue="1">
      <formula>(LOOKUP($E30,$B$13:$B$26,$A$13:$A$26)&lt;8)</formula>
    </cfRule>
  </conditionalFormatting>
  <conditionalFormatting sqref="F30:F32">
    <cfRule type="expression" dxfId="612" priority="149" stopIfTrue="1">
      <formula>(LOOKUP($E30,$B$13:$B$26,$A$13:$A$26)=8)</formula>
    </cfRule>
  </conditionalFormatting>
  <conditionalFormatting sqref="F30:F32">
    <cfRule type="expression" dxfId="611" priority="148" stopIfTrue="1">
      <formula>(LOOKUP($E30,$B$13:$B$26,$A$13:$A$26)=8)</formula>
    </cfRule>
  </conditionalFormatting>
  <conditionalFormatting sqref="G30:H31">
    <cfRule type="expression" dxfId="610" priority="147" stopIfTrue="1">
      <formula>(LOOKUP($E30,$B$13:$B$26,$A$13:$A$26)&lt;8)</formula>
    </cfRule>
  </conditionalFormatting>
  <conditionalFormatting sqref="G30:H31">
    <cfRule type="expression" dxfId="609" priority="146" stopIfTrue="1">
      <formula>(LOOKUP($E30,$B$13:$B$26,$A$13:$A$26)&lt;8)</formula>
    </cfRule>
  </conditionalFormatting>
  <conditionalFormatting sqref="H30:H31">
    <cfRule type="expression" dxfId="608" priority="145" stopIfTrue="1">
      <formula>(LOOKUP($E30,$B$13:$B$26,$A$13:$A$26)&lt;8)</formula>
    </cfRule>
  </conditionalFormatting>
  <conditionalFormatting sqref="H33:H36">
    <cfRule type="expression" dxfId="607" priority="144" stopIfTrue="1">
      <formula>(LOOKUP($E33,$B$13:$B$26,$A$13:$A$26)&lt;8)</formula>
    </cfRule>
  </conditionalFormatting>
  <conditionalFormatting sqref="H33:H36">
    <cfRule type="expression" dxfId="606" priority="143" stopIfTrue="1">
      <formula>(LOOKUP($E33,$B$13:$B$26,$A$13:$A$26)&lt;8)</formula>
    </cfRule>
  </conditionalFormatting>
  <conditionalFormatting sqref="H33:H36">
    <cfRule type="expression" dxfId="605" priority="142" stopIfTrue="1">
      <formula>(LOOKUP($E33,$B$13:$B$26,$A$13:$A$26)&lt;8)</formula>
    </cfRule>
  </conditionalFormatting>
  <conditionalFormatting sqref="H33:H36">
    <cfRule type="expression" dxfId="604" priority="141" stopIfTrue="1">
      <formula>(LOOKUP($E33,$B$13:$B$26,$A$13:$A$26)&lt;8)</formula>
    </cfRule>
  </conditionalFormatting>
  <conditionalFormatting sqref="H30:H32">
    <cfRule type="expression" dxfId="603" priority="140" stopIfTrue="1">
      <formula>(LOOKUP($E30,$B$13:$B$26,$A$13:$A$26)&lt;8)</formula>
    </cfRule>
  </conditionalFormatting>
  <conditionalFormatting sqref="H30:H31">
    <cfRule type="expression" dxfId="602" priority="139" stopIfTrue="1">
      <formula>(LOOKUP($E30,$B$13:$B$26,$A$13:$A$26)&lt;8)</formula>
    </cfRule>
  </conditionalFormatting>
  <conditionalFormatting sqref="H30:H31">
    <cfRule type="expression" dxfId="601" priority="138" stopIfTrue="1">
      <formula>(LOOKUP($E30,$B$13:$B$26,$A$13:$A$26)&lt;8)</formula>
    </cfRule>
  </conditionalFormatting>
  <conditionalFormatting sqref="H30:H31">
    <cfRule type="expression" dxfId="600" priority="137" stopIfTrue="1">
      <formula>(LOOKUP($E30,$B$13:$B$26,$A$13:$A$26)&lt;8)</formula>
    </cfRule>
  </conditionalFormatting>
  <conditionalFormatting sqref="H30:H31">
    <cfRule type="expression" dxfId="599" priority="136" stopIfTrue="1">
      <formula>(LOOKUP($E30,$B$13:$B$26,$A$13:$A$26)&lt;8)</formula>
    </cfRule>
  </conditionalFormatting>
  <conditionalFormatting sqref="H30:H31">
    <cfRule type="expression" dxfId="598" priority="135" stopIfTrue="1">
      <formula>(LOOKUP($E30,$B$13:$B$26,$A$13:$A$26)&lt;8)</formula>
    </cfRule>
  </conditionalFormatting>
  <conditionalFormatting sqref="H30:H31">
    <cfRule type="expression" dxfId="597" priority="134" stopIfTrue="1">
      <formula>(LOOKUP($E30,$B$13:$B$26,$A$13:$A$26)&lt;8)</formula>
    </cfRule>
  </conditionalFormatting>
  <conditionalFormatting sqref="H30:H31">
    <cfRule type="expression" dxfId="596" priority="133" stopIfTrue="1">
      <formula>(LOOKUP($E30,$B$13:$B$26,$A$13:$A$26)&lt;8)</formula>
    </cfRule>
  </conditionalFormatting>
  <conditionalFormatting sqref="F33">
    <cfRule type="expression" dxfId="595" priority="132" stopIfTrue="1">
      <formula>(LOOKUP($E33,$B$13:$B$26,$A$13:$A$26)=8)</formula>
    </cfRule>
  </conditionalFormatting>
  <conditionalFormatting sqref="G33:H33">
    <cfRule type="expression" dxfId="594" priority="131" stopIfTrue="1">
      <formula>(LOOKUP($E33,$B$13:$B$26,$A$13:$A$26)&lt;8)</formula>
    </cfRule>
  </conditionalFormatting>
  <conditionalFormatting sqref="F33">
    <cfRule type="expression" dxfId="593" priority="130" stopIfTrue="1">
      <formula>(LOOKUP($E33,$B$13:$B$26,$A$13:$A$26)=8)</formula>
    </cfRule>
  </conditionalFormatting>
  <conditionalFormatting sqref="F33">
    <cfRule type="expression" dxfId="592" priority="129" stopIfTrue="1">
      <formula>(LOOKUP($E33,$B$13:$B$26,$A$13:$A$26)=8)</formula>
    </cfRule>
  </conditionalFormatting>
  <conditionalFormatting sqref="G33:H33">
    <cfRule type="expression" dxfId="591" priority="128" stopIfTrue="1">
      <formula>(LOOKUP($E33,$B$13:$B$26,$A$13:$A$26)&lt;8)</formula>
    </cfRule>
  </conditionalFormatting>
  <conditionalFormatting sqref="F33">
    <cfRule type="expression" dxfId="590" priority="127" stopIfTrue="1">
      <formula>(LOOKUP($E33,$B$13:$B$26,$A$13:$A$26)=8)</formula>
    </cfRule>
  </conditionalFormatting>
  <conditionalFormatting sqref="G33:H33">
    <cfRule type="expression" dxfId="589" priority="126" stopIfTrue="1">
      <formula>(LOOKUP($E33,$B$13:$B$26,$A$13:$A$26)&lt;8)</formula>
    </cfRule>
  </conditionalFormatting>
  <conditionalFormatting sqref="F33">
    <cfRule type="expression" dxfId="588" priority="125" stopIfTrue="1">
      <formula>(LOOKUP($E33,$B$13:$B$26,$A$13:$A$26)=8)</formula>
    </cfRule>
  </conditionalFormatting>
  <conditionalFormatting sqref="F33">
    <cfRule type="expression" dxfId="587" priority="124" stopIfTrue="1">
      <formula>(LOOKUP($E33,$B$13:$B$26,$A$13:$A$26)=8)</formula>
    </cfRule>
  </conditionalFormatting>
  <conditionalFormatting sqref="G33:H33">
    <cfRule type="expression" dxfId="586" priority="123" stopIfTrue="1">
      <formula>(LOOKUP($E33,$B$13:$B$26,$A$13:$A$26)&lt;8)</formula>
    </cfRule>
  </conditionalFormatting>
  <conditionalFormatting sqref="F30:F32">
    <cfRule type="expression" dxfId="585" priority="122" stopIfTrue="1">
      <formula>(LOOKUP($E30,$B$13:$B$26,$A$13:$A$26)=8)</formula>
    </cfRule>
  </conditionalFormatting>
  <conditionalFormatting sqref="G30:H32">
    <cfRule type="expression" dxfId="584" priority="121" stopIfTrue="1">
      <formula>(LOOKUP($E30,$B$13:$B$26,$A$13:$A$26)&lt;8)</formula>
    </cfRule>
  </conditionalFormatting>
  <conditionalFormatting sqref="F30:F32">
    <cfRule type="expression" dxfId="583" priority="120" stopIfTrue="1">
      <formula>(LOOKUP($E30,$B$13:$B$26,$A$13:$A$26)=8)</formula>
    </cfRule>
  </conditionalFormatting>
  <conditionalFormatting sqref="F30:F32">
    <cfRule type="expression" dxfId="582" priority="119" stopIfTrue="1">
      <formula>(LOOKUP($E30,$B$13:$B$26,$A$13:$A$26)=8)</formula>
    </cfRule>
  </conditionalFormatting>
  <conditionalFormatting sqref="G30:H31">
    <cfRule type="expression" dxfId="581" priority="118" stopIfTrue="1">
      <formula>(LOOKUP($E30,$B$13:$B$26,$A$13:$A$26)&lt;8)</formula>
    </cfRule>
  </conditionalFormatting>
  <conditionalFormatting sqref="G30:H31">
    <cfRule type="expression" dxfId="580" priority="117" stopIfTrue="1">
      <formula>(LOOKUP($E30,$B$13:$B$26,$A$13:$A$26)&lt;8)</formula>
    </cfRule>
  </conditionalFormatting>
  <conditionalFormatting sqref="H30:H31">
    <cfRule type="expression" dxfId="579" priority="116" stopIfTrue="1">
      <formula>(LOOKUP($E30,$B$13:$B$26,$A$13:$A$26)&lt;8)</formula>
    </cfRule>
  </conditionalFormatting>
  <conditionalFormatting sqref="H33">
    <cfRule type="expression" dxfId="578" priority="115" stopIfTrue="1">
      <formula>(LOOKUP($E33,$B$13:$B$26,$A$13:$A$26)&lt;8)</formula>
    </cfRule>
  </conditionalFormatting>
  <conditionalFormatting sqref="H33">
    <cfRule type="expression" dxfId="577" priority="114" stopIfTrue="1">
      <formula>(LOOKUP($E33,$B$13:$B$26,$A$13:$A$26)&lt;8)</formula>
    </cfRule>
  </conditionalFormatting>
  <conditionalFormatting sqref="H33">
    <cfRule type="expression" dxfId="576" priority="113" stopIfTrue="1">
      <formula>(LOOKUP($E33,$B$13:$B$26,$A$13:$A$26)&lt;8)</formula>
    </cfRule>
  </conditionalFormatting>
  <conditionalFormatting sqref="H33">
    <cfRule type="expression" dxfId="575" priority="112" stopIfTrue="1">
      <formula>(LOOKUP($E33,$B$13:$B$26,$A$13:$A$26)&lt;8)</formula>
    </cfRule>
  </conditionalFormatting>
  <conditionalFormatting sqref="H30:H32">
    <cfRule type="expression" dxfId="574" priority="111" stopIfTrue="1">
      <formula>(LOOKUP($E30,$B$13:$B$26,$A$13:$A$26)&lt;8)</formula>
    </cfRule>
  </conditionalFormatting>
  <conditionalFormatting sqref="H30:H31">
    <cfRule type="expression" dxfId="573" priority="110" stopIfTrue="1">
      <formula>(LOOKUP($E30,$B$13:$B$26,$A$13:$A$26)&lt;8)</formula>
    </cfRule>
  </conditionalFormatting>
  <conditionalFormatting sqref="H30:H31">
    <cfRule type="expression" dxfId="572" priority="109" stopIfTrue="1">
      <formula>(LOOKUP($E30,$B$13:$B$26,$A$13:$A$26)&lt;8)</formula>
    </cfRule>
  </conditionalFormatting>
  <conditionalFormatting sqref="H30:H31">
    <cfRule type="expression" dxfId="571" priority="108" stopIfTrue="1">
      <formula>(LOOKUP($E30,$B$13:$B$26,$A$13:$A$26)&lt;8)</formula>
    </cfRule>
  </conditionalFormatting>
  <conditionalFormatting sqref="H30:H31">
    <cfRule type="expression" dxfId="570" priority="107" stopIfTrue="1">
      <formula>(LOOKUP($E30,$B$13:$B$26,$A$13:$A$26)&lt;8)</formula>
    </cfRule>
  </conditionalFormatting>
  <conditionalFormatting sqref="H30:H31">
    <cfRule type="expression" dxfId="569" priority="106" stopIfTrue="1">
      <formula>(LOOKUP($E30,$B$13:$B$26,$A$13:$A$26)&lt;8)</formula>
    </cfRule>
  </conditionalFormatting>
  <conditionalFormatting sqref="H30:H31">
    <cfRule type="expression" dxfId="568" priority="105" stopIfTrue="1">
      <formula>(LOOKUP($E30,$B$13:$B$26,$A$13:$A$26)&lt;8)</formula>
    </cfRule>
  </conditionalFormatting>
  <conditionalFormatting sqref="H30:H31">
    <cfRule type="expression" dxfId="567" priority="104" stopIfTrue="1">
      <formula>(LOOKUP($E30,$B$13:$B$26,$A$13:$A$26)&lt;8)</formula>
    </cfRule>
  </conditionalFormatting>
  <conditionalFormatting sqref="F30:F31">
    <cfRule type="expression" dxfId="566" priority="103" stopIfTrue="1">
      <formula>(LOOKUP($E30,$B$13:$B$26,$A$13:$A$26)=8)</formula>
    </cfRule>
  </conditionalFormatting>
  <conditionalFormatting sqref="G30:H31">
    <cfRule type="expression" dxfId="565" priority="102" stopIfTrue="1">
      <formula>(LOOKUP($E30,$B$13:$B$26,$A$13:$A$26)&lt;8)</formula>
    </cfRule>
  </conditionalFormatting>
  <conditionalFormatting sqref="F30:F31">
    <cfRule type="expression" dxfId="564" priority="101" stopIfTrue="1">
      <formula>(LOOKUP($E30,$B$13:$B$26,$A$13:$A$26)=8)</formula>
    </cfRule>
  </conditionalFormatting>
  <conditionalFormatting sqref="F30:F31">
    <cfRule type="expression" dxfId="563" priority="100" stopIfTrue="1">
      <formula>(LOOKUP($E30,$B$13:$B$26,$A$13:$A$26)=8)</formula>
    </cfRule>
  </conditionalFormatting>
  <conditionalFormatting sqref="G30:H31">
    <cfRule type="expression" dxfId="562" priority="99" stopIfTrue="1">
      <formula>(LOOKUP($E30,$B$13:$B$26,$A$13:$A$26)&lt;8)</formula>
    </cfRule>
  </conditionalFormatting>
  <conditionalFormatting sqref="G30:H31">
    <cfRule type="expression" dxfId="561" priority="98" stopIfTrue="1">
      <formula>(LOOKUP($E30,$B$13:$B$26,$A$13:$A$26)&lt;8)</formula>
    </cfRule>
  </conditionalFormatting>
  <conditionalFormatting sqref="H30:H31">
    <cfRule type="expression" dxfId="560" priority="97" stopIfTrue="1">
      <formula>(LOOKUP($E30,$B$13:$B$26,$A$13:$A$26)&lt;8)</formula>
    </cfRule>
  </conditionalFormatting>
  <conditionalFormatting sqref="H30:H31">
    <cfRule type="expression" dxfId="559" priority="96" stopIfTrue="1">
      <formula>(LOOKUP($E30,$B$13:$B$26,$A$13:$A$26)&lt;8)</formula>
    </cfRule>
  </conditionalFormatting>
  <conditionalFormatting sqref="H30:H31">
    <cfRule type="expression" dxfId="558" priority="95" stopIfTrue="1">
      <formula>(LOOKUP($E30,$B$13:$B$26,$A$13:$A$26)&lt;8)</formula>
    </cfRule>
  </conditionalFormatting>
  <conditionalFormatting sqref="H30:H31">
    <cfRule type="expression" dxfId="557" priority="94" stopIfTrue="1">
      <formula>(LOOKUP($E30,$B$13:$B$26,$A$13:$A$26)&lt;8)</formula>
    </cfRule>
  </conditionalFormatting>
  <conditionalFormatting sqref="H30:H31">
    <cfRule type="expression" dxfId="556" priority="93" stopIfTrue="1">
      <formula>(LOOKUP($E30,$B$13:$B$26,$A$13:$A$26)&lt;8)</formula>
    </cfRule>
  </conditionalFormatting>
  <conditionalFormatting sqref="H30:H31">
    <cfRule type="expression" dxfId="555" priority="92" stopIfTrue="1">
      <formula>(LOOKUP($E30,$B$13:$B$26,$A$13:$A$26)&lt;8)</formula>
    </cfRule>
  </conditionalFormatting>
  <conditionalFormatting sqref="H30:H31">
    <cfRule type="expression" dxfId="554" priority="91" stopIfTrue="1">
      <formula>(LOOKUP($E30,$B$13:$B$26,$A$13:$A$26)&lt;8)</formula>
    </cfRule>
  </conditionalFormatting>
  <conditionalFormatting sqref="H30:H31">
    <cfRule type="expression" dxfId="553" priority="90" stopIfTrue="1">
      <formula>(LOOKUP($E30,$B$13:$B$26,$A$13:$A$26)&lt;8)</formula>
    </cfRule>
  </conditionalFormatting>
  <conditionalFormatting sqref="H30:H31">
    <cfRule type="expression" dxfId="552" priority="89" stopIfTrue="1">
      <formula>(LOOKUP($E30,$B$13:$B$26,$A$13:$A$26)&lt;8)</formula>
    </cfRule>
  </conditionalFormatting>
  <conditionalFormatting sqref="F30:F31">
    <cfRule type="expression" dxfId="551" priority="88" stopIfTrue="1">
      <formula>(LOOKUP($E30,$B$13:$B$26,$A$13:$A$26)=8)</formula>
    </cfRule>
  </conditionalFormatting>
  <conditionalFormatting sqref="G30:H31">
    <cfRule type="expression" dxfId="550" priority="87" stopIfTrue="1">
      <formula>(LOOKUP($E30,$B$13:$B$26,$A$13:$A$26)&lt;8)</formula>
    </cfRule>
  </conditionalFormatting>
  <conditionalFormatting sqref="F30:F31">
    <cfRule type="expression" dxfId="549" priority="86" stopIfTrue="1">
      <formula>(LOOKUP($E30,$B$13:$B$26,$A$13:$A$26)=8)</formula>
    </cfRule>
  </conditionalFormatting>
  <conditionalFormatting sqref="F30:F31">
    <cfRule type="expression" dxfId="548" priority="85" stopIfTrue="1">
      <formula>(LOOKUP($E30,$B$13:$B$26,$A$13:$A$26)=8)</formula>
    </cfRule>
  </conditionalFormatting>
  <conditionalFormatting sqref="G30:H31">
    <cfRule type="expression" dxfId="547" priority="84" stopIfTrue="1">
      <formula>(LOOKUP($E30,$B$13:$B$26,$A$13:$A$26)&lt;8)</formula>
    </cfRule>
  </conditionalFormatting>
  <conditionalFormatting sqref="G30:H31">
    <cfRule type="expression" dxfId="546" priority="83" stopIfTrue="1">
      <formula>(LOOKUP($E30,$B$13:$B$26,$A$13:$A$26)&lt;8)</formula>
    </cfRule>
  </conditionalFormatting>
  <conditionalFormatting sqref="H30:H31">
    <cfRule type="expression" dxfId="545" priority="82" stopIfTrue="1">
      <formula>(LOOKUP($E30,$B$13:$B$26,$A$13:$A$26)&lt;8)</formula>
    </cfRule>
  </conditionalFormatting>
  <conditionalFormatting sqref="H30:H31">
    <cfRule type="expression" dxfId="544" priority="81" stopIfTrue="1">
      <formula>(LOOKUP($E30,$B$13:$B$26,$A$13:$A$26)&lt;8)</formula>
    </cfRule>
  </conditionalFormatting>
  <conditionalFormatting sqref="H30:H31">
    <cfRule type="expression" dxfId="543" priority="80" stopIfTrue="1">
      <formula>(LOOKUP($E30,$B$13:$B$26,$A$13:$A$26)&lt;8)</formula>
    </cfRule>
  </conditionalFormatting>
  <conditionalFormatting sqref="H30:H31">
    <cfRule type="expression" dxfId="542" priority="79" stopIfTrue="1">
      <formula>(LOOKUP($E30,$B$13:$B$26,$A$13:$A$26)&lt;8)</formula>
    </cfRule>
  </conditionalFormatting>
  <conditionalFormatting sqref="H30:H31">
    <cfRule type="expression" dxfId="541" priority="78" stopIfTrue="1">
      <formula>(LOOKUP($E30,$B$13:$B$26,$A$13:$A$26)&lt;8)</formula>
    </cfRule>
  </conditionalFormatting>
  <conditionalFormatting sqref="H30:H31">
    <cfRule type="expression" dxfId="540" priority="77" stopIfTrue="1">
      <formula>(LOOKUP($E30,$B$13:$B$26,$A$13:$A$26)&lt;8)</formula>
    </cfRule>
  </conditionalFormatting>
  <conditionalFormatting sqref="H30:H31">
    <cfRule type="expression" dxfId="539" priority="76" stopIfTrue="1">
      <formula>(LOOKUP($E30,$B$13:$B$26,$A$13:$A$26)&lt;8)</formula>
    </cfRule>
  </conditionalFormatting>
  <conditionalFormatting sqref="H30:H31">
    <cfRule type="expression" dxfId="538" priority="75" stopIfTrue="1">
      <formula>(LOOKUP($E30,$B$13:$B$26,$A$13:$A$26)&lt;8)</formula>
    </cfRule>
  </conditionalFormatting>
  <conditionalFormatting sqref="H30:H31">
    <cfRule type="expression" dxfId="537" priority="74" stopIfTrue="1">
      <formula>(LOOKUP($E30,$B$13:$B$26,$A$13:$A$26)&lt;8)</formula>
    </cfRule>
  </conditionalFormatting>
  <conditionalFormatting sqref="F33">
    <cfRule type="expression" dxfId="536" priority="73" stopIfTrue="1">
      <formula>(LOOKUP($E33,$B$13:$B$26,$A$13:$A$26)=8)</formula>
    </cfRule>
  </conditionalFormatting>
  <conditionalFormatting sqref="F33">
    <cfRule type="expression" dxfId="535" priority="72" stopIfTrue="1">
      <formula>(LOOKUP($E33,$B$13:$B$26,$A$13:$A$26)=8)</formula>
    </cfRule>
  </conditionalFormatting>
  <conditionalFormatting sqref="F33">
    <cfRule type="expression" dxfId="534" priority="71" stopIfTrue="1">
      <formula>(LOOKUP($E33,$B$13:$B$26,$A$13:$A$26)=8)</formula>
    </cfRule>
  </conditionalFormatting>
  <conditionalFormatting sqref="F33">
    <cfRule type="expression" dxfId="533" priority="70" stopIfTrue="1">
      <formula>(LOOKUP($E33,$B$13:$B$26,$A$13:$A$26)=8)</formula>
    </cfRule>
  </conditionalFormatting>
  <conditionalFormatting sqref="F33">
    <cfRule type="expression" dxfId="532" priority="69" stopIfTrue="1">
      <formula>(LOOKUP($E33,$B$13:$B$26,$A$13:$A$26)=8)</formula>
    </cfRule>
  </conditionalFormatting>
  <conditionalFormatting sqref="F33">
    <cfRule type="expression" dxfId="531" priority="68" stopIfTrue="1">
      <formula>(LOOKUP($E33,$B$13:$B$26,$A$13:$A$26)=8)</formula>
    </cfRule>
  </conditionalFormatting>
  <conditionalFormatting sqref="F30:F32">
    <cfRule type="expression" dxfId="530" priority="67" stopIfTrue="1">
      <formula>(LOOKUP($E30,$B$13:$B$26,$A$13:$A$26)=8)</formula>
    </cfRule>
  </conditionalFormatting>
  <conditionalFormatting sqref="F30:F32">
    <cfRule type="expression" dxfId="529" priority="66" stopIfTrue="1">
      <formula>(LOOKUP($E30,$B$13:$B$26,$A$13:$A$26)=8)</formula>
    </cfRule>
  </conditionalFormatting>
  <conditionalFormatting sqref="F30:F32">
    <cfRule type="expression" dxfId="528" priority="65" stopIfTrue="1">
      <formula>(LOOKUP($E30,$B$13:$B$26,$A$13:$A$26)=8)</formula>
    </cfRule>
  </conditionalFormatting>
  <conditionalFormatting sqref="F33">
    <cfRule type="expression" dxfId="527" priority="64" stopIfTrue="1">
      <formula>(LOOKUP($E33,$B$13:$B$26,$A$13:$A$26)=8)</formula>
    </cfRule>
  </conditionalFormatting>
  <conditionalFormatting sqref="F33">
    <cfRule type="expression" dxfId="526" priority="63" stopIfTrue="1">
      <formula>(LOOKUP($E33,$B$13:$B$26,$A$13:$A$26)=8)</formula>
    </cfRule>
  </conditionalFormatting>
  <conditionalFormatting sqref="F33">
    <cfRule type="expression" dxfId="525" priority="62" stopIfTrue="1">
      <formula>(LOOKUP($E33,$B$13:$B$26,$A$13:$A$26)=8)</formula>
    </cfRule>
  </conditionalFormatting>
  <conditionalFormatting sqref="F33">
    <cfRule type="expression" dxfId="524" priority="61" stopIfTrue="1">
      <formula>(LOOKUP($E33,$B$13:$B$26,$A$13:$A$26)=8)</formula>
    </cfRule>
  </conditionalFormatting>
  <conditionalFormatting sqref="F33">
    <cfRule type="expression" dxfId="523" priority="60" stopIfTrue="1">
      <formula>(LOOKUP($E33,$B$13:$B$26,$A$13:$A$26)=8)</formula>
    </cfRule>
  </conditionalFormatting>
  <conditionalFormatting sqref="F33">
    <cfRule type="expression" dxfId="522" priority="59" stopIfTrue="1">
      <formula>(LOOKUP($E33,$B$13:$B$26,$A$13:$A$26)=8)</formula>
    </cfRule>
  </conditionalFormatting>
  <conditionalFormatting sqref="F30:F32">
    <cfRule type="expression" dxfId="521" priority="58" stopIfTrue="1">
      <formula>(LOOKUP($E30,$B$13:$B$26,$A$13:$A$26)=8)</formula>
    </cfRule>
  </conditionalFormatting>
  <conditionalFormatting sqref="F30:F32">
    <cfRule type="expression" dxfId="520" priority="57" stopIfTrue="1">
      <formula>(LOOKUP($E30,$B$13:$B$26,$A$13:$A$26)=8)</formula>
    </cfRule>
  </conditionalFormatting>
  <conditionalFormatting sqref="F30:F32">
    <cfRule type="expression" dxfId="519" priority="56" stopIfTrue="1">
      <formula>(LOOKUP($E30,$B$13:$B$26,$A$13:$A$26)=8)</formula>
    </cfRule>
  </conditionalFormatting>
  <conditionalFormatting sqref="F30:F31">
    <cfRule type="expression" dxfId="518" priority="55" stopIfTrue="1">
      <formula>(LOOKUP($E30,$B$13:$B$26,$A$13:$A$26)=8)</formula>
    </cfRule>
  </conditionalFormatting>
  <conditionalFormatting sqref="F30:F31">
    <cfRule type="expression" dxfId="517" priority="54" stopIfTrue="1">
      <formula>(LOOKUP($E30,$B$13:$B$26,$A$13:$A$26)=8)</formula>
    </cfRule>
  </conditionalFormatting>
  <conditionalFormatting sqref="F30:F31">
    <cfRule type="expression" dxfId="516" priority="53" stopIfTrue="1">
      <formula>(LOOKUP($E30,$B$13:$B$26,$A$13:$A$26)=8)</formula>
    </cfRule>
  </conditionalFormatting>
  <conditionalFormatting sqref="F30:F31">
    <cfRule type="expression" dxfId="515" priority="52" stopIfTrue="1">
      <formula>(LOOKUP($E30,$B$13:$B$26,$A$13:$A$26)=8)</formula>
    </cfRule>
  </conditionalFormatting>
  <conditionalFormatting sqref="F30:F31">
    <cfRule type="expression" dxfId="514" priority="51" stopIfTrue="1">
      <formula>(LOOKUP($E30,$B$13:$B$26,$A$13:$A$26)=8)</formula>
    </cfRule>
  </conditionalFormatting>
  <conditionalFormatting sqref="F30:F31">
    <cfRule type="expression" dxfId="513" priority="50" stopIfTrue="1">
      <formula>(LOOKUP($E30,$B$13:$B$26,$A$13:$A$26)=8)</formula>
    </cfRule>
  </conditionalFormatting>
  <conditionalFormatting sqref="H30:H32">
    <cfRule type="expression" dxfId="512" priority="49" stopIfTrue="1">
      <formula>(LOOKUP($E30,$B$13:$B$26,$A$13:$A$26)&lt;8)</formula>
    </cfRule>
  </conditionalFormatting>
  <conditionalFormatting sqref="H30:H31">
    <cfRule type="expression" dxfId="511" priority="48" stopIfTrue="1">
      <formula>(LOOKUP($E30,$B$13:$B$26,$A$13:$A$26)&lt;8)</formula>
    </cfRule>
  </conditionalFormatting>
  <conditionalFormatting sqref="H30:H31">
    <cfRule type="expression" dxfId="510" priority="47" stopIfTrue="1">
      <formula>(LOOKUP($E30,$B$13:$B$26,$A$13:$A$26)&lt;8)</formula>
    </cfRule>
  </conditionalFormatting>
  <conditionalFormatting sqref="H30:H31">
    <cfRule type="expression" dxfId="509" priority="46" stopIfTrue="1">
      <formula>(LOOKUP($E30,$B$13:$B$26,$A$13:$A$26)&lt;8)</formula>
    </cfRule>
  </conditionalFormatting>
  <conditionalFormatting sqref="H30:H32">
    <cfRule type="expression" dxfId="508" priority="45" stopIfTrue="1">
      <formula>(LOOKUP($E30,$B$13:$B$26,$A$13:$A$26)&lt;8)</formula>
    </cfRule>
  </conditionalFormatting>
  <conditionalFormatting sqref="H30:H31">
    <cfRule type="expression" dxfId="507" priority="44" stopIfTrue="1">
      <formula>(LOOKUP($E30,$B$13:$B$26,$A$13:$A$26)&lt;8)</formula>
    </cfRule>
  </conditionalFormatting>
  <conditionalFormatting sqref="H30:H31">
    <cfRule type="expression" dxfId="506" priority="43" stopIfTrue="1">
      <formula>(LOOKUP($E30,$B$13:$B$26,$A$13:$A$26)&lt;8)</formula>
    </cfRule>
  </conditionalFormatting>
  <conditionalFormatting sqref="H30:H31">
    <cfRule type="expression" dxfId="505" priority="42" stopIfTrue="1">
      <formula>(LOOKUP($E30,$B$13:$B$26,$A$13:$A$26)&lt;8)</formula>
    </cfRule>
  </conditionalFormatting>
  <conditionalFormatting sqref="H30:H31">
    <cfRule type="expression" dxfId="504" priority="41" stopIfTrue="1">
      <formula>(LOOKUP($E30,$B$13:$B$26,$A$13:$A$26)&lt;8)</formula>
    </cfRule>
  </conditionalFormatting>
  <conditionalFormatting sqref="H30:H31">
    <cfRule type="expression" dxfId="503" priority="40" stopIfTrue="1">
      <formula>(LOOKUP($E30,$B$13:$B$26,$A$13:$A$26)&lt;8)</formula>
    </cfRule>
  </conditionalFormatting>
  <conditionalFormatting sqref="H30:H31">
    <cfRule type="expression" dxfId="502" priority="39" stopIfTrue="1">
      <formula>(LOOKUP($E30,$B$13:$B$26,$A$13:$A$26)&lt;8)</formula>
    </cfRule>
  </conditionalFormatting>
  <conditionalFormatting sqref="H30:H31">
    <cfRule type="expression" dxfId="501" priority="38" stopIfTrue="1">
      <formula>(LOOKUP($E30,$B$13:$B$26,$A$13:$A$26)&lt;8)</formula>
    </cfRule>
  </conditionalFormatting>
  <conditionalFormatting sqref="H30:H32">
    <cfRule type="expression" dxfId="500" priority="37" stopIfTrue="1">
      <formula>(LOOKUP($E30,$B$13:$B$26,$A$13:$A$26)&lt;8)</formula>
    </cfRule>
  </conditionalFormatting>
  <conditionalFormatting sqref="H30:H31">
    <cfRule type="expression" dxfId="499" priority="36" stopIfTrue="1">
      <formula>(LOOKUP($E30,$B$13:$B$26,$A$13:$A$26)&lt;8)</formula>
    </cfRule>
  </conditionalFormatting>
  <conditionalFormatting sqref="H30:H31">
    <cfRule type="expression" dxfId="498" priority="35" stopIfTrue="1">
      <formula>(LOOKUP($E30,$B$13:$B$26,$A$13:$A$26)&lt;8)</formula>
    </cfRule>
  </conditionalFormatting>
  <conditionalFormatting sqref="H30:H31">
    <cfRule type="expression" dxfId="497" priority="34" stopIfTrue="1">
      <formula>(LOOKUP($E30,$B$13:$B$26,$A$13:$A$26)&lt;8)</formula>
    </cfRule>
  </conditionalFormatting>
  <conditionalFormatting sqref="H30:H32">
    <cfRule type="expression" dxfId="496" priority="33" stopIfTrue="1">
      <formula>(LOOKUP($E30,$B$13:$B$26,$A$13:$A$26)&lt;8)</formula>
    </cfRule>
  </conditionalFormatting>
  <conditionalFormatting sqref="H30:H31">
    <cfRule type="expression" dxfId="495" priority="32" stopIfTrue="1">
      <formula>(LOOKUP($E30,$B$13:$B$26,$A$13:$A$26)&lt;8)</formula>
    </cfRule>
  </conditionalFormatting>
  <conditionalFormatting sqref="H30:H31">
    <cfRule type="expression" dxfId="494" priority="31" stopIfTrue="1">
      <formula>(LOOKUP($E30,$B$13:$B$26,$A$13:$A$26)&lt;8)</formula>
    </cfRule>
  </conditionalFormatting>
  <conditionalFormatting sqref="H30:H31">
    <cfRule type="expression" dxfId="493" priority="30" stopIfTrue="1">
      <formula>(LOOKUP($E30,$B$13:$B$26,$A$13:$A$26)&lt;8)</formula>
    </cfRule>
  </conditionalFormatting>
  <conditionalFormatting sqref="H30:H31">
    <cfRule type="expression" dxfId="492" priority="29" stopIfTrue="1">
      <formula>(LOOKUP($E30,$B$13:$B$26,$A$13:$A$26)&lt;8)</formula>
    </cfRule>
  </conditionalFormatting>
  <conditionalFormatting sqref="H30:H31">
    <cfRule type="expression" dxfId="491" priority="28" stopIfTrue="1">
      <formula>(LOOKUP($E30,$B$13:$B$26,$A$13:$A$26)&lt;8)</formula>
    </cfRule>
  </conditionalFormatting>
  <conditionalFormatting sqref="H30:H31">
    <cfRule type="expression" dxfId="490" priority="27" stopIfTrue="1">
      <formula>(LOOKUP($E30,$B$13:$B$26,$A$13:$A$26)&lt;8)</formula>
    </cfRule>
  </conditionalFormatting>
  <conditionalFormatting sqref="H30:H31">
    <cfRule type="expression" dxfId="489" priority="26" stopIfTrue="1">
      <formula>(LOOKUP($E30,$B$13:$B$26,$A$13:$A$26)&lt;8)</formula>
    </cfRule>
  </conditionalFormatting>
  <conditionalFormatting sqref="H30:H31">
    <cfRule type="expression" dxfId="488" priority="25" stopIfTrue="1">
      <formula>(LOOKUP($E30,$B$13:$B$26,$A$13:$A$26)&lt;8)</formula>
    </cfRule>
  </conditionalFormatting>
  <conditionalFormatting sqref="H30:H31">
    <cfRule type="expression" dxfId="487" priority="24" stopIfTrue="1">
      <formula>(LOOKUP($E30,$B$13:$B$26,$A$13:$A$26)&lt;8)</formula>
    </cfRule>
  </conditionalFormatting>
  <conditionalFormatting sqref="H30:H31">
    <cfRule type="expression" dxfId="486" priority="23" stopIfTrue="1">
      <formula>(LOOKUP($E30,$B$13:$B$26,$A$13:$A$26)&lt;8)</formula>
    </cfRule>
  </conditionalFormatting>
  <conditionalFormatting sqref="H30:H31">
    <cfRule type="expression" dxfId="485" priority="22" stopIfTrue="1">
      <formula>(LOOKUP($E30,$B$13:$B$26,$A$13:$A$26)&lt;8)</formula>
    </cfRule>
  </conditionalFormatting>
  <conditionalFormatting sqref="H30:H31">
    <cfRule type="expression" dxfId="484" priority="21" stopIfTrue="1">
      <formula>(LOOKUP($E30,$B$13:$B$26,$A$13:$A$26)&lt;8)</formula>
    </cfRule>
  </conditionalFormatting>
  <conditionalFormatting sqref="H30:H31">
    <cfRule type="expression" dxfId="483" priority="20" stopIfTrue="1">
      <formula>(LOOKUP($E30,$B$13:$B$26,$A$13:$A$26)&lt;8)</formula>
    </cfRule>
  </conditionalFormatting>
  <conditionalFormatting sqref="H30:H31">
    <cfRule type="expression" dxfId="482" priority="19" stopIfTrue="1">
      <formula>(LOOKUP($E30,$B$13:$B$26,$A$13:$A$26)&lt;8)</formula>
    </cfRule>
  </conditionalFormatting>
  <conditionalFormatting sqref="H30:H31">
    <cfRule type="expression" dxfId="481" priority="18" stopIfTrue="1">
      <formula>(LOOKUP($E30,$B$13:$B$26,$A$13:$A$26)&lt;8)</formula>
    </cfRule>
  </conditionalFormatting>
  <conditionalFormatting sqref="H30:H31">
    <cfRule type="expression" dxfId="480" priority="17" stopIfTrue="1">
      <formula>(LOOKUP($E30,$B$13:$B$26,$A$13:$A$26)&lt;8)</formula>
    </cfRule>
  </conditionalFormatting>
  <conditionalFormatting sqref="H30:H31">
    <cfRule type="expression" dxfId="479" priority="16" stopIfTrue="1">
      <formula>(LOOKUP($E30,$B$13:$B$26,$A$13:$A$26)&lt;8)</formula>
    </cfRule>
  </conditionalFormatting>
  <conditionalFormatting sqref="H30:H31">
    <cfRule type="expression" dxfId="478" priority="15" stopIfTrue="1">
      <formula>(LOOKUP($E30,$B$13:$B$26,$A$13:$A$26)&lt;8)</formula>
    </cfRule>
  </conditionalFormatting>
  <conditionalFormatting sqref="H30:H31">
    <cfRule type="expression" dxfId="477" priority="14" stopIfTrue="1">
      <formula>(LOOKUP($E30,$B$13:$B$26,$A$13:$A$26)&lt;8)</formula>
    </cfRule>
  </conditionalFormatting>
  <conditionalFormatting sqref="H30:H31">
    <cfRule type="expression" dxfId="476" priority="13" stopIfTrue="1">
      <formula>(LOOKUP($E30,$B$13:$B$26,$A$13:$A$26)&lt;8)</formula>
    </cfRule>
  </conditionalFormatting>
  <conditionalFormatting sqref="H30:H31">
    <cfRule type="expression" dxfId="475" priority="12" stopIfTrue="1">
      <formula>(LOOKUP($E30,$B$13:$B$26,$A$13:$A$26)&lt;8)</formula>
    </cfRule>
  </conditionalFormatting>
  <conditionalFormatting sqref="H30:H31">
    <cfRule type="expression" dxfId="474" priority="11" stopIfTrue="1">
      <formula>(LOOKUP($E30,$B$13:$B$26,$A$13:$A$26)&lt;8)</formula>
    </cfRule>
  </conditionalFormatting>
  <conditionalFormatting sqref="H30:H31">
    <cfRule type="expression" dxfId="473" priority="10" stopIfTrue="1">
      <formula>(LOOKUP($E30,$B$13:$B$26,$A$13:$A$26)&lt;8)</formula>
    </cfRule>
  </conditionalFormatting>
  <conditionalFormatting sqref="H30:H31">
    <cfRule type="expression" dxfId="472" priority="9" stopIfTrue="1">
      <formula>(LOOKUP($E30,$B$13:$B$26,$A$13:$A$26)&lt;8)</formula>
    </cfRule>
  </conditionalFormatting>
  <conditionalFormatting sqref="H30:H31">
    <cfRule type="expression" dxfId="471" priority="8" stopIfTrue="1">
      <formula>(LOOKUP($E30,$B$13:$B$26,$A$13:$A$26)&lt;8)</formula>
    </cfRule>
  </conditionalFormatting>
  <conditionalFormatting sqref="H30:H31">
    <cfRule type="expression" dxfId="470" priority="7" stopIfTrue="1">
      <formula>(LOOKUP($E30,$B$13:$B$26,$A$13:$A$26)&lt;8)</formula>
    </cfRule>
  </conditionalFormatting>
  <conditionalFormatting sqref="H30:H31">
    <cfRule type="expression" dxfId="469" priority="6" stopIfTrue="1">
      <formula>(LOOKUP($E30,$B$13:$B$26,$A$13:$A$26)&lt;8)</formula>
    </cfRule>
  </conditionalFormatting>
  <conditionalFormatting sqref="H30:H31">
    <cfRule type="expression" dxfId="468" priority="5" stopIfTrue="1">
      <formula>(LOOKUP($E30,$B$13:$B$26,$A$13:$A$26)&lt;8)</formula>
    </cfRule>
  </conditionalFormatting>
  <conditionalFormatting sqref="H30:H31">
    <cfRule type="expression" dxfId="467" priority="4" stopIfTrue="1">
      <formula>(LOOKUP($E30,$B$13:$B$26,$A$13:$A$26)&lt;8)</formula>
    </cfRule>
  </conditionalFormatting>
  <conditionalFormatting sqref="H30:H31">
    <cfRule type="expression" dxfId="466" priority="3" stopIfTrue="1">
      <formula>(LOOKUP($E30,$B$13:$B$26,$A$13:$A$26)&lt;8)</formula>
    </cfRule>
  </conditionalFormatting>
  <conditionalFormatting sqref="H30:H31">
    <cfRule type="expression" dxfId="465" priority="2" stopIfTrue="1">
      <formula>(LOOKUP($E30,$B$13:$B$26,$A$13:$A$26)&lt;8)</formula>
    </cfRule>
  </conditionalFormatting>
  <conditionalFormatting sqref="P7:S7">
    <cfRule type="expression" dxfId="464" priority="1" stopIfTrue="1">
      <formula>COUNTIF(INDIRECT(J7),(P7))=0</formula>
    </cfRule>
  </conditionalFormatting>
  <dataValidations count="6">
    <dataValidation type="list" allowBlank="1" showInputMessage="1" showErrorMessage="1" sqref="E10:G10">
      <formula1>Menedgeri</formula1>
    </dataValidation>
    <dataValidation type="list" allowBlank="1" showInputMessage="1" showErrorMessage="1" sqref="E9:G9">
      <formula1>Tehnologi</formula1>
    </dataValidation>
    <dataValidation type="list" allowBlank="1" showInputMessage="1" showErrorMessage="1" sqref="J9:M9">
      <formula1>Organizacia</formula1>
    </dataValidation>
    <dataValidation type="list" allowBlank="1" showInputMessage="1" showErrorMessage="1" sqref="J7:M7">
      <formula1>Vid_produkcii</formula1>
    </dataValidation>
    <dataValidation type="list" allowBlank="1" showInputMessage="1" showErrorMessage="1" sqref="E7:G7">
      <formula1>Tip_pechati</formula1>
    </dataValidation>
    <dataValidation type="list" allowBlank="1" showInputMessage="1" showErrorMessage="1" sqref="P7:S7">
      <formula1>INDIRECT($J$7)</formula1>
    </dataValidation>
  </dataValidations>
  <printOptions horizontalCentered="1" headings="1"/>
  <pageMargins left="0.78740157480314965" right="0.78740157480314965" top="0.78740157480314965" bottom="0.78740157480314965" header="0.51181102362204722" footer="0.51181102362204722"/>
  <pageSetup paperSize="9" scale="20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73" r:id="rId5" name="Drop Down 505">
              <controlPr defaultSize="0" autoLine="0" autoPict="0">
                <anchor moveWithCells="1">
                  <from>
                    <xdr:col>14</xdr:col>
                    <xdr:colOff>38100</xdr:colOff>
                    <xdr:row>44</xdr:row>
                    <xdr:rowOff>9525</xdr:rowOff>
                  </from>
                  <to>
                    <xdr:col>17</xdr:col>
                    <xdr:colOff>533400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4" r:id="rId6" name="Drop Down 506">
              <controlPr defaultSize="0" autoLine="0" autoPict="0">
                <anchor moveWithCells="1">
                  <from>
                    <xdr:col>14</xdr:col>
                    <xdr:colOff>38100</xdr:colOff>
                    <xdr:row>48</xdr:row>
                    <xdr:rowOff>9525</xdr:rowOff>
                  </from>
                  <to>
                    <xdr:col>17</xdr:col>
                    <xdr:colOff>533400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5" r:id="rId7" name="Drop Down 507">
              <controlPr defaultSize="0" autoLine="0" autoPict="0">
                <anchor moveWithCells="1">
                  <from>
                    <xdr:col>14</xdr:col>
                    <xdr:colOff>38100</xdr:colOff>
                    <xdr:row>49</xdr:row>
                    <xdr:rowOff>9525</xdr:rowOff>
                  </from>
                  <to>
                    <xdr:col>17</xdr:col>
                    <xdr:colOff>533400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6" r:id="rId8" name="Drop Down 508">
              <controlPr defaultSize="0" autoLine="0" autoPict="0">
                <anchor moveWithCells="1">
                  <from>
                    <xdr:col>14</xdr:col>
                    <xdr:colOff>38100</xdr:colOff>
                    <xdr:row>50</xdr:row>
                    <xdr:rowOff>9525</xdr:rowOff>
                  </from>
                  <to>
                    <xdr:col>17</xdr:col>
                    <xdr:colOff>533400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7" r:id="rId9" name="Drop Down 509">
              <controlPr defaultSize="0" autoLine="0" autoPict="0">
                <anchor moveWithCells="1">
                  <from>
                    <xdr:col>14</xdr:col>
                    <xdr:colOff>38100</xdr:colOff>
                    <xdr:row>51</xdr:row>
                    <xdr:rowOff>9525</xdr:rowOff>
                  </from>
                  <to>
                    <xdr:col>17</xdr:col>
                    <xdr:colOff>533400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8" r:id="rId10" name="Drop Down 510">
              <controlPr defaultSize="0" autoLine="0" autoPict="0">
                <anchor moveWithCells="1">
                  <from>
                    <xdr:col>14</xdr:col>
                    <xdr:colOff>38100</xdr:colOff>
                    <xdr:row>52</xdr:row>
                    <xdr:rowOff>9525</xdr:rowOff>
                  </from>
                  <to>
                    <xdr:col>17</xdr:col>
                    <xdr:colOff>533400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9" r:id="rId11" name="Drop Down 511">
              <controlPr defaultSize="0" autoLine="0" autoPict="0">
                <anchor moveWithCells="1">
                  <from>
                    <xdr:col>14</xdr:col>
                    <xdr:colOff>38100</xdr:colOff>
                    <xdr:row>53</xdr:row>
                    <xdr:rowOff>9525</xdr:rowOff>
                  </from>
                  <to>
                    <xdr:col>17</xdr:col>
                    <xdr:colOff>533400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" r:id="rId12" name="Drop Down 512">
              <controlPr defaultSize="0" autoLine="0" autoPict="0">
                <anchor moveWithCells="1">
                  <from>
                    <xdr:col>14</xdr:col>
                    <xdr:colOff>38100</xdr:colOff>
                    <xdr:row>54</xdr:row>
                    <xdr:rowOff>9525</xdr:rowOff>
                  </from>
                  <to>
                    <xdr:col>17</xdr:col>
                    <xdr:colOff>533400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" r:id="rId13" name="Drop Down 513">
              <controlPr defaultSize="0" autoLine="0" autoPict="0">
                <anchor moveWithCells="1">
                  <from>
                    <xdr:col>14</xdr:col>
                    <xdr:colOff>38100</xdr:colOff>
                    <xdr:row>55</xdr:row>
                    <xdr:rowOff>9525</xdr:rowOff>
                  </from>
                  <to>
                    <xdr:col>17</xdr:col>
                    <xdr:colOff>533400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" r:id="rId14" name="Drop Down 526">
              <controlPr defaultSize="0" autoLine="0" autoPict="0">
                <anchor moveWithCells="1">
                  <from>
                    <xdr:col>14</xdr:col>
                    <xdr:colOff>38100</xdr:colOff>
                    <xdr:row>45</xdr:row>
                    <xdr:rowOff>9525</xdr:rowOff>
                  </from>
                  <to>
                    <xdr:col>17</xdr:col>
                    <xdr:colOff>533400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" r:id="rId15" name="Drop Down 527">
              <controlPr defaultSize="0" autoLine="0" autoPict="0">
                <anchor moveWithCells="1">
                  <from>
                    <xdr:col>14</xdr:col>
                    <xdr:colOff>38100</xdr:colOff>
                    <xdr:row>46</xdr:row>
                    <xdr:rowOff>9525</xdr:rowOff>
                  </from>
                  <to>
                    <xdr:col>17</xdr:col>
                    <xdr:colOff>533400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" r:id="rId16" name="Drop Down 528">
              <controlPr defaultSize="0" autoLine="0" autoPict="0">
                <anchor moveWithCells="1">
                  <from>
                    <xdr:col>14</xdr:col>
                    <xdr:colOff>38100</xdr:colOff>
                    <xdr:row>47</xdr:row>
                    <xdr:rowOff>9525</xdr:rowOff>
                  </from>
                  <to>
                    <xdr:col>17</xdr:col>
                    <xdr:colOff>533400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" r:id="rId17" name="Button 545">
              <controlPr defaultSize="0" print="0" autoFill="0" autoPict="0" macro="[0]!ОбновитьВалюты">
                <anchor moveWithCells="1" sizeWithCells="1">
                  <from>
                    <xdr:col>256</xdr:col>
                    <xdr:colOff>152400</xdr:colOff>
                    <xdr:row>0</xdr:row>
                    <xdr:rowOff>104775</xdr:rowOff>
                  </from>
                  <to>
                    <xdr:col>258</xdr:col>
                    <xdr:colOff>76200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" r:id="rId18" name="Drop Down 546">
              <controlPr defaultSize="0" autoLine="0" autoPict="0">
                <anchor moveWithCells="1">
                  <from>
                    <xdr:col>3</xdr:col>
                    <xdr:colOff>1847850</xdr:colOff>
                    <xdr:row>29</xdr:row>
                    <xdr:rowOff>0</xdr:rowOff>
                  </from>
                  <to>
                    <xdr:col>3</xdr:col>
                    <xdr:colOff>3009900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" r:id="rId19" name="Drop Down 547">
              <controlPr defaultSize="0" autoLine="0" autoPict="0">
                <anchor moveWithCells="1">
                  <from>
                    <xdr:col>3</xdr:col>
                    <xdr:colOff>1847850</xdr:colOff>
                    <xdr:row>30</xdr:row>
                    <xdr:rowOff>0</xdr:rowOff>
                  </from>
                  <to>
                    <xdr:col>3</xdr:col>
                    <xdr:colOff>3009900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6" r:id="rId20" name="Drop Down 548">
              <controlPr defaultSize="0" autoLine="0" autoPict="0">
                <anchor moveWithCells="1">
                  <from>
                    <xdr:col>3</xdr:col>
                    <xdr:colOff>1847850</xdr:colOff>
                    <xdr:row>31</xdr:row>
                    <xdr:rowOff>0</xdr:rowOff>
                  </from>
                  <to>
                    <xdr:col>3</xdr:col>
                    <xdr:colOff>3009900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7" r:id="rId21" name="Drop Down 549">
              <controlPr defaultSize="0" autoLine="0" autoPict="0">
                <anchor moveWithCells="1">
                  <from>
                    <xdr:col>3</xdr:col>
                    <xdr:colOff>1847850</xdr:colOff>
                    <xdr:row>32</xdr:row>
                    <xdr:rowOff>0</xdr:rowOff>
                  </from>
                  <to>
                    <xdr:col>3</xdr:col>
                    <xdr:colOff>3009900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8" r:id="rId22" name="Drop Down 550">
              <controlPr defaultSize="0" autoLine="0" autoPict="0">
                <anchor moveWithCells="1">
                  <from>
                    <xdr:col>3</xdr:col>
                    <xdr:colOff>1847850</xdr:colOff>
                    <xdr:row>33</xdr:row>
                    <xdr:rowOff>0</xdr:rowOff>
                  </from>
                  <to>
                    <xdr:col>3</xdr:col>
                    <xdr:colOff>3009900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9" r:id="rId23" name="Drop Down 551">
              <controlPr defaultSize="0" autoLine="0" autoPict="0">
                <anchor moveWithCells="1">
                  <from>
                    <xdr:col>3</xdr:col>
                    <xdr:colOff>1847850</xdr:colOff>
                    <xdr:row>34</xdr:row>
                    <xdr:rowOff>0</xdr:rowOff>
                  </from>
                  <to>
                    <xdr:col>3</xdr:col>
                    <xdr:colOff>3009900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0" r:id="rId24" name="Drop Down 552">
              <controlPr defaultSize="0" autoLine="0" autoPict="0">
                <anchor moveWithCells="1">
                  <from>
                    <xdr:col>3</xdr:col>
                    <xdr:colOff>1847850</xdr:colOff>
                    <xdr:row>35</xdr:row>
                    <xdr:rowOff>0</xdr:rowOff>
                  </from>
                  <to>
                    <xdr:col>3</xdr:col>
                    <xdr:colOff>3009900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1" r:id="rId25" name="Drop Down 553">
              <controlPr defaultSize="0" autoLine="0" autoPict="0">
                <anchor moveWithCells="1">
                  <from>
                    <xdr:col>3</xdr:col>
                    <xdr:colOff>1847850</xdr:colOff>
                    <xdr:row>36</xdr:row>
                    <xdr:rowOff>0</xdr:rowOff>
                  </from>
                  <to>
                    <xdr:col>3</xdr:col>
                    <xdr:colOff>3009900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2" r:id="rId26" name="Drop Down 554">
              <controlPr defaultSize="0" autoLine="0" autoPict="0">
                <anchor moveWithCells="1">
                  <from>
                    <xdr:col>3</xdr:col>
                    <xdr:colOff>1847850</xdr:colOff>
                    <xdr:row>37</xdr:row>
                    <xdr:rowOff>0</xdr:rowOff>
                  </from>
                  <to>
                    <xdr:col>3</xdr:col>
                    <xdr:colOff>3009900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3" r:id="rId27" name="Drop Down 555">
              <controlPr defaultSize="0" autoLine="0" autoPict="0">
                <anchor moveWithCells="1">
                  <from>
                    <xdr:col>3</xdr:col>
                    <xdr:colOff>1847850</xdr:colOff>
                    <xdr:row>38</xdr:row>
                    <xdr:rowOff>0</xdr:rowOff>
                  </from>
                  <to>
                    <xdr:col>3</xdr:col>
                    <xdr:colOff>3009900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4" r:id="rId28" name="Drop Down 556">
              <controlPr defaultSize="0" autoLine="0" autoPict="0">
                <anchor moveWithCells="1">
                  <from>
                    <xdr:col>3</xdr:col>
                    <xdr:colOff>1847850</xdr:colOff>
                    <xdr:row>39</xdr:row>
                    <xdr:rowOff>0</xdr:rowOff>
                  </from>
                  <to>
                    <xdr:col>3</xdr:col>
                    <xdr:colOff>3009900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5" r:id="rId29" name="Drop Down 557">
              <controlPr defaultSize="0" autoLine="0" autoPict="0">
                <anchor moveWithCells="1">
                  <from>
                    <xdr:col>3</xdr:col>
                    <xdr:colOff>1847850</xdr:colOff>
                    <xdr:row>40</xdr:row>
                    <xdr:rowOff>0</xdr:rowOff>
                  </from>
                  <to>
                    <xdr:col>3</xdr:col>
                    <xdr:colOff>3009900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6" r:id="rId30" name="Option Button 558">
              <controlPr defaultSize="0" print="0" autoFill="0" autoLine="0" autoPict="0">
                <anchor>
                  <from>
                    <xdr:col>3</xdr:col>
                    <xdr:colOff>1876425</xdr:colOff>
                    <xdr:row>20</xdr:row>
                    <xdr:rowOff>76200</xdr:rowOff>
                  </from>
                  <to>
                    <xdr:col>3</xdr:col>
                    <xdr:colOff>2905125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7" r:id="rId31" name="Option Button 559">
              <controlPr defaultSize="0" print="0" autoFill="0" autoLine="0" autoPict="0">
                <anchor>
                  <from>
                    <xdr:col>3</xdr:col>
                    <xdr:colOff>1866900</xdr:colOff>
                    <xdr:row>22</xdr:row>
                    <xdr:rowOff>38100</xdr:rowOff>
                  </from>
                  <to>
                    <xdr:col>3</xdr:col>
                    <xdr:colOff>2962275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8" r:id="rId32" name="Button 570">
              <controlPr defaultSize="0" print="0" autoFill="0" autoPict="0" macro="[0]!SUPER_COPY.SUPER_COPY">
                <anchor moveWithCells="1" sizeWithCells="1">
                  <from>
                    <xdr:col>291</xdr:col>
                    <xdr:colOff>0</xdr:colOff>
                    <xdr:row>24</xdr:row>
                    <xdr:rowOff>76200</xdr:rowOff>
                  </from>
                  <to>
                    <xdr:col>295</xdr:col>
                    <xdr:colOff>714375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0" r:id="rId33" name="Button 572">
              <controlPr defaultSize="0" print="0" autoFill="0" autoPict="0" macro="[0]!Копирование_и_вставка_в_один_файл">
                <anchor moveWithCells="1" sizeWithCells="1">
                  <from>
                    <xdr:col>291</xdr:col>
                    <xdr:colOff>0</xdr:colOff>
                    <xdr:row>22</xdr:row>
                    <xdr:rowOff>66675</xdr:rowOff>
                  </from>
                  <to>
                    <xdr:col>295</xdr:col>
                    <xdr:colOff>714375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6" r:id="rId34" name="Button 588">
              <controlPr defaultSize="0" print="0" autoFill="0" autoPict="0" macro="[0]!Лист12.CommandButton1_Click">
                <anchor moveWithCells="1" sizeWithCells="1">
                  <from>
                    <xdr:col>3</xdr:col>
                    <xdr:colOff>409575</xdr:colOff>
                    <xdr:row>0</xdr:row>
                    <xdr:rowOff>123825</xdr:rowOff>
                  </from>
                  <to>
                    <xdr:col>3</xdr:col>
                    <xdr:colOff>2724150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>
    <pageSetUpPr fitToPage="1"/>
  </sheetPr>
  <dimension ref="A1:AM318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V94" sqref="V94"/>
    </sheetView>
  </sheetViews>
  <sheetFormatPr defaultRowHeight="12.75" x14ac:dyDescent="0.2"/>
  <cols>
    <col min="1" max="1" width="7.28515625" style="28" customWidth="1"/>
    <col min="2" max="2" width="51" style="441" customWidth="1"/>
    <col min="3" max="3" width="13.140625" style="715" customWidth="1"/>
    <col min="4" max="4" width="3.7109375" style="442" hidden="1" customWidth="1"/>
    <col min="5" max="5" width="7.7109375" style="39" customWidth="1"/>
    <col min="6" max="6" width="9.140625" style="443"/>
    <col min="7" max="7" width="10.5703125" style="444" customWidth="1"/>
    <col min="8" max="8" width="10.5703125" style="443" customWidth="1"/>
    <col min="9" max="9" width="12" style="443" customWidth="1"/>
    <col min="10" max="10" width="19.140625" style="1016" customWidth="1"/>
    <col min="11" max="11" width="10.85546875" style="1352" hidden="1" customWidth="1"/>
    <col min="12" max="12" width="10.85546875" style="29" hidden="1" customWidth="1"/>
    <col min="13" max="13" width="10.85546875" style="265" hidden="1" customWidth="1"/>
    <col min="14" max="19" width="10.85546875" style="28" hidden="1" customWidth="1"/>
    <col min="20" max="20" width="11.5703125" style="754" hidden="1" customWidth="1"/>
    <col min="21" max="21" width="10.85546875" style="754" customWidth="1"/>
    <col min="22" max="39" width="9.140625" style="754"/>
    <col min="40" max="16384" width="9.140625" style="28"/>
  </cols>
  <sheetData>
    <row r="1" spans="1:30" ht="15" x14ac:dyDescent="0.2">
      <c r="A1" s="27" t="s">
        <v>250</v>
      </c>
      <c r="B1" s="391"/>
      <c r="C1" s="2095"/>
      <c r="D1" s="392" t="s">
        <v>239</v>
      </c>
      <c r="E1" s="393">
        <f>Заказ!I1</f>
        <v>0</v>
      </c>
      <c r="F1" s="394"/>
      <c r="G1" s="395">
        <f ca="1">J69</f>
        <v>7519.1007511619991</v>
      </c>
      <c r="H1" s="396">
        <f>J102</f>
        <v>3074.4000000000005</v>
      </c>
      <c r="I1" s="396">
        <f>J189</f>
        <v>118.75</v>
      </c>
      <c r="J1" s="1005">
        <f ca="1">J313</f>
        <v>23906.126691562502</v>
      </c>
      <c r="K1" s="1350">
        <v>1</v>
      </c>
      <c r="L1" s="1346">
        <f>M189</f>
        <v>0</v>
      </c>
      <c r="M1" s="1347"/>
      <c r="N1" s="1345"/>
      <c r="O1" s="1348"/>
      <c r="P1" s="1345"/>
      <c r="Q1" s="1345"/>
      <c r="R1" s="1348"/>
      <c r="S1" s="1348"/>
      <c r="T1" s="1349"/>
      <c r="AD1" s="754">
        <v>1</v>
      </c>
    </row>
    <row r="2" spans="1:30" ht="38.25" x14ac:dyDescent="0.2">
      <c r="A2" s="280" t="s">
        <v>251</v>
      </c>
      <c r="B2" s="397" t="s">
        <v>252</v>
      </c>
      <c r="C2" s="2115" t="s">
        <v>1819</v>
      </c>
      <c r="D2" s="398" t="s">
        <v>48</v>
      </c>
      <c r="E2" s="399" t="s">
        <v>50</v>
      </c>
      <c r="F2" s="400" t="s">
        <v>253</v>
      </c>
      <c r="G2" s="401" t="s">
        <v>187</v>
      </c>
      <c r="H2" s="402" t="s">
        <v>255</v>
      </c>
      <c r="I2" s="402" t="s">
        <v>256</v>
      </c>
      <c r="J2" s="1006" t="s">
        <v>257</v>
      </c>
      <c r="K2" s="1351">
        <v>1</v>
      </c>
      <c r="L2" s="266" t="s">
        <v>779</v>
      </c>
      <c r="M2" s="266" t="s">
        <v>267</v>
      </c>
      <c r="N2" s="264"/>
      <c r="O2" s="263"/>
      <c r="P2" s="263"/>
    </row>
    <row r="3" spans="1:30" x14ac:dyDescent="0.2">
      <c r="A3" s="282"/>
      <c r="B3" s="403" t="s">
        <v>313</v>
      </c>
      <c r="C3" s="2096"/>
      <c r="D3" s="405"/>
      <c r="E3" s="404"/>
      <c r="F3" s="406"/>
      <c r="G3" s="1138"/>
      <c r="H3" s="1138"/>
      <c r="I3" s="445"/>
      <c r="J3" s="1007">
        <f ca="1">J69</f>
        <v>7519.1007511619991</v>
      </c>
      <c r="K3" s="1352">
        <f ca="1">IF(J3&gt;0,1,0)</f>
        <v>1</v>
      </c>
      <c r="L3" s="279"/>
      <c r="M3" s="267">
        <v>0</v>
      </c>
    </row>
    <row r="4" spans="1:30" x14ac:dyDescent="0.2">
      <c r="A4" s="284"/>
      <c r="B4" s="407" t="s">
        <v>94</v>
      </c>
      <c r="C4" s="2097"/>
      <c r="D4" s="408"/>
      <c r="E4" s="297"/>
      <c r="F4" s="366"/>
      <c r="G4" s="446"/>
      <c r="H4" s="283"/>
      <c r="I4" s="447"/>
      <c r="J4" s="1008">
        <f ca="1">SUM(J5:J6)</f>
        <v>1861.9139842379996</v>
      </c>
      <c r="K4" s="1352">
        <f t="shared" ref="K4:K63" ca="1" si="0">IF(J4&gt;0,1,0)</f>
        <v>1</v>
      </c>
      <c r="L4" s="279"/>
    </row>
    <row r="5" spans="1:30" hidden="1" x14ac:dyDescent="0.2">
      <c r="A5" s="1149">
        <f>A3+1</f>
        <v>1</v>
      </c>
      <c r="B5" s="2083" t="s">
        <v>1198</v>
      </c>
      <c r="C5" s="2098" t="s">
        <v>1815</v>
      </c>
      <c r="D5" s="66"/>
      <c r="E5" s="409" t="s">
        <v>314</v>
      </c>
      <c r="F5" s="66">
        <v>1</v>
      </c>
      <c r="G5" s="458">
        <f>IF(LOOKUP($A5,Исх!$B$59:$B$87,Исх!$C$59:$C$87)=Мат!B5,LOOKUP($A5,Исх!$B$60:$B$87,Исх!$O$60:$O$87),0)</f>
        <v>0</v>
      </c>
      <c r="H5" s="448">
        <f>F5*G5</f>
        <v>0</v>
      </c>
      <c r="I5" s="996">
        <f>L5</f>
        <v>1.62</v>
      </c>
      <c r="J5" s="1009">
        <f>H5*I5*Исх!$C$2</f>
        <v>0</v>
      </c>
      <c r="K5" s="1352">
        <f t="shared" si="0"/>
        <v>0</v>
      </c>
      <c r="L5" s="2014">
        <v>1.62</v>
      </c>
      <c r="M5" s="980">
        <v>1000</v>
      </c>
      <c r="N5" s="28" t="s">
        <v>259</v>
      </c>
      <c r="Q5" s="361"/>
      <c r="R5" s="975"/>
    </row>
    <row r="6" spans="1:30" x14ac:dyDescent="0.2">
      <c r="A6" s="174">
        <f>A5+1</f>
        <v>2</v>
      </c>
      <c r="B6" s="2083" t="s">
        <v>1199</v>
      </c>
      <c r="C6" s="2099" t="s">
        <v>1815</v>
      </c>
      <c r="D6" s="66"/>
      <c r="E6" s="409" t="s">
        <v>314</v>
      </c>
      <c r="F6" s="66">
        <v>1.4</v>
      </c>
      <c r="G6" s="458">
        <f ca="1">IF(LOOKUP($A6,Исх!$B$59:$B$87,Исх!$C$59:$C$87)=Мат!B6,LOOKUP($A6,Исх!$B$60:$B$87,Исх!$O$60:$O$87),0)</f>
        <v>7.463179349999999</v>
      </c>
      <c r="H6" s="448">
        <f ca="1">F6*G6</f>
        <v>10.448451089999997</v>
      </c>
      <c r="I6" s="996">
        <f>L6</f>
        <v>1.62</v>
      </c>
      <c r="J6" s="1009">
        <f ca="1">H6*I6*Исх!$C$2</f>
        <v>1861.9139842379996</v>
      </c>
      <c r="K6" s="1352">
        <f t="shared" ca="1" si="0"/>
        <v>1</v>
      </c>
      <c r="L6" s="2014">
        <v>1.62</v>
      </c>
      <c r="M6" s="980">
        <v>1000</v>
      </c>
      <c r="N6" s="28" t="s">
        <v>259</v>
      </c>
      <c r="Q6" s="361"/>
      <c r="R6" s="975"/>
    </row>
    <row r="7" spans="1:30" x14ac:dyDescent="0.2">
      <c r="A7" s="286"/>
      <c r="B7" s="407" t="s">
        <v>273</v>
      </c>
      <c r="C7" s="2097"/>
      <c r="D7" s="408"/>
      <c r="E7" s="297"/>
      <c r="F7" s="366"/>
      <c r="G7" s="459"/>
      <c r="H7" s="283"/>
      <c r="I7" s="449"/>
      <c r="J7" s="1008">
        <f ca="1">SUM(J8:J13)</f>
        <v>5657.1867669239991</v>
      </c>
      <c r="K7" s="1352">
        <f t="shared" ca="1" si="0"/>
        <v>1</v>
      </c>
      <c r="L7" s="977"/>
      <c r="Q7" s="361"/>
      <c r="R7" s="975"/>
    </row>
    <row r="8" spans="1:30" hidden="1" x14ac:dyDescent="0.2">
      <c r="A8" s="1149">
        <f>A6+1</f>
        <v>3</v>
      </c>
      <c r="B8" s="2084" t="s">
        <v>1200</v>
      </c>
      <c r="C8" s="2100" t="s">
        <v>1815</v>
      </c>
      <c r="D8" s="66"/>
      <c r="E8" s="409" t="s">
        <v>314</v>
      </c>
      <c r="F8" s="66">
        <v>1</v>
      </c>
      <c r="G8" s="458">
        <f>IF(LOOKUP($A8,Исх!$B$59:$B$87,Исх!$C$59:$C$87)=Мат!B8,LOOKUP($A8,Исх!$B$60:$B$87,Исх!$O$60:$O$87),0)</f>
        <v>0</v>
      </c>
      <c r="H8" s="448">
        <f t="shared" ref="H8:H75" si="1">F8*G8</f>
        <v>0</v>
      </c>
      <c r="I8" s="996">
        <f t="shared" ref="I8:I13" si="2">L8</f>
        <v>2.3199999999999998</v>
      </c>
      <c r="J8" s="1009">
        <f>H8*I8*Исх!$C$2</f>
        <v>0</v>
      </c>
      <c r="K8" s="1352">
        <f t="shared" si="0"/>
        <v>0</v>
      </c>
      <c r="L8" s="2014">
        <v>2.3199999999999998</v>
      </c>
      <c r="M8" s="980">
        <v>1000</v>
      </c>
      <c r="N8" s="28" t="s">
        <v>259</v>
      </c>
      <c r="Q8" s="361"/>
      <c r="R8" s="975"/>
    </row>
    <row r="9" spans="1:30" hidden="1" x14ac:dyDescent="0.2">
      <c r="A9" s="1149">
        <f t="shared" ref="A9:A18" si="3">A8+1</f>
        <v>4</v>
      </c>
      <c r="B9" s="2084" t="s">
        <v>1201</v>
      </c>
      <c r="C9" s="2101" t="s">
        <v>1815</v>
      </c>
      <c r="D9" s="66"/>
      <c r="E9" s="409" t="s">
        <v>314</v>
      </c>
      <c r="F9" s="66">
        <v>1</v>
      </c>
      <c r="G9" s="458">
        <f>IF(LOOKUP($A9,Исх!$B$59:$B$87,Исх!$C$59:$C$87)=Мат!B9,LOOKUP($A9,Исх!$B$60:$B$87,Исх!$O$60:$O$87),0)</f>
        <v>0</v>
      </c>
      <c r="H9" s="448">
        <f t="shared" si="1"/>
        <v>0</v>
      </c>
      <c r="I9" s="996">
        <f t="shared" si="2"/>
        <v>2.3199999999999998</v>
      </c>
      <c r="J9" s="1009">
        <f>H9*I9*Исх!$C$2</f>
        <v>0</v>
      </c>
      <c r="K9" s="1352">
        <f t="shared" si="0"/>
        <v>0</v>
      </c>
      <c r="L9" s="2014">
        <v>2.3199999999999998</v>
      </c>
      <c r="M9" s="980">
        <v>1000</v>
      </c>
      <c r="N9" s="28" t="s">
        <v>259</v>
      </c>
      <c r="Q9" s="361"/>
      <c r="R9" s="975"/>
    </row>
    <row r="10" spans="1:30" hidden="1" x14ac:dyDescent="0.2">
      <c r="A10" s="1149">
        <f t="shared" si="3"/>
        <v>5</v>
      </c>
      <c r="B10" s="2084" t="s">
        <v>1202</v>
      </c>
      <c r="C10" s="2101" t="s">
        <v>1815</v>
      </c>
      <c r="D10" s="66"/>
      <c r="E10" s="409" t="s">
        <v>314</v>
      </c>
      <c r="F10" s="66">
        <v>1</v>
      </c>
      <c r="G10" s="458">
        <f>IF(LOOKUP($A10,Исх!$B$59:$B$87,Исх!$C$59:$C$87)=Мат!B10,LOOKUP($A10,Исх!$B$60:$B$87,Исх!$O$60:$O$87),0)</f>
        <v>0</v>
      </c>
      <c r="H10" s="448">
        <f t="shared" si="1"/>
        <v>0</v>
      </c>
      <c r="I10" s="996">
        <f t="shared" si="2"/>
        <v>2.3199999999999998</v>
      </c>
      <c r="J10" s="1009">
        <f>H10*I10*Исх!$C$2</f>
        <v>0</v>
      </c>
      <c r="K10" s="1352">
        <f t="shared" si="0"/>
        <v>0</v>
      </c>
      <c r="L10" s="2014">
        <v>2.3199999999999998</v>
      </c>
      <c r="M10" s="980">
        <v>1000</v>
      </c>
      <c r="N10" s="28" t="s">
        <v>259</v>
      </c>
      <c r="Q10" s="361"/>
      <c r="R10" s="975"/>
    </row>
    <row r="11" spans="1:30" x14ac:dyDescent="0.2">
      <c r="A11" s="174">
        <f t="shared" si="3"/>
        <v>6</v>
      </c>
      <c r="B11" s="2084" t="s">
        <v>1203</v>
      </c>
      <c r="C11" s="2101" t="s">
        <v>1815</v>
      </c>
      <c r="D11" s="66"/>
      <c r="E11" s="409" t="s">
        <v>314</v>
      </c>
      <c r="F11" s="66">
        <v>1.4</v>
      </c>
      <c r="G11" s="458">
        <f ca="1">IF(LOOKUP($A11,Исх!$B$59:$B$87,Исх!$C$59:$C$87)=Мат!B11,LOOKUP($A11,Исх!$B$60:$B$87,Исх!$O$60:$O$87),0)</f>
        <v>5.2780142249999997</v>
      </c>
      <c r="H11" s="448">
        <f ca="1">F11*G11</f>
        <v>7.3892199149999991</v>
      </c>
      <c r="I11" s="996">
        <f t="shared" si="2"/>
        <v>2.3199999999999998</v>
      </c>
      <c r="J11" s="1009">
        <f ca="1">H11*I11*Исх!$C$2</f>
        <v>1885.7289223079997</v>
      </c>
      <c r="K11" s="1352">
        <f t="shared" ca="1" si="0"/>
        <v>1</v>
      </c>
      <c r="L11" s="2014">
        <v>2.3199999999999998</v>
      </c>
      <c r="M11" s="980">
        <v>1000</v>
      </c>
      <c r="N11" s="28" t="s">
        <v>259</v>
      </c>
      <c r="Q11" s="361"/>
      <c r="R11" s="975"/>
    </row>
    <row r="12" spans="1:30" x14ac:dyDescent="0.2">
      <c r="A12" s="174">
        <f t="shared" si="3"/>
        <v>7</v>
      </c>
      <c r="B12" s="2084" t="s">
        <v>1204</v>
      </c>
      <c r="C12" s="2101" t="s">
        <v>1815</v>
      </c>
      <c r="D12" s="66"/>
      <c r="E12" s="409" t="s">
        <v>314</v>
      </c>
      <c r="F12" s="66">
        <v>1.4</v>
      </c>
      <c r="G12" s="458">
        <f ca="1">IF(LOOKUP($A12,Исх!$B$59:$B$87,Исх!$C$59:$C$87)=Мат!B12,LOOKUP($A12,Исх!$B$60:$B$87,Исх!$O$60:$O$87),0)</f>
        <v>5.2780142249999997</v>
      </c>
      <c r="H12" s="448">
        <f ca="1">F12*G12</f>
        <v>7.3892199149999991</v>
      </c>
      <c r="I12" s="996">
        <f t="shared" si="2"/>
        <v>2.3199999999999998</v>
      </c>
      <c r="J12" s="1009">
        <f ca="1">H12*I12*Исх!$C$2</f>
        <v>1885.7289223079997</v>
      </c>
      <c r="K12" s="1352">
        <f t="shared" ca="1" si="0"/>
        <v>1</v>
      </c>
      <c r="L12" s="2014">
        <v>2.3199999999999998</v>
      </c>
      <c r="M12" s="980">
        <v>1000</v>
      </c>
      <c r="N12" s="28" t="s">
        <v>259</v>
      </c>
      <c r="Q12" s="361"/>
      <c r="R12" s="975"/>
    </row>
    <row r="13" spans="1:30" x14ac:dyDescent="0.2">
      <c r="A13" s="174">
        <f t="shared" si="3"/>
        <v>8</v>
      </c>
      <c r="B13" s="2084" t="s">
        <v>1205</v>
      </c>
      <c r="C13" s="2102" t="s">
        <v>1815</v>
      </c>
      <c r="D13" s="66"/>
      <c r="E13" s="409" t="s">
        <v>314</v>
      </c>
      <c r="F13" s="66">
        <v>1.4</v>
      </c>
      <c r="G13" s="458">
        <f ca="1">IF(LOOKUP($A13,Исх!$B$59:$B$87,Исх!$C$59:$C$87)=Мат!B13,LOOKUP($A13,Исх!$B$60:$B$87,Исх!$O$60:$O$87),0)</f>
        <v>5.2780142249999997</v>
      </c>
      <c r="H13" s="448">
        <f ca="1">F13*G13</f>
        <v>7.3892199149999991</v>
      </c>
      <c r="I13" s="996">
        <f t="shared" si="2"/>
        <v>2.3199999999999998</v>
      </c>
      <c r="J13" s="1009">
        <f ca="1">H13*I13*Исх!$C$2</f>
        <v>1885.7289223079997</v>
      </c>
      <c r="K13" s="1352">
        <f t="shared" ca="1" si="0"/>
        <v>1</v>
      </c>
      <c r="L13" s="2014">
        <v>2.3199999999999998</v>
      </c>
      <c r="M13" s="980">
        <v>1000</v>
      </c>
      <c r="N13" s="28" t="s">
        <v>259</v>
      </c>
      <c r="Q13" s="361"/>
      <c r="R13" s="975"/>
    </row>
    <row r="14" spans="1:30" hidden="1" x14ac:dyDescent="0.2">
      <c r="A14" s="285"/>
      <c r="B14" s="410" t="s">
        <v>274</v>
      </c>
      <c r="C14" s="2103"/>
      <c r="D14" s="412"/>
      <c r="E14" s="411"/>
      <c r="F14" s="365"/>
      <c r="G14" s="460"/>
      <c r="H14" s="279"/>
      <c r="I14" s="450"/>
      <c r="J14" s="1008">
        <f>SUM(J15:J18)</f>
        <v>0</v>
      </c>
      <c r="K14" s="1352">
        <f t="shared" si="0"/>
        <v>0</v>
      </c>
      <c r="L14" s="977"/>
      <c r="Q14" s="361"/>
      <c r="R14" s="975"/>
    </row>
    <row r="15" spans="1:30" hidden="1" x14ac:dyDescent="0.2">
      <c r="A15" s="174">
        <f>A13+1</f>
        <v>9</v>
      </c>
      <c r="B15" s="1150" t="s">
        <v>83</v>
      </c>
      <c r="C15" s="2104" t="s">
        <v>1815</v>
      </c>
      <c r="D15" s="66"/>
      <c r="E15" s="409" t="s">
        <v>314</v>
      </c>
      <c r="F15" s="66">
        <v>1</v>
      </c>
      <c r="G15" s="458">
        <f>IF(LOOKUP($A15,Исх!$B$59:$B$87,Исх!$C$59:$C$87)=Мат!B15,LOOKUP($A15,Исх!$B$60:$B$87,Исх!$O$60:$O$87),0)</f>
        <v>0</v>
      </c>
      <c r="H15" s="448">
        <f t="shared" si="1"/>
        <v>0</v>
      </c>
      <c r="I15" s="982">
        <f t="shared" ref="I15" si="4">L15+(L15*$M$3)</f>
        <v>417.5</v>
      </c>
      <c r="J15" s="1009">
        <f t="shared" ref="J15:J75" si="5">H15*I15</f>
        <v>0</v>
      </c>
      <c r="K15" s="1352">
        <f t="shared" si="0"/>
        <v>0</v>
      </c>
      <c r="L15" s="1147">
        <v>417.5</v>
      </c>
      <c r="Q15" s="361"/>
      <c r="R15" s="975"/>
    </row>
    <row r="16" spans="1:30" hidden="1" x14ac:dyDescent="0.2">
      <c r="A16" s="174">
        <f>A15+1</f>
        <v>10</v>
      </c>
      <c r="B16" s="1150" t="s">
        <v>275</v>
      </c>
      <c r="C16" s="2105" t="s">
        <v>1815</v>
      </c>
      <c r="D16" s="66"/>
      <c r="E16" s="409" t="s">
        <v>314</v>
      </c>
      <c r="F16" s="66">
        <v>1</v>
      </c>
      <c r="G16" s="458">
        <f>IF(LOOKUP($A16,Исх!$B$59:$B$87,Исх!$C$59:$C$87)=Мат!B16,LOOKUP($A16,Исх!$B$60:$B$87,Исх!$O$60:$O$87),0)</f>
        <v>0</v>
      </c>
      <c r="H16" s="448">
        <f t="shared" ref="H16" si="6">F16*G16</f>
        <v>0</v>
      </c>
      <c r="I16" s="982">
        <v>845.98</v>
      </c>
      <c r="J16" s="1009">
        <f t="shared" ref="J16" si="7">H16*I16</f>
        <v>0</v>
      </c>
      <c r="K16" s="1352">
        <f t="shared" si="0"/>
        <v>0</v>
      </c>
      <c r="L16" s="1148">
        <v>845.98</v>
      </c>
      <c r="M16" s="265" t="s">
        <v>915</v>
      </c>
      <c r="O16" s="28" t="s">
        <v>780</v>
      </c>
      <c r="Q16" s="361"/>
      <c r="R16" s="975"/>
    </row>
    <row r="17" spans="1:27" hidden="1" x14ac:dyDescent="0.2">
      <c r="A17" s="174">
        <f t="shared" si="3"/>
        <v>11</v>
      </c>
      <c r="B17" s="1150" t="s">
        <v>1019</v>
      </c>
      <c r="C17" s="2106" t="s">
        <v>1815</v>
      </c>
      <c r="D17" s="66"/>
      <c r="E17" s="409" t="s">
        <v>314</v>
      </c>
      <c r="F17" s="66">
        <v>1</v>
      </c>
      <c r="G17" s="458">
        <f>IF(LOOKUP($A17,Исх!$B$59:$B$87,Исх!$C$59:$C$87)=Мат!B17,LOOKUP($A17,Исх!$B$60:$B$87,Исх!$O$60:$O$87),0)</f>
        <v>0</v>
      </c>
      <c r="H17" s="448">
        <f t="shared" si="1"/>
        <v>0</v>
      </c>
      <c r="I17" s="996">
        <f>L17</f>
        <v>5.75</v>
      </c>
      <c r="J17" s="1009">
        <f>H17*I17*Исх!$C$2</f>
        <v>0</v>
      </c>
      <c r="K17" s="1352">
        <f t="shared" si="0"/>
        <v>0</v>
      </c>
      <c r="L17" s="2014">
        <v>5.75</v>
      </c>
      <c r="M17" s="980">
        <v>1</v>
      </c>
      <c r="N17" s="28" t="s">
        <v>259</v>
      </c>
      <c r="Q17" s="361"/>
      <c r="R17" s="975"/>
    </row>
    <row r="18" spans="1:27" hidden="1" x14ac:dyDescent="0.2">
      <c r="A18" s="174">
        <f t="shared" si="3"/>
        <v>12</v>
      </c>
      <c r="B18" s="1150" t="s">
        <v>1018</v>
      </c>
      <c r="C18" s="2107" t="s">
        <v>1815</v>
      </c>
      <c r="D18" s="66"/>
      <c r="E18" s="409" t="s">
        <v>314</v>
      </c>
      <c r="F18" s="66">
        <v>1</v>
      </c>
      <c r="G18" s="458">
        <f>IF(LOOKUP($A18,Исх!$B$59:$B$87,Исх!$C$59:$C$87)=Мат!B18,LOOKUP($A18,Исх!$B$60:$B$87,Исх!$O$60:$O$87),0)</f>
        <v>0</v>
      </c>
      <c r="H18" s="448">
        <f>F18*G18</f>
        <v>0</v>
      </c>
      <c r="I18" s="996">
        <f>L18</f>
        <v>5.75</v>
      </c>
      <c r="J18" s="1009">
        <f>H18*I18*Исх!$C$2</f>
        <v>0</v>
      </c>
      <c r="K18" s="1352">
        <f t="shared" si="0"/>
        <v>0</v>
      </c>
      <c r="L18" s="2014">
        <v>5.75</v>
      </c>
      <c r="M18" s="980">
        <v>1</v>
      </c>
      <c r="N18" s="28" t="s">
        <v>259</v>
      </c>
      <c r="Q18" s="361"/>
      <c r="R18" s="975"/>
    </row>
    <row r="19" spans="1:27" hidden="1" x14ac:dyDescent="0.2">
      <c r="A19" s="285"/>
      <c r="B19" s="410" t="s">
        <v>277</v>
      </c>
      <c r="C19" s="2103"/>
      <c r="D19" s="412"/>
      <c r="E19" s="411"/>
      <c r="F19" s="365"/>
      <c r="G19" s="460"/>
      <c r="H19" s="450"/>
      <c r="I19" s="279"/>
      <c r="J19" s="1008">
        <f>SUM(J20:J68)</f>
        <v>0</v>
      </c>
      <c r="K19" s="1352">
        <f t="shared" si="0"/>
        <v>0</v>
      </c>
      <c r="L19" s="977"/>
      <c r="Q19" s="361"/>
      <c r="R19" s="975"/>
      <c r="Z19" s="2252"/>
      <c r="AA19" s="2253"/>
    </row>
    <row r="20" spans="1:27" hidden="1" x14ac:dyDescent="0.2">
      <c r="A20" s="174">
        <f>A18+1</f>
        <v>13</v>
      </c>
      <c r="B20" s="1150" t="s">
        <v>204</v>
      </c>
      <c r="C20" s="2104" t="s">
        <v>1815</v>
      </c>
      <c r="D20" s="66"/>
      <c r="E20" s="409" t="s">
        <v>314</v>
      </c>
      <c r="F20" s="66">
        <v>1</v>
      </c>
      <c r="G20" s="458">
        <f>IF(LOOKUP($A20,Исх!$B$59:$B$87,Исх!$C$59:$C$87)=Мат!B20,LOOKUP($A20,Исх!$B$60:$B$87,Исх!$O$60:$O$87),0)</f>
        <v>0</v>
      </c>
      <c r="H20" s="448">
        <f t="shared" ref="H20:H24" si="8">F20*G20</f>
        <v>0</v>
      </c>
      <c r="I20" s="982">
        <f t="shared" ref="I20:I57" si="9">L20+(L20*$M$3)</f>
        <v>728.34</v>
      </c>
      <c r="J20" s="1009">
        <f t="shared" ref="J20:J23" si="10">H20*I20</f>
        <v>0</v>
      </c>
      <c r="K20" s="1352">
        <f t="shared" si="0"/>
        <v>0</v>
      </c>
      <c r="L20" s="1147">
        <v>728.34</v>
      </c>
      <c r="Q20" s="361"/>
      <c r="R20" s="975"/>
    </row>
    <row r="21" spans="1:27" hidden="1" x14ac:dyDescent="0.2">
      <c r="A21" s="174">
        <f t="shared" ref="A21:A67" si="11">A20+1</f>
        <v>14</v>
      </c>
      <c r="B21" s="1150" t="s">
        <v>205</v>
      </c>
      <c r="C21" s="2105" t="s">
        <v>1815</v>
      </c>
      <c r="D21" s="66"/>
      <c r="E21" s="409" t="s">
        <v>314</v>
      </c>
      <c r="F21" s="66">
        <v>1</v>
      </c>
      <c r="G21" s="458">
        <f>IF(LOOKUP($A21,Исх!$B$59:$B$87,Исх!$C$59:$C$87)=Мат!B21,LOOKUP($A21,Исх!$B$60:$B$87,Исх!$O$60:$O$87),0)</f>
        <v>0</v>
      </c>
      <c r="H21" s="448">
        <f t="shared" si="8"/>
        <v>0</v>
      </c>
      <c r="I21" s="982">
        <f t="shared" si="9"/>
        <v>542.32000000000005</v>
      </c>
      <c r="J21" s="1009">
        <f t="shared" si="10"/>
        <v>0</v>
      </c>
      <c r="K21" s="1352">
        <f t="shared" si="0"/>
        <v>0</v>
      </c>
      <c r="L21" s="1147">
        <v>542.32000000000005</v>
      </c>
      <c r="Q21" s="361"/>
      <c r="R21" s="975"/>
    </row>
    <row r="22" spans="1:27" hidden="1" x14ac:dyDescent="0.2">
      <c r="A22" s="174">
        <f t="shared" si="11"/>
        <v>15</v>
      </c>
      <c r="B22" s="1150" t="s">
        <v>206</v>
      </c>
      <c r="C22" s="2105" t="s">
        <v>1815</v>
      </c>
      <c r="D22" s="66"/>
      <c r="E22" s="409" t="s">
        <v>314</v>
      </c>
      <c r="F22" s="66">
        <v>1</v>
      </c>
      <c r="G22" s="458">
        <f>IF(LOOKUP($A22,Исх!$B$59:$B$87,Исх!$C$59:$C$87)=Мат!B22,LOOKUP($A22,Исх!$B$60:$B$87,Исх!$O$60:$O$87),0)</f>
        <v>0</v>
      </c>
      <c r="H22" s="448">
        <f t="shared" si="8"/>
        <v>0</v>
      </c>
      <c r="I22" s="982">
        <f t="shared" si="9"/>
        <v>553.01</v>
      </c>
      <c r="J22" s="1009">
        <f t="shared" si="10"/>
        <v>0</v>
      </c>
      <c r="K22" s="1352">
        <f t="shared" si="0"/>
        <v>0</v>
      </c>
      <c r="L22" s="1147">
        <v>553.01</v>
      </c>
      <c r="Q22" s="361"/>
      <c r="R22" s="975"/>
    </row>
    <row r="23" spans="1:27" hidden="1" x14ac:dyDescent="0.2">
      <c r="A23" s="174">
        <f t="shared" si="11"/>
        <v>16</v>
      </c>
      <c r="B23" s="1150" t="s">
        <v>207</v>
      </c>
      <c r="C23" s="2105" t="s">
        <v>1815</v>
      </c>
      <c r="D23" s="66"/>
      <c r="E23" s="409" t="s">
        <v>314</v>
      </c>
      <c r="F23" s="66">
        <v>1</v>
      </c>
      <c r="G23" s="458">
        <f>IF(LOOKUP($A23,Исх!$B$59:$B$87,Исх!$C$59:$C$87)=Мат!B23,LOOKUP($A23,Исх!$B$60:$B$87,Исх!$O$60:$O$87),0)</f>
        <v>0</v>
      </c>
      <c r="H23" s="448">
        <f t="shared" si="8"/>
        <v>0</v>
      </c>
      <c r="I23" s="982">
        <v>456.69</v>
      </c>
      <c r="J23" s="1009">
        <f t="shared" si="10"/>
        <v>0</v>
      </c>
      <c r="K23" s="1352">
        <f t="shared" si="0"/>
        <v>0</v>
      </c>
      <c r="L23" s="1147">
        <v>456.69</v>
      </c>
      <c r="Q23" s="361"/>
      <c r="R23" s="975"/>
    </row>
    <row r="24" spans="1:27" hidden="1" x14ac:dyDescent="0.2">
      <c r="A24" s="174">
        <f t="shared" si="11"/>
        <v>17</v>
      </c>
      <c r="B24" s="1150" t="s">
        <v>1020</v>
      </c>
      <c r="C24" s="2105" t="s">
        <v>1815</v>
      </c>
      <c r="D24" s="66"/>
      <c r="E24" s="409" t="s">
        <v>314</v>
      </c>
      <c r="F24" s="66">
        <v>1</v>
      </c>
      <c r="G24" s="458">
        <f>IF(LOOKUP($A24,Исх!$B$59:$B$87,Исх!$C$59:$C$87)=Мат!B24,LOOKUP($A24,Исх!$B$60:$B$87,Исх!$O$60:$O$87),0)</f>
        <v>0</v>
      </c>
      <c r="H24" s="448">
        <f t="shared" si="8"/>
        <v>0</v>
      </c>
      <c r="I24" s="996">
        <f t="shared" ref="I24:I30" si="12">L24</f>
        <v>5.75</v>
      </c>
      <c r="J24" s="1009">
        <f>H24*I24*Исх!$C$2</f>
        <v>0</v>
      </c>
      <c r="K24" s="1352">
        <f t="shared" si="0"/>
        <v>0</v>
      </c>
      <c r="L24" s="2014">
        <v>5.75</v>
      </c>
      <c r="M24" s="980">
        <v>1</v>
      </c>
      <c r="N24" s="28" t="s">
        <v>259</v>
      </c>
      <c r="Q24" s="361"/>
      <c r="R24" s="975"/>
    </row>
    <row r="25" spans="1:27" hidden="1" x14ac:dyDescent="0.2">
      <c r="A25" s="174">
        <f t="shared" si="11"/>
        <v>18</v>
      </c>
      <c r="B25" s="1150" t="s">
        <v>1021</v>
      </c>
      <c r="C25" s="2105" t="s">
        <v>1815</v>
      </c>
      <c r="D25" s="66"/>
      <c r="E25" s="409" t="s">
        <v>314</v>
      </c>
      <c r="F25" s="66">
        <v>1</v>
      </c>
      <c r="G25" s="458">
        <f>IF(LOOKUP($A25,Исх!$B$59:$B$87,Исх!$C$59:$C$87)=Мат!B25,LOOKUP($A25,Исх!$B$60:$B$87,Исх!$O$60:$O$87),0)</f>
        <v>0</v>
      </c>
      <c r="H25" s="448">
        <f t="shared" si="1"/>
        <v>0</v>
      </c>
      <c r="I25" s="996">
        <f t="shared" si="12"/>
        <v>5.75</v>
      </c>
      <c r="J25" s="1009">
        <f>H25*I25*Исх!$C$2</f>
        <v>0</v>
      </c>
      <c r="K25" s="1352">
        <f t="shared" si="0"/>
        <v>0</v>
      </c>
      <c r="L25" s="2014">
        <v>5.75</v>
      </c>
      <c r="M25" s="980">
        <v>1</v>
      </c>
      <c r="N25" s="28" t="s">
        <v>259</v>
      </c>
      <c r="Q25" s="361"/>
      <c r="R25" s="975"/>
    </row>
    <row r="26" spans="1:27" hidden="1" x14ac:dyDescent="0.2">
      <c r="A26" s="174">
        <f t="shared" si="11"/>
        <v>19</v>
      </c>
      <c r="B26" s="1150" t="s">
        <v>1022</v>
      </c>
      <c r="C26" s="2105" t="s">
        <v>1815</v>
      </c>
      <c r="D26" s="66"/>
      <c r="E26" s="409" t="s">
        <v>314</v>
      </c>
      <c r="F26" s="66">
        <v>1</v>
      </c>
      <c r="G26" s="458">
        <f>IF(LOOKUP($A26,Исх!$B$59:$B$87,Исх!$C$59:$C$87)=Мат!B26,LOOKUP($A26,Исх!$B$60:$B$87,Исх!$O$60:$O$87),0)</f>
        <v>0</v>
      </c>
      <c r="H26" s="448">
        <f t="shared" si="1"/>
        <v>0</v>
      </c>
      <c r="I26" s="996">
        <f t="shared" si="12"/>
        <v>5.75</v>
      </c>
      <c r="J26" s="1009">
        <f>H26*I26*Исх!$C$2</f>
        <v>0</v>
      </c>
      <c r="K26" s="1352">
        <f t="shared" si="0"/>
        <v>0</v>
      </c>
      <c r="L26" s="2014">
        <v>5.75</v>
      </c>
      <c r="M26" s="980">
        <v>1</v>
      </c>
      <c r="N26" s="28" t="s">
        <v>259</v>
      </c>
      <c r="Q26" s="361"/>
      <c r="R26" s="975"/>
    </row>
    <row r="27" spans="1:27" hidden="1" x14ac:dyDescent="0.2">
      <c r="A27" s="174">
        <f t="shared" si="11"/>
        <v>20</v>
      </c>
      <c r="B27" s="1150" t="s">
        <v>1023</v>
      </c>
      <c r="C27" s="2105" t="s">
        <v>1815</v>
      </c>
      <c r="D27" s="66"/>
      <c r="E27" s="409" t="s">
        <v>314</v>
      </c>
      <c r="F27" s="66">
        <v>1</v>
      </c>
      <c r="G27" s="458">
        <f>IF(LOOKUP($A27,Исх!$B$59:$B$87,Исх!$C$59:$C$87)=Мат!B27,LOOKUP($A27,Исх!$B$60:$B$87,Исх!$O$60:$O$87),0)</f>
        <v>0</v>
      </c>
      <c r="H27" s="448">
        <f t="shared" ref="H27" si="13">F27*G27</f>
        <v>0</v>
      </c>
      <c r="I27" s="996">
        <f t="shared" si="12"/>
        <v>5.75</v>
      </c>
      <c r="J27" s="1009">
        <f>H27*I27*Исх!$C$2</f>
        <v>0</v>
      </c>
      <c r="K27" s="1352">
        <f t="shared" si="0"/>
        <v>0</v>
      </c>
      <c r="L27" s="2014">
        <v>5.75</v>
      </c>
      <c r="M27" s="980">
        <v>1</v>
      </c>
      <c r="N27" s="28" t="s">
        <v>259</v>
      </c>
      <c r="Q27" s="361"/>
      <c r="R27" s="975"/>
    </row>
    <row r="28" spans="1:27" hidden="1" x14ac:dyDescent="0.2">
      <c r="A28" s="174">
        <f t="shared" si="11"/>
        <v>21</v>
      </c>
      <c r="B28" s="1150" t="s">
        <v>1024</v>
      </c>
      <c r="C28" s="2105" t="s">
        <v>1815</v>
      </c>
      <c r="D28" s="66"/>
      <c r="E28" s="409" t="s">
        <v>314</v>
      </c>
      <c r="F28" s="66">
        <v>1</v>
      </c>
      <c r="G28" s="458">
        <f>IF(LOOKUP($A28,Исх!$B$59:$B$87,Исх!$C$59:$C$87)=Мат!B28,LOOKUP($A28,Исх!$B$60:$B$87,Исх!$O$60:$O$87),0)</f>
        <v>0</v>
      </c>
      <c r="H28" s="448">
        <f t="shared" ref="H28:H29" si="14">F28*G28</f>
        <v>0</v>
      </c>
      <c r="I28" s="996">
        <f t="shared" si="12"/>
        <v>5.75</v>
      </c>
      <c r="J28" s="1009">
        <f>H28*I28*Исх!$C$2</f>
        <v>0</v>
      </c>
      <c r="K28" s="1352">
        <f t="shared" si="0"/>
        <v>0</v>
      </c>
      <c r="L28" s="2014">
        <v>5.75</v>
      </c>
      <c r="M28" s="980">
        <v>1</v>
      </c>
      <c r="N28" s="28" t="s">
        <v>259</v>
      </c>
      <c r="Q28" s="361"/>
      <c r="R28" s="975"/>
    </row>
    <row r="29" spans="1:27" hidden="1" x14ac:dyDescent="0.2">
      <c r="A29" s="174">
        <f t="shared" si="11"/>
        <v>22</v>
      </c>
      <c r="B29" s="1150" t="s">
        <v>1025</v>
      </c>
      <c r="C29" s="2105" t="s">
        <v>1815</v>
      </c>
      <c r="D29" s="66"/>
      <c r="E29" s="409" t="s">
        <v>314</v>
      </c>
      <c r="F29" s="66">
        <v>1</v>
      </c>
      <c r="G29" s="458">
        <f>IF(LOOKUP($A29,Исх!$B$59:$B$87,Исх!$C$59:$C$87)=Мат!B29,LOOKUP($A29,Исх!$B$60:$B$87,Исх!$O$60:$O$87),0)</f>
        <v>0</v>
      </c>
      <c r="H29" s="448">
        <f t="shared" si="14"/>
        <v>0</v>
      </c>
      <c r="I29" s="996">
        <f t="shared" si="12"/>
        <v>5.75</v>
      </c>
      <c r="J29" s="1009">
        <f>H29*I29*Исх!$C$2</f>
        <v>0</v>
      </c>
      <c r="K29" s="1352">
        <f t="shared" si="0"/>
        <v>0</v>
      </c>
      <c r="L29" s="2014">
        <v>5.75</v>
      </c>
      <c r="M29" s="980">
        <v>1</v>
      </c>
      <c r="N29" s="28" t="s">
        <v>259</v>
      </c>
      <c r="Q29" s="361"/>
      <c r="R29" s="975"/>
    </row>
    <row r="30" spans="1:27" hidden="1" x14ac:dyDescent="0.2">
      <c r="A30" s="174">
        <f t="shared" si="11"/>
        <v>23</v>
      </c>
      <c r="B30" s="2086" t="s">
        <v>1026</v>
      </c>
      <c r="C30" s="2105" t="s">
        <v>1815</v>
      </c>
      <c r="D30" s="66"/>
      <c r="E30" s="409" t="s">
        <v>314</v>
      </c>
      <c r="F30" s="66">
        <v>1</v>
      </c>
      <c r="G30" s="458">
        <f>IF(LOOKUP($A30,Исх!$B$59:$B$87,Исх!$C$59:$C$87)=Мат!B30,LOOKUP($A30,Исх!$B$60:$B$87,Исх!$O$60:$O$87),0)</f>
        <v>0</v>
      </c>
      <c r="H30" s="448">
        <f t="shared" ref="H30" si="15">F30*G30</f>
        <v>0</v>
      </c>
      <c r="I30" s="996">
        <f t="shared" si="12"/>
        <v>16.670000000000002</v>
      </c>
      <c r="J30" s="1009">
        <f>H30*I30*Исх!$C$2</f>
        <v>0</v>
      </c>
      <c r="K30" s="1352">
        <f t="shared" si="0"/>
        <v>0</v>
      </c>
      <c r="L30" s="2014">
        <v>16.670000000000002</v>
      </c>
      <c r="M30" s="980">
        <v>1</v>
      </c>
      <c r="N30" s="28" t="s">
        <v>259</v>
      </c>
      <c r="O30" s="28" t="s">
        <v>780</v>
      </c>
      <c r="Q30" s="361"/>
      <c r="R30" s="975"/>
    </row>
    <row r="31" spans="1:27" hidden="1" x14ac:dyDescent="0.2">
      <c r="A31" s="174">
        <f t="shared" si="11"/>
        <v>24</v>
      </c>
      <c r="B31" s="1150" t="s">
        <v>278</v>
      </c>
      <c r="C31" s="2105" t="s">
        <v>1815</v>
      </c>
      <c r="D31" s="66"/>
      <c r="E31" s="409" t="s">
        <v>314</v>
      </c>
      <c r="F31" s="66">
        <v>1</v>
      </c>
      <c r="G31" s="458">
        <f>IF(LOOKUP($A31,Исх!$B$59:$B$87,Исх!$C$59:$C$87)=Мат!B31,LOOKUP($A31,Исх!$B$60:$B$87,Исх!$O$60:$O$87),0)</f>
        <v>0</v>
      </c>
      <c r="H31" s="448">
        <f t="shared" si="1"/>
        <v>0</v>
      </c>
      <c r="I31" s="982">
        <f t="shared" si="9"/>
        <v>278.60000000000002</v>
      </c>
      <c r="J31" s="1009">
        <f t="shared" si="5"/>
        <v>0</v>
      </c>
      <c r="K31" s="1352">
        <f t="shared" si="0"/>
        <v>0</v>
      </c>
      <c r="L31" s="1147">
        <v>278.60000000000002</v>
      </c>
      <c r="O31" s="28" t="s">
        <v>780</v>
      </c>
      <c r="Q31" s="361"/>
      <c r="R31" s="975"/>
    </row>
    <row r="32" spans="1:27" hidden="1" x14ac:dyDescent="0.2">
      <c r="A32" s="174">
        <f t="shared" si="11"/>
        <v>25</v>
      </c>
      <c r="B32" s="973" t="s">
        <v>279</v>
      </c>
      <c r="C32" s="2105" t="s">
        <v>1815</v>
      </c>
      <c r="D32" s="66"/>
      <c r="E32" s="409" t="s">
        <v>314</v>
      </c>
      <c r="F32" s="66">
        <v>1</v>
      </c>
      <c r="G32" s="458">
        <f>IF(LOOKUP($A32,Исх!$B$59:$B$87,Исх!$C$59:$C$87)=Мат!B32,LOOKUP($A32,Исх!$B$60:$B$87,Исх!$O$60:$O$87),0)</f>
        <v>0</v>
      </c>
      <c r="H32" s="448">
        <f t="shared" si="1"/>
        <v>0</v>
      </c>
      <c r="I32" s="982">
        <f t="shared" si="9"/>
        <v>1009.8</v>
      </c>
      <c r="J32" s="1009">
        <f t="shared" si="5"/>
        <v>0</v>
      </c>
      <c r="K32" s="1352">
        <f t="shared" si="0"/>
        <v>0</v>
      </c>
      <c r="L32" s="1147">
        <v>1009.8</v>
      </c>
      <c r="O32" s="28" t="s">
        <v>780</v>
      </c>
      <c r="Q32" s="361"/>
      <c r="R32" s="975"/>
    </row>
    <row r="33" spans="1:18" hidden="1" x14ac:dyDescent="0.2">
      <c r="A33" s="174">
        <f t="shared" si="11"/>
        <v>26</v>
      </c>
      <c r="B33" s="1150" t="s">
        <v>280</v>
      </c>
      <c r="C33" s="2105" t="s">
        <v>1815</v>
      </c>
      <c r="D33" s="66"/>
      <c r="E33" s="409" t="s">
        <v>314</v>
      </c>
      <c r="F33" s="66">
        <v>1</v>
      </c>
      <c r="G33" s="458">
        <f>IF(LOOKUP($A33,Исх!$B$59:$B$87,Исх!$C$59:$C$87)=Мат!B33,LOOKUP($A33,Исх!$B$60:$B$87,Исх!$O$60:$O$87),0)</f>
        <v>0</v>
      </c>
      <c r="H33" s="448">
        <f t="shared" si="1"/>
        <v>0</v>
      </c>
      <c r="I33" s="982">
        <f t="shared" si="9"/>
        <v>466.91</v>
      </c>
      <c r="J33" s="1009">
        <f t="shared" si="5"/>
        <v>0</v>
      </c>
      <c r="K33" s="1352">
        <f t="shared" si="0"/>
        <v>0</v>
      </c>
      <c r="L33" s="1147">
        <v>466.91</v>
      </c>
      <c r="O33" s="28" t="s">
        <v>780</v>
      </c>
      <c r="Q33" s="361"/>
      <c r="R33" s="975"/>
    </row>
    <row r="34" spans="1:18" hidden="1" x14ac:dyDescent="0.2">
      <c r="A34" s="174">
        <f t="shared" si="11"/>
        <v>27</v>
      </c>
      <c r="B34" s="1150" t="s">
        <v>281</v>
      </c>
      <c r="C34" s="2105" t="s">
        <v>1815</v>
      </c>
      <c r="D34" s="66"/>
      <c r="E34" s="409" t="s">
        <v>314</v>
      </c>
      <c r="F34" s="66">
        <v>1</v>
      </c>
      <c r="G34" s="458">
        <f>IF(LOOKUP($A34,Исх!$B$59:$B$87,Исх!$C$59:$C$87)=Мат!B34,LOOKUP($A34,Исх!$B$60:$B$87,Исх!$O$60:$O$87),0)</f>
        <v>0</v>
      </c>
      <c r="H34" s="448">
        <f t="shared" si="1"/>
        <v>0</v>
      </c>
      <c r="I34" s="982">
        <f t="shared" si="9"/>
        <v>1267.32</v>
      </c>
      <c r="J34" s="1009">
        <f t="shared" si="5"/>
        <v>0</v>
      </c>
      <c r="K34" s="1352">
        <f t="shared" si="0"/>
        <v>0</v>
      </c>
      <c r="L34" s="1147">
        <v>1267.32</v>
      </c>
      <c r="O34" s="28" t="s">
        <v>780</v>
      </c>
      <c r="Q34" s="361"/>
      <c r="R34" s="975"/>
    </row>
    <row r="35" spans="1:18" hidden="1" x14ac:dyDescent="0.2">
      <c r="A35" s="174">
        <f t="shared" si="11"/>
        <v>28</v>
      </c>
      <c r="B35" s="1150" t="s">
        <v>282</v>
      </c>
      <c r="C35" s="2105" t="s">
        <v>1815</v>
      </c>
      <c r="D35" s="66"/>
      <c r="E35" s="409" t="s">
        <v>314</v>
      </c>
      <c r="F35" s="66">
        <v>1</v>
      </c>
      <c r="G35" s="458">
        <f>IF(LOOKUP($A35,Исх!$B$59:$B$87,Исх!$C$59:$C$87)=Мат!B35,LOOKUP($A35,Исх!$B$60:$B$87,Исх!$O$60:$O$87),0)</f>
        <v>0</v>
      </c>
      <c r="H35" s="448">
        <f t="shared" si="1"/>
        <v>0</v>
      </c>
      <c r="I35" s="982">
        <f t="shared" si="9"/>
        <v>876.65</v>
      </c>
      <c r="J35" s="1009">
        <f t="shared" si="5"/>
        <v>0</v>
      </c>
      <c r="K35" s="1352">
        <f t="shared" si="0"/>
        <v>0</v>
      </c>
      <c r="L35" s="1147">
        <v>876.65</v>
      </c>
      <c r="O35" s="28" t="s">
        <v>780</v>
      </c>
      <c r="Q35" s="361"/>
      <c r="R35" s="975"/>
    </row>
    <row r="36" spans="1:18" hidden="1" x14ac:dyDescent="0.2">
      <c r="A36" s="174">
        <f t="shared" si="11"/>
        <v>29</v>
      </c>
      <c r="B36" s="1150" t="s">
        <v>362</v>
      </c>
      <c r="C36" s="2105" t="s">
        <v>1815</v>
      </c>
      <c r="D36" s="66"/>
      <c r="E36" s="409" t="s">
        <v>314</v>
      </c>
      <c r="F36" s="66">
        <v>1</v>
      </c>
      <c r="G36" s="458">
        <f>IF(LOOKUP($A36,Исх!$B$59:$B$87,Исх!$C$59:$C$87)=Мат!B36,LOOKUP($A36,Исх!$B$60:$B$87,Исх!$O$60:$O$87),0)</f>
        <v>0</v>
      </c>
      <c r="H36" s="448">
        <f t="shared" si="1"/>
        <v>0</v>
      </c>
      <c r="I36" s="982">
        <f t="shared" si="9"/>
        <v>884.27</v>
      </c>
      <c r="J36" s="1009">
        <f t="shared" si="5"/>
        <v>0</v>
      </c>
      <c r="K36" s="1352">
        <f t="shared" si="0"/>
        <v>0</v>
      </c>
      <c r="L36" s="1147">
        <v>884.27</v>
      </c>
      <c r="O36" s="28" t="s">
        <v>780</v>
      </c>
      <c r="Q36" s="361"/>
      <c r="R36" s="975"/>
    </row>
    <row r="37" spans="1:18" hidden="1" x14ac:dyDescent="0.2">
      <c r="A37" s="174">
        <f t="shared" si="11"/>
        <v>30</v>
      </c>
      <c r="B37" s="2081" t="s">
        <v>283</v>
      </c>
      <c r="C37" s="2105" t="s">
        <v>1815</v>
      </c>
      <c r="D37" s="66"/>
      <c r="E37" s="409" t="s">
        <v>314</v>
      </c>
      <c r="F37" s="66">
        <v>1</v>
      </c>
      <c r="G37" s="458">
        <f>IF(LOOKUP($A37,Исх!$B$59:$B$87,Исх!$C$59:$C$87)=Мат!B37,LOOKUP($A37,Исх!$B$60:$B$87,Исх!$O$60:$O$87),0)</f>
        <v>0</v>
      </c>
      <c r="H37" s="448">
        <f t="shared" si="1"/>
        <v>0</v>
      </c>
      <c r="I37" s="982">
        <f t="shared" si="9"/>
        <v>480.25</v>
      </c>
      <c r="J37" s="1009">
        <f t="shared" si="5"/>
        <v>0</v>
      </c>
      <c r="K37" s="1352">
        <f t="shared" si="0"/>
        <v>0</v>
      </c>
      <c r="L37" s="1147">
        <v>480.25</v>
      </c>
      <c r="O37" s="28" t="s">
        <v>780</v>
      </c>
      <c r="Q37" s="361"/>
      <c r="R37" s="975"/>
    </row>
    <row r="38" spans="1:18" hidden="1" x14ac:dyDescent="0.2">
      <c r="A38" s="174">
        <f t="shared" si="11"/>
        <v>31</v>
      </c>
      <c r="B38" s="973" t="s">
        <v>284</v>
      </c>
      <c r="C38" s="2105" t="s">
        <v>1815</v>
      </c>
      <c r="D38" s="66"/>
      <c r="E38" s="409" t="s">
        <v>314</v>
      </c>
      <c r="F38" s="66">
        <v>1</v>
      </c>
      <c r="G38" s="458">
        <f>IF(LOOKUP($A38,Исх!$B$59:$B$87,Исх!$C$59:$C$87)=Мат!B38,LOOKUP($A38,Исх!$B$60:$B$87,Исх!$O$60:$O$87),0)</f>
        <v>0</v>
      </c>
      <c r="H38" s="448">
        <f t="shared" si="1"/>
        <v>0</v>
      </c>
      <c r="I38" s="982">
        <f t="shared" si="9"/>
        <v>605.80999999999995</v>
      </c>
      <c r="J38" s="1009">
        <f t="shared" si="5"/>
        <v>0</v>
      </c>
      <c r="K38" s="1352">
        <f t="shared" si="0"/>
        <v>0</v>
      </c>
      <c r="L38" s="1147">
        <v>605.80999999999995</v>
      </c>
      <c r="O38" s="28" t="s">
        <v>780</v>
      </c>
      <c r="Q38" s="361"/>
      <c r="R38" s="975"/>
    </row>
    <row r="39" spans="1:18" hidden="1" x14ac:dyDescent="0.2">
      <c r="A39" s="174">
        <f t="shared" si="11"/>
        <v>32</v>
      </c>
      <c r="B39" s="1150" t="s">
        <v>285</v>
      </c>
      <c r="C39" s="2105" t="s">
        <v>1815</v>
      </c>
      <c r="D39" s="66"/>
      <c r="E39" s="409" t="s">
        <v>314</v>
      </c>
      <c r="F39" s="66">
        <v>1</v>
      </c>
      <c r="G39" s="458">
        <f>IF(LOOKUP($A39,Исх!$B$59:$B$87,Исх!$C$59:$C$87)=Мат!B39,LOOKUP($A39,Исх!$B$60:$B$87,Исх!$O$60:$O$87),0)</f>
        <v>0</v>
      </c>
      <c r="H39" s="448">
        <f t="shared" si="1"/>
        <v>0</v>
      </c>
      <c r="I39" s="982">
        <f t="shared" si="9"/>
        <v>600.95000000000005</v>
      </c>
      <c r="J39" s="1009">
        <f t="shared" si="5"/>
        <v>0</v>
      </c>
      <c r="K39" s="1352">
        <f t="shared" si="0"/>
        <v>0</v>
      </c>
      <c r="L39" s="1147">
        <v>600.95000000000005</v>
      </c>
      <c r="O39" s="28" t="s">
        <v>780</v>
      </c>
      <c r="Q39" s="361"/>
      <c r="R39" s="975"/>
    </row>
    <row r="40" spans="1:18" hidden="1" x14ac:dyDescent="0.2">
      <c r="A40" s="174">
        <f t="shared" si="11"/>
        <v>33</v>
      </c>
      <c r="B40" s="1150" t="s">
        <v>286</v>
      </c>
      <c r="C40" s="2105" t="s">
        <v>1815</v>
      </c>
      <c r="D40" s="66"/>
      <c r="E40" s="409" t="s">
        <v>314</v>
      </c>
      <c r="F40" s="66">
        <v>1</v>
      </c>
      <c r="G40" s="458">
        <f>IF(LOOKUP($A40,Исх!$B$59:$B$87,Исх!$C$59:$C$87)=Мат!B40,LOOKUP($A40,Исх!$B$60:$B$87,Исх!$O$60:$O$87),0)</f>
        <v>0</v>
      </c>
      <c r="H40" s="448">
        <f t="shared" si="1"/>
        <v>0</v>
      </c>
      <c r="I40" s="982">
        <f t="shared" si="9"/>
        <v>600.95000000000005</v>
      </c>
      <c r="J40" s="1009">
        <f t="shared" si="5"/>
        <v>0</v>
      </c>
      <c r="K40" s="1352">
        <f t="shared" si="0"/>
        <v>0</v>
      </c>
      <c r="L40" s="1147">
        <v>600.95000000000005</v>
      </c>
      <c r="O40" s="28" t="s">
        <v>780</v>
      </c>
      <c r="Q40" s="361"/>
      <c r="R40" s="975"/>
    </row>
    <row r="41" spans="1:18" hidden="1" x14ac:dyDescent="0.2">
      <c r="A41" s="174">
        <f t="shared" si="11"/>
        <v>34</v>
      </c>
      <c r="B41" s="1150" t="s">
        <v>361</v>
      </c>
      <c r="C41" s="2105" t="s">
        <v>1815</v>
      </c>
      <c r="D41" s="66"/>
      <c r="E41" s="409" t="s">
        <v>314</v>
      </c>
      <c r="F41" s="66">
        <v>1</v>
      </c>
      <c r="G41" s="458">
        <f>IF(LOOKUP($A41,Исх!$B$59:$B$87,Исх!$C$59:$C$87)=Мат!B41,LOOKUP($A41,Исх!$B$60:$B$87,Исх!$O$60:$O$87),0)</f>
        <v>0</v>
      </c>
      <c r="H41" s="448">
        <f t="shared" si="1"/>
        <v>0</v>
      </c>
      <c r="I41" s="982">
        <v>1957.97</v>
      </c>
      <c r="J41" s="1009">
        <f t="shared" si="5"/>
        <v>0</v>
      </c>
      <c r="K41" s="1352">
        <f t="shared" si="0"/>
        <v>0</v>
      </c>
      <c r="L41" s="1147">
        <v>1957.97</v>
      </c>
      <c r="O41" s="28" t="s">
        <v>780</v>
      </c>
      <c r="Q41" s="361"/>
      <c r="R41" s="975"/>
    </row>
    <row r="42" spans="1:18" hidden="1" x14ac:dyDescent="0.2">
      <c r="A42" s="174">
        <f t="shared" si="11"/>
        <v>35</v>
      </c>
      <c r="B42" s="1150" t="s">
        <v>287</v>
      </c>
      <c r="C42" s="2105" t="s">
        <v>1815</v>
      </c>
      <c r="D42" s="66"/>
      <c r="E42" s="409" t="s">
        <v>314</v>
      </c>
      <c r="F42" s="66">
        <v>1</v>
      </c>
      <c r="G42" s="458">
        <f>IF(LOOKUP($A42,Исх!$B$59:$B$87,Исх!$C$59:$C$87)=Мат!B42,LOOKUP($A42,Исх!$B$60:$B$87,Исх!$O$60:$O$87),0)</f>
        <v>0</v>
      </c>
      <c r="H42" s="448">
        <f t="shared" si="1"/>
        <v>0</v>
      </c>
      <c r="I42" s="982">
        <v>1526.84</v>
      </c>
      <c r="J42" s="1009">
        <f t="shared" si="5"/>
        <v>0</v>
      </c>
      <c r="K42" s="1352">
        <f t="shared" si="0"/>
        <v>0</v>
      </c>
      <c r="L42" s="1148">
        <v>1526.84</v>
      </c>
      <c r="M42" s="265" t="s">
        <v>915</v>
      </c>
      <c r="O42" s="28" t="s">
        <v>780</v>
      </c>
      <c r="Q42" s="361"/>
      <c r="R42" s="975"/>
    </row>
    <row r="43" spans="1:18" hidden="1" x14ac:dyDescent="0.2">
      <c r="A43" s="174">
        <f t="shared" si="11"/>
        <v>36</v>
      </c>
      <c r="B43" s="1150" t="s">
        <v>288</v>
      </c>
      <c r="C43" s="2105" t="s">
        <v>1815</v>
      </c>
      <c r="D43" s="66"/>
      <c r="E43" s="409" t="s">
        <v>314</v>
      </c>
      <c r="F43" s="66">
        <v>1</v>
      </c>
      <c r="G43" s="458">
        <f>IF(LOOKUP($A43,Исх!$B$59:$B$87,Исх!$C$59:$C$87)=Мат!B43,LOOKUP($A43,Исх!$B$60:$B$87,Исх!$O$60:$O$87),0)</f>
        <v>0</v>
      </c>
      <c r="H43" s="448">
        <f t="shared" si="1"/>
        <v>0</v>
      </c>
      <c r="I43" s="982">
        <v>899.21</v>
      </c>
      <c r="J43" s="1009">
        <f t="shared" si="5"/>
        <v>0</v>
      </c>
      <c r="K43" s="1352">
        <f t="shared" si="0"/>
        <v>0</v>
      </c>
      <c r="L43" s="1148">
        <v>899.21</v>
      </c>
      <c r="M43" s="265" t="s">
        <v>915</v>
      </c>
      <c r="O43" s="28" t="s">
        <v>780</v>
      </c>
      <c r="Q43" s="361"/>
      <c r="R43" s="975"/>
    </row>
    <row r="44" spans="1:18" hidden="1" x14ac:dyDescent="0.2">
      <c r="A44" s="174">
        <f t="shared" si="11"/>
        <v>37</v>
      </c>
      <c r="B44" s="1150" t="s">
        <v>289</v>
      </c>
      <c r="C44" s="2105" t="s">
        <v>1815</v>
      </c>
      <c r="D44" s="66"/>
      <c r="E44" s="409" t="s">
        <v>314</v>
      </c>
      <c r="F44" s="66">
        <v>1</v>
      </c>
      <c r="G44" s="458">
        <f>IF(LOOKUP($A44,Исх!$B$59:$B$87,Исх!$C$59:$C$87)=Мат!B44,LOOKUP($A44,Исх!$B$60:$B$87,Исх!$O$60:$O$87),0)</f>
        <v>0</v>
      </c>
      <c r="H44" s="448">
        <f t="shared" si="1"/>
        <v>0</v>
      </c>
      <c r="I44" s="982">
        <v>1096.4000000000001</v>
      </c>
      <c r="J44" s="1009">
        <f t="shared" si="5"/>
        <v>0</v>
      </c>
      <c r="K44" s="1352">
        <f t="shared" si="0"/>
        <v>0</v>
      </c>
      <c r="L44" s="1148">
        <v>1096.4000000000001</v>
      </c>
      <c r="M44" s="265" t="s">
        <v>915</v>
      </c>
      <c r="O44" s="28" t="s">
        <v>780</v>
      </c>
      <c r="Q44" s="361"/>
      <c r="R44" s="975"/>
    </row>
    <row r="45" spans="1:18" hidden="1" x14ac:dyDescent="0.2">
      <c r="A45" s="174">
        <f t="shared" si="11"/>
        <v>38</v>
      </c>
      <c r="B45" s="1150" t="s">
        <v>84</v>
      </c>
      <c r="C45" s="2105" t="s">
        <v>1815</v>
      </c>
      <c r="D45" s="66"/>
      <c r="E45" s="409" t="s">
        <v>314</v>
      </c>
      <c r="F45" s="66">
        <v>1</v>
      </c>
      <c r="G45" s="458">
        <f>IF(LOOKUP($A45,Исх!$B$59:$B$87,Исх!$C$59:$C$87)=Мат!B45,LOOKUP($A45,Исх!$B$60:$B$87,Исх!$O$60:$O$87),0)</f>
        <v>0</v>
      </c>
      <c r="H45" s="448">
        <f t="shared" si="1"/>
        <v>0</v>
      </c>
      <c r="I45" s="982">
        <f t="shared" si="9"/>
        <v>1210.32</v>
      </c>
      <c r="J45" s="1009">
        <f t="shared" si="5"/>
        <v>0</v>
      </c>
      <c r="K45" s="1352">
        <f t="shared" si="0"/>
        <v>0</v>
      </c>
      <c r="L45" s="1147">
        <v>1210.32</v>
      </c>
      <c r="O45" s="28" t="s">
        <v>780</v>
      </c>
      <c r="Q45" s="361"/>
      <c r="R45" s="975"/>
    </row>
    <row r="46" spans="1:18" hidden="1" x14ac:dyDescent="0.2">
      <c r="A46" s="174">
        <f t="shared" si="11"/>
        <v>39</v>
      </c>
      <c r="B46" s="1150" t="s">
        <v>290</v>
      </c>
      <c r="C46" s="2105" t="s">
        <v>1815</v>
      </c>
      <c r="D46" s="66"/>
      <c r="E46" s="409" t="s">
        <v>314</v>
      </c>
      <c r="F46" s="66">
        <v>1</v>
      </c>
      <c r="G46" s="458">
        <f>IF(LOOKUP($A46,Исх!$B$59:$B$87,Исх!$C$59:$C$87)=Мат!B46,LOOKUP($A46,Исх!$B$60:$B$87,Исх!$O$60:$O$87),0)</f>
        <v>0</v>
      </c>
      <c r="H46" s="448">
        <f t="shared" si="1"/>
        <v>0</v>
      </c>
      <c r="I46" s="982">
        <f t="shared" si="9"/>
        <v>872.27</v>
      </c>
      <c r="J46" s="1009">
        <f t="shared" si="5"/>
        <v>0</v>
      </c>
      <c r="K46" s="1352">
        <f t="shared" si="0"/>
        <v>0</v>
      </c>
      <c r="L46" s="1147">
        <v>872.27</v>
      </c>
      <c r="O46" s="28" t="s">
        <v>780</v>
      </c>
      <c r="Q46" s="361"/>
      <c r="R46" s="975"/>
    </row>
    <row r="47" spans="1:18" hidden="1" x14ac:dyDescent="0.2">
      <c r="A47" s="174">
        <f t="shared" si="11"/>
        <v>40</v>
      </c>
      <c r="B47" s="1150" t="s">
        <v>291</v>
      </c>
      <c r="C47" s="2105" t="s">
        <v>1815</v>
      </c>
      <c r="D47" s="66"/>
      <c r="E47" s="409" t="s">
        <v>314</v>
      </c>
      <c r="F47" s="66">
        <v>1</v>
      </c>
      <c r="G47" s="458">
        <f>IF(LOOKUP($A47,Исх!$B$59:$B$87,Исх!$C$59:$C$87)=Мат!B47,LOOKUP($A47,Исх!$B$60:$B$87,Исх!$O$60:$O$87),0)</f>
        <v>0</v>
      </c>
      <c r="H47" s="448">
        <f t="shared" si="1"/>
        <v>0</v>
      </c>
      <c r="I47" s="982">
        <f t="shared" si="9"/>
        <v>849.35</v>
      </c>
      <c r="J47" s="1009">
        <f t="shared" si="5"/>
        <v>0</v>
      </c>
      <c r="K47" s="1352">
        <f t="shared" si="0"/>
        <v>0</v>
      </c>
      <c r="L47" s="1147">
        <v>849.35</v>
      </c>
      <c r="O47" s="28" t="s">
        <v>780</v>
      </c>
      <c r="Q47" s="361"/>
      <c r="R47" s="975"/>
    </row>
    <row r="48" spans="1:18" hidden="1" x14ac:dyDescent="0.2">
      <c r="A48" s="174">
        <f t="shared" si="11"/>
        <v>41</v>
      </c>
      <c r="B48" s="1150" t="s">
        <v>292</v>
      </c>
      <c r="C48" s="2105" t="s">
        <v>1815</v>
      </c>
      <c r="D48" s="66"/>
      <c r="E48" s="409" t="s">
        <v>314</v>
      </c>
      <c r="F48" s="66">
        <v>1</v>
      </c>
      <c r="G48" s="458">
        <f>IF(LOOKUP($A48,Исх!$B$59:$B$87,Исх!$C$59:$C$87)=Мат!B48,LOOKUP($A48,Исх!$B$60:$B$87,Исх!$O$60:$O$87),0)</f>
        <v>0</v>
      </c>
      <c r="H48" s="448">
        <f t="shared" si="1"/>
        <v>0</v>
      </c>
      <c r="I48" s="982">
        <f t="shared" si="9"/>
        <v>991.39</v>
      </c>
      <c r="J48" s="1009">
        <f t="shared" si="5"/>
        <v>0</v>
      </c>
      <c r="K48" s="1352">
        <f t="shared" si="0"/>
        <v>0</v>
      </c>
      <c r="L48" s="1148">
        <v>991.39</v>
      </c>
      <c r="M48" s="265" t="s">
        <v>915</v>
      </c>
      <c r="O48" s="28" t="s">
        <v>780</v>
      </c>
      <c r="Q48" s="361"/>
      <c r="R48" s="975"/>
    </row>
    <row r="49" spans="1:18" hidden="1" x14ac:dyDescent="0.2">
      <c r="A49" s="174">
        <f t="shared" si="11"/>
        <v>42</v>
      </c>
      <c r="B49" s="1150" t="s">
        <v>293</v>
      </c>
      <c r="C49" s="2105" t="s">
        <v>1815</v>
      </c>
      <c r="D49" s="66"/>
      <c r="E49" s="409" t="s">
        <v>314</v>
      </c>
      <c r="F49" s="66">
        <v>1</v>
      </c>
      <c r="G49" s="458">
        <f>IF(LOOKUP($A49,Исх!$B$59:$B$87,Исх!$C$59:$C$87)=Мат!B49,LOOKUP($A49,Исх!$B$60:$B$87,Исх!$O$60:$O$87),0)</f>
        <v>0</v>
      </c>
      <c r="H49" s="448">
        <f t="shared" si="1"/>
        <v>0</v>
      </c>
      <c r="I49" s="982">
        <f t="shared" si="9"/>
        <v>918.68</v>
      </c>
      <c r="J49" s="1009">
        <f t="shared" si="5"/>
        <v>0</v>
      </c>
      <c r="K49" s="1352">
        <f t="shared" si="0"/>
        <v>0</v>
      </c>
      <c r="L49" s="1148">
        <v>918.68</v>
      </c>
      <c r="M49" s="265" t="s">
        <v>915</v>
      </c>
      <c r="O49" s="28" t="s">
        <v>780</v>
      </c>
      <c r="Q49" s="361"/>
      <c r="R49" s="975"/>
    </row>
    <row r="50" spans="1:18" hidden="1" x14ac:dyDescent="0.2">
      <c r="A50" s="174">
        <f t="shared" si="11"/>
        <v>43</v>
      </c>
      <c r="B50" s="1150" t="s">
        <v>294</v>
      </c>
      <c r="C50" s="2105" t="s">
        <v>1815</v>
      </c>
      <c r="D50" s="66"/>
      <c r="E50" s="409" t="s">
        <v>314</v>
      </c>
      <c r="F50" s="66">
        <v>1</v>
      </c>
      <c r="G50" s="458">
        <f>IF(LOOKUP($A50,Исх!$B$59:$B$87,Исх!$C$59:$C$87)=Мат!B50,LOOKUP($A50,Исх!$B$60:$B$87,Исх!$O$60:$O$87),0)</f>
        <v>0</v>
      </c>
      <c r="H50" s="448">
        <f t="shared" si="1"/>
        <v>0</v>
      </c>
      <c r="I50" s="982">
        <f t="shared" si="9"/>
        <v>1401.15</v>
      </c>
      <c r="J50" s="1009">
        <f>H50*I50</f>
        <v>0</v>
      </c>
      <c r="K50" s="1352">
        <f t="shared" si="0"/>
        <v>0</v>
      </c>
      <c r="L50" s="1148">
        <v>1401.15</v>
      </c>
      <c r="M50" s="265" t="s">
        <v>915</v>
      </c>
      <c r="O50" s="28" t="s">
        <v>780</v>
      </c>
      <c r="Q50" s="361"/>
      <c r="R50" s="975"/>
    </row>
    <row r="51" spans="1:18" hidden="1" x14ac:dyDescent="0.2">
      <c r="A51" s="174">
        <f t="shared" si="11"/>
        <v>44</v>
      </c>
      <c r="B51" s="1150" t="s">
        <v>295</v>
      </c>
      <c r="C51" s="2105" t="s">
        <v>1815</v>
      </c>
      <c r="D51" s="66"/>
      <c r="E51" s="409" t="s">
        <v>314</v>
      </c>
      <c r="F51" s="66">
        <v>1</v>
      </c>
      <c r="G51" s="458">
        <f>IF(LOOKUP($A51,Исх!$B$59:$B$87,Исх!$C$59:$C$87)=Мат!B51,LOOKUP($A51,Исх!$B$60:$B$87,Исх!$O$60:$O$87),0)</f>
        <v>0</v>
      </c>
      <c r="H51" s="448">
        <f t="shared" si="1"/>
        <v>0</v>
      </c>
      <c r="I51" s="982">
        <f t="shared" si="9"/>
        <v>1019.04</v>
      </c>
      <c r="J51" s="1009">
        <f t="shared" si="5"/>
        <v>0</v>
      </c>
      <c r="K51" s="1352">
        <f t="shared" si="0"/>
        <v>0</v>
      </c>
      <c r="L51" s="1147">
        <v>1019.04</v>
      </c>
      <c r="O51" s="28" t="s">
        <v>780</v>
      </c>
      <c r="Q51" s="361"/>
      <c r="R51" s="975"/>
    </row>
    <row r="52" spans="1:18" hidden="1" x14ac:dyDescent="0.2">
      <c r="A52" s="174">
        <f t="shared" si="11"/>
        <v>45</v>
      </c>
      <c r="B52" s="1150" t="s">
        <v>296</v>
      </c>
      <c r="C52" s="2105" t="s">
        <v>1815</v>
      </c>
      <c r="D52" s="66"/>
      <c r="E52" s="409" t="s">
        <v>314</v>
      </c>
      <c r="F52" s="66">
        <v>1</v>
      </c>
      <c r="G52" s="458">
        <f>IF(LOOKUP($A52,Исх!$B$59:$B$87,Исх!$C$59:$C$87)=Мат!B52,LOOKUP($A52,Исх!$B$60:$B$87,Исх!$O$60:$O$87),0)</f>
        <v>0</v>
      </c>
      <c r="H52" s="448">
        <f t="shared" si="1"/>
        <v>0</v>
      </c>
      <c r="I52" s="982">
        <v>1396.13</v>
      </c>
      <c r="J52" s="1009">
        <f t="shared" si="5"/>
        <v>0</v>
      </c>
      <c r="K52" s="1352">
        <f t="shared" si="0"/>
        <v>0</v>
      </c>
      <c r="L52" s="1148">
        <v>1396.13</v>
      </c>
      <c r="M52" s="265" t="s">
        <v>915</v>
      </c>
      <c r="O52" s="28" t="s">
        <v>780</v>
      </c>
      <c r="Q52" s="361"/>
      <c r="R52" s="975"/>
    </row>
    <row r="53" spans="1:18" hidden="1" x14ac:dyDescent="0.2">
      <c r="A53" s="174">
        <f t="shared" si="11"/>
        <v>46</v>
      </c>
      <c r="B53" s="1150" t="s">
        <v>297</v>
      </c>
      <c r="C53" s="2105" t="s">
        <v>1815</v>
      </c>
      <c r="D53" s="66"/>
      <c r="E53" s="409" t="s">
        <v>314</v>
      </c>
      <c r="F53" s="66">
        <v>1</v>
      </c>
      <c r="G53" s="458">
        <f>IF(LOOKUP($A53,Исх!$B$59:$B$87,Исх!$C$59:$C$87)=Мат!B53,LOOKUP($A53,Исх!$B$60:$B$87,Исх!$O$60:$O$87),0)</f>
        <v>0</v>
      </c>
      <c r="H53" s="448">
        <f t="shared" si="1"/>
        <v>0</v>
      </c>
      <c r="I53" s="982">
        <f t="shared" si="9"/>
        <v>830.93</v>
      </c>
      <c r="J53" s="1009">
        <f t="shared" si="5"/>
        <v>0</v>
      </c>
      <c r="K53" s="1352">
        <f t="shared" si="0"/>
        <v>0</v>
      </c>
      <c r="L53" s="1148">
        <v>830.93</v>
      </c>
      <c r="M53" s="265" t="s">
        <v>915</v>
      </c>
      <c r="O53" s="28" t="s">
        <v>780</v>
      </c>
      <c r="Q53" s="361"/>
      <c r="R53" s="975"/>
    </row>
    <row r="54" spans="1:18" hidden="1" x14ac:dyDescent="0.2">
      <c r="A54" s="174">
        <f t="shared" si="11"/>
        <v>47</v>
      </c>
      <c r="B54" s="1150" t="s">
        <v>298</v>
      </c>
      <c r="C54" s="2105" t="s">
        <v>1815</v>
      </c>
      <c r="D54" s="66"/>
      <c r="E54" s="409" t="s">
        <v>314</v>
      </c>
      <c r="F54" s="66">
        <v>1</v>
      </c>
      <c r="G54" s="458">
        <f>IF(LOOKUP($A54,Исх!$B$59:$B$87,Исх!$C$59:$C$87)=Мат!B54,LOOKUP($A54,Исх!$B$60:$B$87,Исх!$O$60:$O$87),0)</f>
        <v>0</v>
      </c>
      <c r="H54" s="448">
        <f t="shared" si="1"/>
        <v>0</v>
      </c>
      <c r="I54" s="982">
        <f t="shared" si="9"/>
        <v>931.9</v>
      </c>
      <c r="J54" s="1009">
        <f t="shared" si="5"/>
        <v>0</v>
      </c>
      <c r="K54" s="1352">
        <f t="shared" si="0"/>
        <v>0</v>
      </c>
      <c r="L54" s="1148">
        <v>931.9</v>
      </c>
      <c r="M54" s="265" t="s">
        <v>915</v>
      </c>
      <c r="O54" s="28" t="s">
        <v>780</v>
      </c>
      <c r="Q54" s="361"/>
      <c r="R54" s="975"/>
    </row>
    <row r="55" spans="1:18" hidden="1" x14ac:dyDescent="0.2">
      <c r="A55" s="174">
        <f t="shared" si="11"/>
        <v>48</v>
      </c>
      <c r="B55" s="1150" t="s">
        <v>299</v>
      </c>
      <c r="C55" s="2105" t="s">
        <v>1815</v>
      </c>
      <c r="D55" s="66"/>
      <c r="E55" s="409" t="s">
        <v>314</v>
      </c>
      <c r="F55" s="66">
        <v>1</v>
      </c>
      <c r="G55" s="458">
        <f>IF(LOOKUP($A55,Исх!$B$59:$B$87,Исх!$C$59:$C$87)=Мат!B55,LOOKUP($A55,Исх!$B$60:$B$87,Исх!$O$60:$O$87),0)</f>
        <v>0</v>
      </c>
      <c r="H55" s="448">
        <f t="shared" si="1"/>
        <v>0</v>
      </c>
      <c r="I55" s="982">
        <f t="shared" si="9"/>
        <v>905.46</v>
      </c>
      <c r="J55" s="1009">
        <f t="shared" si="5"/>
        <v>0</v>
      </c>
      <c r="K55" s="1352">
        <f t="shared" si="0"/>
        <v>0</v>
      </c>
      <c r="L55" s="1148">
        <v>905.46</v>
      </c>
      <c r="M55" s="265" t="s">
        <v>915</v>
      </c>
      <c r="O55" s="28" t="s">
        <v>780</v>
      </c>
      <c r="Q55" s="361"/>
      <c r="R55" s="975"/>
    </row>
    <row r="56" spans="1:18" hidden="1" x14ac:dyDescent="0.2">
      <c r="A56" s="174">
        <f t="shared" si="11"/>
        <v>49</v>
      </c>
      <c r="B56" s="1150" t="s">
        <v>300</v>
      </c>
      <c r="C56" s="2105" t="s">
        <v>1815</v>
      </c>
      <c r="D56" s="66"/>
      <c r="E56" s="409" t="s">
        <v>314</v>
      </c>
      <c r="F56" s="66">
        <v>1</v>
      </c>
      <c r="G56" s="458">
        <f>IF(LOOKUP($A56,Исх!$B$59:$B$87,Исх!$C$59:$C$87)=Мат!B56,LOOKUP($A56,Исх!$B$60:$B$87,Исх!$O$60:$O$87),0)</f>
        <v>0</v>
      </c>
      <c r="H56" s="448">
        <f t="shared" si="1"/>
        <v>0</v>
      </c>
      <c r="I56" s="982">
        <f t="shared" si="9"/>
        <v>1006.25</v>
      </c>
      <c r="J56" s="1009">
        <f t="shared" si="5"/>
        <v>0</v>
      </c>
      <c r="K56" s="1352">
        <f t="shared" si="0"/>
        <v>0</v>
      </c>
      <c r="L56" s="1148">
        <v>1006.25</v>
      </c>
      <c r="O56" s="28" t="s">
        <v>780</v>
      </c>
      <c r="Q56" s="361"/>
      <c r="R56" s="975"/>
    </row>
    <row r="57" spans="1:18" hidden="1" x14ac:dyDescent="0.2">
      <c r="A57" s="174">
        <f t="shared" si="11"/>
        <v>50</v>
      </c>
      <c r="B57" s="1150" t="s">
        <v>301</v>
      </c>
      <c r="C57" s="2105" t="s">
        <v>1815</v>
      </c>
      <c r="D57" s="66"/>
      <c r="E57" s="409" t="s">
        <v>314</v>
      </c>
      <c r="F57" s="66">
        <v>1</v>
      </c>
      <c r="G57" s="458">
        <f>IF(LOOKUP($A57,Исх!$B$59:$B$87,Исх!$C$59:$C$87)=Мат!B57,LOOKUP($A57,Исх!$B$60:$B$87,Исх!$O$60:$O$87),0)</f>
        <v>0</v>
      </c>
      <c r="H57" s="448">
        <f t="shared" si="1"/>
        <v>0</v>
      </c>
      <c r="I57" s="982">
        <f t="shared" si="9"/>
        <v>919.26</v>
      </c>
      <c r="J57" s="1009">
        <f t="shared" si="5"/>
        <v>0</v>
      </c>
      <c r="K57" s="1352">
        <f t="shared" si="0"/>
        <v>0</v>
      </c>
      <c r="L57" s="1147">
        <v>919.26</v>
      </c>
      <c r="O57" s="28" t="s">
        <v>780</v>
      </c>
      <c r="Q57" s="361"/>
      <c r="R57" s="975"/>
    </row>
    <row r="58" spans="1:18" hidden="1" x14ac:dyDescent="0.2">
      <c r="A58" s="174">
        <f t="shared" si="11"/>
        <v>51</v>
      </c>
      <c r="B58" s="413" t="s">
        <v>211</v>
      </c>
      <c r="C58" s="2105" t="s">
        <v>1815</v>
      </c>
      <c r="D58" s="66"/>
      <c r="E58" s="409" t="s">
        <v>314</v>
      </c>
      <c r="F58" s="66">
        <v>0.45</v>
      </c>
      <c r="G58" s="458">
        <f>IF(LOOKUP($A58,Исх!$B$59:$B$87,Исх!$C$59:$C$87)=Мат!B58,LOOKUP($A58,Исх!$B$60:$B$87,Исх!$O$60:$O$87),0)</f>
        <v>0</v>
      </c>
      <c r="H58" s="448">
        <f>F58*G58</f>
        <v>0</v>
      </c>
      <c r="I58" s="996">
        <f>L58</f>
        <v>6.33</v>
      </c>
      <c r="J58" s="1009">
        <f>H58*I58*Исх!$C$2</f>
        <v>0</v>
      </c>
      <c r="K58" s="1352">
        <f t="shared" si="0"/>
        <v>0</v>
      </c>
      <c r="L58" s="2014">
        <v>6.33</v>
      </c>
      <c r="M58" s="980">
        <v>1</v>
      </c>
      <c r="N58" s="28" t="s">
        <v>259</v>
      </c>
      <c r="Q58" s="361"/>
      <c r="R58" s="975"/>
    </row>
    <row r="59" spans="1:18" hidden="1" x14ac:dyDescent="0.2">
      <c r="A59" s="174">
        <f t="shared" si="11"/>
        <v>52</v>
      </c>
      <c r="B59" s="414" t="s">
        <v>186</v>
      </c>
      <c r="C59" s="2105" t="s">
        <v>1815</v>
      </c>
      <c r="D59" s="66"/>
      <c r="E59" s="409" t="s">
        <v>314</v>
      </c>
      <c r="F59" s="66">
        <v>0.45</v>
      </c>
      <c r="G59" s="458">
        <f>IF(LOOKUP($A59,Исх!$B$59:$B$87,Исх!$C$59:$C$87)=Мат!B59,LOOKUP($A59,Исх!$B$60:$B$87,Исх!$O$60:$O$87),0)</f>
        <v>0</v>
      </c>
      <c r="H59" s="448">
        <f>F59*G59</f>
        <v>0</v>
      </c>
      <c r="I59" s="996">
        <f t="shared" ref="I59:I62" si="16">L59</f>
        <v>5.67</v>
      </c>
      <c r="J59" s="1009">
        <f>H59*I59*Исх!$C$2</f>
        <v>0</v>
      </c>
      <c r="K59" s="1352">
        <f t="shared" si="0"/>
        <v>0</v>
      </c>
      <c r="L59" s="2014">
        <v>5.67</v>
      </c>
      <c r="M59" s="980">
        <v>1</v>
      </c>
      <c r="N59" s="28" t="s">
        <v>259</v>
      </c>
      <c r="Q59" s="361"/>
      <c r="R59" s="975"/>
    </row>
    <row r="60" spans="1:18" hidden="1" x14ac:dyDescent="0.2">
      <c r="A60" s="174">
        <f t="shared" si="11"/>
        <v>53</v>
      </c>
      <c r="B60" s="1342" t="s">
        <v>1027</v>
      </c>
      <c r="C60" s="2105" t="s">
        <v>1815</v>
      </c>
      <c r="D60" s="66"/>
      <c r="E60" s="409" t="s">
        <v>314</v>
      </c>
      <c r="F60" s="66">
        <v>1</v>
      </c>
      <c r="G60" s="458">
        <f>IF(LOOKUP($A60,Исх!$B$59:$B$87,Исх!$C$59:$C$87)=Мат!B60,LOOKUP($A60,Исх!$B$60:$B$87,Исх!$O$60:$O$87),0)</f>
        <v>0</v>
      </c>
      <c r="H60" s="448">
        <f>F60*G60</f>
        <v>0</v>
      </c>
      <c r="I60" s="996">
        <f t="shared" si="16"/>
        <v>1.75</v>
      </c>
      <c r="J60" s="1009">
        <f>H60*I60*Исх!$C$2</f>
        <v>0</v>
      </c>
      <c r="K60" s="1352">
        <f t="shared" si="0"/>
        <v>0</v>
      </c>
      <c r="L60" s="2014">
        <v>1.75</v>
      </c>
      <c r="M60" s="980">
        <v>1</v>
      </c>
      <c r="N60" s="28" t="s">
        <v>259</v>
      </c>
      <c r="Q60" s="361"/>
      <c r="R60" s="975"/>
    </row>
    <row r="61" spans="1:18" hidden="1" x14ac:dyDescent="0.2">
      <c r="A61" s="174">
        <f t="shared" si="11"/>
        <v>54</v>
      </c>
      <c r="B61" s="1342" t="s">
        <v>1032</v>
      </c>
      <c r="C61" s="2105" t="s">
        <v>1815</v>
      </c>
      <c r="D61" s="66"/>
      <c r="E61" s="409" t="s">
        <v>314</v>
      </c>
      <c r="F61" s="66">
        <v>1</v>
      </c>
      <c r="G61" s="458">
        <f>IF(LOOKUP($A61,Исх!$B$59:$B$87,Исх!$C$59:$C$87)=Мат!B61,LOOKUP($A61,Исх!$B$60:$B$87,Исх!$O$60:$O$87),0)</f>
        <v>0</v>
      </c>
      <c r="H61" s="448">
        <f>F61*G61</f>
        <v>0</v>
      </c>
      <c r="I61" s="996">
        <f t="shared" si="16"/>
        <v>1.5</v>
      </c>
      <c r="J61" s="1009">
        <f>H61*I61*Исх!$C$2</f>
        <v>0</v>
      </c>
      <c r="K61" s="1352">
        <f t="shared" si="0"/>
        <v>0</v>
      </c>
      <c r="L61" s="2014">
        <v>1.5</v>
      </c>
      <c r="M61" s="980">
        <v>1</v>
      </c>
      <c r="N61" s="28" t="s">
        <v>259</v>
      </c>
      <c r="Q61" s="361"/>
      <c r="R61" s="975"/>
    </row>
    <row r="62" spans="1:18" hidden="1" x14ac:dyDescent="0.2">
      <c r="A62" s="174">
        <f t="shared" si="11"/>
        <v>55</v>
      </c>
      <c r="B62" s="1342" t="s">
        <v>1028</v>
      </c>
      <c r="C62" s="2105" t="s">
        <v>1815</v>
      </c>
      <c r="D62" s="66"/>
      <c r="E62" s="409" t="s">
        <v>314</v>
      </c>
      <c r="F62" s="66">
        <v>1</v>
      </c>
      <c r="G62" s="458">
        <f>IF(LOOKUP($A62,Исх!$B$59:$B$87,Исх!$C$59:$C$87)=Мат!B62,LOOKUP($A62,Исх!$B$60:$B$87,Исх!$O$60:$O$87),0)</f>
        <v>0</v>
      </c>
      <c r="H62" s="448">
        <f>F62*G62</f>
        <v>0</v>
      </c>
      <c r="I62" s="996">
        <f t="shared" si="16"/>
        <v>1.67</v>
      </c>
      <c r="J62" s="1009">
        <f>H62*I62*Исх!$C$2</f>
        <v>0</v>
      </c>
      <c r="K62" s="1352">
        <f t="shared" si="0"/>
        <v>0</v>
      </c>
      <c r="L62" s="2014">
        <v>1.67</v>
      </c>
      <c r="M62" s="980">
        <v>1</v>
      </c>
      <c r="N62" s="28" t="s">
        <v>259</v>
      </c>
      <c r="Q62" s="361"/>
      <c r="R62" s="975"/>
    </row>
    <row r="63" spans="1:18" hidden="1" x14ac:dyDescent="0.2">
      <c r="A63" s="174">
        <f t="shared" si="11"/>
        <v>56</v>
      </c>
      <c r="B63" s="2085" t="s">
        <v>916</v>
      </c>
      <c r="C63" s="2105" t="s">
        <v>1815</v>
      </c>
      <c r="D63" s="66"/>
      <c r="E63" s="409" t="s">
        <v>314</v>
      </c>
      <c r="F63" s="66">
        <v>1</v>
      </c>
      <c r="G63" s="458">
        <f>IF(LOOKUP($A63,Исх!$B$59:$B$87,Исх!$C$59:$C$87)=Мат!B63,LOOKUP($A63,Исх!$B$60:$B$87,Исх!$O$60:$O$87),0)</f>
        <v>0</v>
      </c>
      <c r="H63" s="448">
        <f t="shared" ref="H63:H67" si="17">F63*G63</f>
        <v>0</v>
      </c>
      <c r="I63" s="985">
        <v>2097.3000000000002</v>
      </c>
      <c r="J63" s="1009">
        <f t="shared" ref="J63:J67" si="18">H63*I63</f>
        <v>0</v>
      </c>
      <c r="K63" s="1352">
        <f t="shared" si="0"/>
        <v>0</v>
      </c>
      <c r="L63" s="1148">
        <v>2097.3000000000002</v>
      </c>
      <c r="M63" s="265" t="s">
        <v>915</v>
      </c>
      <c r="Q63" s="361"/>
      <c r="R63" s="975"/>
    </row>
    <row r="64" spans="1:18" hidden="1" x14ac:dyDescent="0.2">
      <c r="A64" s="174">
        <f t="shared" si="11"/>
        <v>57</v>
      </c>
      <c r="B64" s="1150" t="s">
        <v>917</v>
      </c>
      <c r="C64" s="2105" t="s">
        <v>1815</v>
      </c>
      <c r="D64" s="66"/>
      <c r="E64" s="409" t="s">
        <v>314</v>
      </c>
      <c r="F64" s="66">
        <v>1</v>
      </c>
      <c r="G64" s="458">
        <f>IF(LOOKUP($A64,Исх!$B$59:$B$87,Исх!$C$59:$C$87)=Мат!B64,LOOKUP($A64,Исх!$B$60:$B$87,Исх!$O$60:$O$87),0)</f>
        <v>0</v>
      </c>
      <c r="H64" s="448">
        <f t="shared" si="17"/>
        <v>0</v>
      </c>
      <c r="I64" s="985">
        <v>3213.94</v>
      </c>
      <c r="J64" s="1009">
        <f t="shared" si="18"/>
        <v>0</v>
      </c>
      <c r="K64" s="1352">
        <f t="shared" ref="K64:K131" si="19">IF(J64&gt;0,1,0)</f>
        <v>0</v>
      </c>
      <c r="L64" s="1148">
        <v>3213.94</v>
      </c>
      <c r="M64" s="265" t="s">
        <v>915</v>
      </c>
      <c r="R64" s="361"/>
    </row>
    <row r="65" spans="1:18" hidden="1" x14ac:dyDescent="0.2">
      <c r="A65" s="174">
        <f t="shared" si="11"/>
        <v>58</v>
      </c>
      <c r="B65" s="1150" t="s">
        <v>918</v>
      </c>
      <c r="C65" s="2105" t="s">
        <v>1815</v>
      </c>
      <c r="D65" s="66"/>
      <c r="E65" s="409" t="s">
        <v>314</v>
      </c>
      <c r="F65" s="66">
        <v>1</v>
      </c>
      <c r="G65" s="458">
        <f>IF(LOOKUP($A65,Исх!$B$59:$B$87,Исх!$C$59:$C$87)=Мат!B65,LOOKUP($A65,Исх!$B$60:$B$87,Исх!$O$60:$O$87),0)</f>
        <v>0</v>
      </c>
      <c r="H65" s="448">
        <f t="shared" si="17"/>
        <v>0</v>
      </c>
      <c r="I65" s="985">
        <v>4513.33</v>
      </c>
      <c r="J65" s="1009">
        <f t="shared" si="18"/>
        <v>0</v>
      </c>
      <c r="K65" s="1352">
        <f t="shared" si="19"/>
        <v>0</v>
      </c>
      <c r="L65" s="1148">
        <v>4513.33</v>
      </c>
      <c r="M65" s="265" t="s">
        <v>915</v>
      </c>
      <c r="R65" s="361"/>
    </row>
    <row r="66" spans="1:18" hidden="1" x14ac:dyDescent="0.2">
      <c r="A66" s="174">
        <f t="shared" si="11"/>
        <v>59</v>
      </c>
      <c r="B66" s="1150" t="s">
        <v>919</v>
      </c>
      <c r="C66" s="2105" t="s">
        <v>1815</v>
      </c>
      <c r="D66" s="66"/>
      <c r="E66" s="409" t="s">
        <v>314</v>
      </c>
      <c r="F66" s="66">
        <v>1</v>
      </c>
      <c r="G66" s="458">
        <f>IF(LOOKUP($A66,Исх!$B$59:$B$87,Исх!$C$59:$C$87)=Мат!B66,LOOKUP($A66,Исх!$B$60:$B$87,Исх!$O$60:$O$87),0)</f>
        <v>0</v>
      </c>
      <c r="H66" s="448">
        <f t="shared" si="17"/>
        <v>0</v>
      </c>
      <c r="I66" s="985">
        <v>2714.05</v>
      </c>
      <c r="J66" s="1009">
        <f t="shared" si="18"/>
        <v>0</v>
      </c>
      <c r="K66" s="1352">
        <f t="shared" si="19"/>
        <v>0</v>
      </c>
      <c r="L66" s="1148">
        <v>2714.05</v>
      </c>
      <c r="M66" s="265" t="s">
        <v>915</v>
      </c>
      <c r="R66" s="361"/>
    </row>
    <row r="67" spans="1:18" hidden="1" x14ac:dyDescent="0.2">
      <c r="A67" s="174">
        <f t="shared" si="11"/>
        <v>60</v>
      </c>
      <c r="B67" s="1150" t="s">
        <v>678</v>
      </c>
      <c r="C67" s="2105" t="s">
        <v>1815</v>
      </c>
      <c r="D67" s="66"/>
      <c r="E67" s="409" t="s">
        <v>314</v>
      </c>
      <c r="F67" s="66">
        <v>1</v>
      </c>
      <c r="G67" s="458">
        <f>IF(LOOKUP($A67,Исх!$B$59:$B$87,Исх!$C$59:$C$87)=Мат!B67,LOOKUP($A67,Исх!$B$60:$B$87,Исх!$O$60:$O$87),0)</f>
        <v>0</v>
      </c>
      <c r="H67" s="448">
        <f t="shared" si="17"/>
        <v>0</v>
      </c>
      <c r="I67" s="985">
        <v>0</v>
      </c>
      <c r="J67" s="1009">
        <f t="shared" si="18"/>
        <v>0</v>
      </c>
      <c r="K67" s="1352">
        <f t="shared" si="19"/>
        <v>0</v>
      </c>
      <c r="L67" s="984"/>
      <c r="R67" s="361"/>
    </row>
    <row r="68" spans="1:18" ht="15" hidden="1" customHeight="1" x14ac:dyDescent="0.2">
      <c r="A68" s="174">
        <v>1000</v>
      </c>
      <c r="B68" s="2087" t="s">
        <v>172</v>
      </c>
      <c r="C68" s="2108"/>
      <c r="D68" s="416"/>
      <c r="E68" s="409"/>
      <c r="F68" s="66"/>
      <c r="G68" s="458"/>
      <c r="H68" s="448"/>
      <c r="I68" s="171"/>
      <c r="J68" s="1009"/>
      <c r="K68" s="1352">
        <f t="shared" si="19"/>
        <v>0</v>
      </c>
      <c r="L68" s="171"/>
      <c r="R68" s="361"/>
    </row>
    <row r="69" spans="1:18" x14ac:dyDescent="0.2">
      <c r="A69" s="282"/>
      <c r="B69" s="417" t="s">
        <v>193</v>
      </c>
      <c r="C69" s="2097"/>
      <c r="D69" s="408"/>
      <c r="E69" s="297"/>
      <c r="F69" s="366"/>
      <c r="G69" s="459"/>
      <c r="H69" s="283"/>
      <c r="I69" s="451"/>
      <c r="J69" s="1010">
        <f ca="1">J4+J7+J14+J19</f>
        <v>7519.1007511619991</v>
      </c>
      <c r="K69" s="1352">
        <f t="shared" ca="1" si="19"/>
        <v>1</v>
      </c>
      <c r="L69" s="279"/>
      <c r="R69" s="361"/>
    </row>
    <row r="70" spans="1:18" hidden="1" x14ac:dyDescent="0.2">
      <c r="A70" s="284"/>
      <c r="B70" s="418" t="s">
        <v>105</v>
      </c>
      <c r="C70" s="2109"/>
      <c r="D70" s="420"/>
      <c r="E70" s="419"/>
      <c r="F70" s="421"/>
      <c r="G70" s="461"/>
      <c r="H70" s="452"/>
      <c r="I70" s="452"/>
      <c r="J70" s="1008">
        <f>SUM(J71:J82)</f>
        <v>0</v>
      </c>
      <c r="K70" s="1352">
        <f t="shared" si="19"/>
        <v>0</v>
      </c>
      <c r="L70" s="279"/>
      <c r="R70" s="361"/>
    </row>
    <row r="71" spans="1:18" hidden="1" x14ac:dyDescent="0.2">
      <c r="A71" s="2088"/>
      <c r="B71" s="2089" t="s">
        <v>317</v>
      </c>
      <c r="C71" s="2110"/>
      <c r="D71" s="423" t="str">
        <f>LOOKUP($C71,Исх!$A$13:$A$25,Исх!$C$13:$C$25)</f>
        <v xml:space="preserve"> </v>
      </c>
      <c r="E71" s="422" t="s">
        <v>258</v>
      </c>
      <c r="F71" s="291">
        <v>1.05</v>
      </c>
      <c r="G71" s="462">
        <f>Исх!N19</f>
        <v>0</v>
      </c>
      <c r="H71" s="453">
        <f t="shared" si="1"/>
        <v>0</v>
      </c>
      <c r="I71" s="988">
        <v>57.75</v>
      </c>
      <c r="J71" s="1011">
        <f t="shared" si="5"/>
        <v>0</v>
      </c>
      <c r="K71" s="1352">
        <f t="shared" si="19"/>
        <v>0</v>
      </c>
      <c r="L71" s="986">
        <v>57.75</v>
      </c>
      <c r="Q71" s="361"/>
      <c r="R71" s="976"/>
    </row>
    <row r="72" spans="1:18" hidden="1" x14ac:dyDescent="0.2">
      <c r="A72" s="2088"/>
      <c r="B72" s="415" t="s">
        <v>318</v>
      </c>
      <c r="C72" s="2111"/>
      <c r="D72" s="423" t="str">
        <f>LOOKUP($C72,Исх!$A$13:$A$25,Исх!$C$13:$C$25)</f>
        <v xml:space="preserve"> </v>
      </c>
      <c r="E72" s="409" t="s">
        <v>258</v>
      </c>
      <c r="F72" s="290">
        <v>1.05</v>
      </c>
      <c r="G72" s="463"/>
      <c r="H72" s="454">
        <f t="shared" si="1"/>
        <v>0</v>
      </c>
      <c r="I72" s="989">
        <v>94.5</v>
      </c>
      <c r="J72" s="1012">
        <f t="shared" si="5"/>
        <v>0</v>
      </c>
      <c r="K72" s="1352">
        <f t="shared" si="19"/>
        <v>0</v>
      </c>
      <c r="L72" s="981">
        <v>94.5</v>
      </c>
      <c r="Q72" s="361"/>
      <c r="R72" s="976"/>
    </row>
    <row r="73" spans="1:18" hidden="1" x14ac:dyDescent="0.2">
      <c r="A73" s="2088"/>
      <c r="B73" s="2090" t="s">
        <v>612</v>
      </c>
      <c r="C73" s="2111" t="s">
        <v>1815</v>
      </c>
      <c r="D73" s="423" t="e">
        <f>LOOKUP($C73,Исх!$A$13:$A$25,Исх!$C$13:$C$25)</f>
        <v>#N/A</v>
      </c>
      <c r="E73" s="409" t="s">
        <v>258</v>
      </c>
      <c r="F73" s="290">
        <v>1</v>
      </c>
      <c r="G73" s="463">
        <f>Исх!N20</f>
        <v>0</v>
      </c>
      <c r="H73" s="454">
        <f t="shared" ref="H73" si="20">F73*G73</f>
        <v>0</v>
      </c>
      <c r="I73" s="989">
        <v>0</v>
      </c>
      <c r="J73" s="1012">
        <f t="shared" ref="J73" si="21">H73*I73</f>
        <v>0</v>
      </c>
      <c r="K73" s="1352">
        <f t="shared" si="19"/>
        <v>0</v>
      </c>
      <c r="L73" s="981">
        <v>2300</v>
      </c>
      <c r="Q73" s="361"/>
      <c r="R73" s="976"/>
    </row>
    <row r="74" spans="1:18" hidden="1" x14ac:dyDescent="0.2">
      <c r="A74" s="2088"/>
      <c r="B74" s="415" t="s">
        <v>85</v>
      </c>
      <c r="C74" s="2111"/>
      <c r="D74" s="423" t="str">
        <f>LOOKUP($C74,Исх!$A$13:$A$25,Исх!$C$13:$C$25)</f>
        <v xml:space="preserve"> </v>
      </c>
      <c r="E74" s="409" t="s">
        <v>258</v>
      </c>
      <c r="F74" s="290">
        <v>1.05</v>
      </c>
      <c r="G74" s="463"/>
      <c r="H74" s="454">
        <f t="shared" si="1"/>
        <v>0</v>
      </c>
      <c r="I74" s="989">
        <v>89.25</v>
      </c>
      <c r="J74" s="1012">
        <f t="shared" si="5"/>
        <v>0</v>
      </c>
      <c r="K74" s="1352">
        <f t="shared" si="19"/>
        <v>0</v>
      </c>
      <c r="L74" s="981">
        <v>89.25</v>
      </c>
      <c r="Q74" s="361"/>
      <c r="R74" s="976"/>
    </row>
    <row r="75" spans="1:18" hidden="1" x14ac:dyDescent="0.2">
      <c r="A75" s="2088"/>
      <c r="B75" s="415" t="s">
        <v>319</v>
      </c>
      <c r="C75" s="2111"/>
      <c r="D75" s="423" t="str">
        <f>LOOKUP($C75,Исх!$A$13:$A$25,Исх!$C$13:$C$25)</f>
        <v xml:space="preserve"> </v>
      </c>
      <c r="E75" s="409" t="s">
        <v>258</v>
      </c>
      <c r="F75" s="290">
        <v>1.05</v>
      </c>
      <c r="G75" s="463"/>
      <c r="H75" s="454">
        <f t="shared" si="1"/>
        <v>0</v>
      </c>
      <c r="I75" s="989">
        <v>64.45</v>
      </c>
      <c r="J75" s="1012">
        <f t="shared" si="5"/>
        <v>0</v>
      </c>
      <c r="K75" s="1352">
        <f t="shared" si="19"/>
        <v>0</v>
      </c>
      <c r="L75" s="981">
        <v>64.449000000000012</v>
      </c>
      <c r="Q75" s="361"/>
      <c r="R75" s="976"/>
    </row>
    <row r="76" spans="1:18" hidden="1" x14ac:dyDescent="0.2">
      <c r="A76" s="2088"/>
      <c r="B76" s="415" t="s">
        <v>357</v>
      </c>
      <c r="C76" s="2111"/>
      <c r="D76" s="423" t="str">
        <f>LOOKUP($C76,Исх!$A$13:$A$25,Исх!$C$13:$C$25)</f>
        <v xml:space="preserve"> </v>
      </c>
      <c r="E76" s="409" t="s">
        <v>258</v>
      </c>
      <c r="F76" s="290">
        <v>1.05</v>
      </c>
      <c r="G76" s="463"/>
      <c r="H76" s="454">
        <f>F76*G76</f>
        <v>0</v>
      </c>
      <c r="I76" s="989">
        <v>96.46</v>
      </c>
      <c r="J76" s="1012">
        <f>H76*I76</f>
        <v>0</v>
      </c>
      <c r="K76" s="1352">
        <f t="shared" si="19"/>
        <v>0</v>
      </c>
      <c r="L76" s="1148">
        <v>96.46</v>
      </c>
      <c r="Q76" s="361"/>
      <c r="R76" s="976"/>
    </row>
    <row r="77" spans="1:18" hidden="1" x14ac:dyDescent="0.2">
      <c r="A77" s="2088"/>
      <c r="B77" s="428" t="s">
        <v>320</v>
      </c>
      <c r="C77" s="2111"/>
      <c r="D77" s="423" t="str">
        <f>LOOKUP($C77,Исх!$A$13:$A$25,Исх!$C$13:$C$25)</f>
        <v xml:space="preserve"> </v>
      </c>
      <c r="E77" s="409" t="s">
        <v>258</v>
      </c>
      <c r="F77" s="290">
        <v>1.05</v>
      </c>
      <c r="G77" s="463"/>
      <c r="H77" s="454">
        <f t="shared" ref="H77:H101" si="22">F77*G77</f>
        <v>0</v>
      </c>
      <c r="I77" s="989">
        <v>55.77</v>
      </c>
      <c r="J77" s="1012">
        <f t="shared" ref="J77:J101" si="23">H77*I77</f>
        <v>0</v>
      </c>
      <c r="K77" s="1352">
        <f t="shared" si="19"/>
        <v>0</v>
      </c>
      <c r="L77" s="981">
        <v>55.765500000000003</v>
      </c>
      <c r="Q77" s="361"/>
      <c r="R77" s="976"/>
    </row>
    <row r="78" spans="1:18" hidden="1" x14ac:dyDescent="0.2">
      <c r="A78" s="2088"/>
      <c r="B78" s="428" t="s">
        <v>321</v>
      </c>
      <c r="C78" s="2111"/>
      <c r="D78" s="423" t="str">
        <f>LOOKUP($C78,Исх!$A$13:$A$25,Исх!$C$13:$C$25)</f>
        <v xml:space="preserve"> </v>
      </c>
      <c r="E78" s="409" t="s">
        <v>258</v>
      </c>
      <c r="F78" s="290">
        <v>1.05</v>
      </c>
      <c r="G78" s="463"/>
      <c r="H78" s="454">
        <f t="shared" si="22"/>
        <v>0</v>
      </c>
      <c r="I78" s="989">
        <v>113.28</v>
      </c>
      <c r="J78" s="1012">
        <f t="shared" si="23"/>
        <v>0</v>
      </c>
      <c r="K78" s="1352">
        <f t="shared" si="19"/>
        <v>0</v>
      </c>
      <c r="L78" s="981">
        <v>113.28450000000001</v>
      </c>
      <c r="Q78" s="361"/>
      <c r="R78" s="976"/>
    </row>
    <row r="79" spans="1:18" hidden="1" x14ac:dyDescent="0.2">
      <c r="A79" s="2088"/>
      <c r="B79" s="428" t="s">
        <v>322</v>
      </c>
      <c r="C79" s="2111"/>
      <c r="D79" s="423" t="str">
        <f>LOOKUP($C79,Исх!$A$13:$A$25,Исх!$C$13:$C$25)</f>
        <v xml:space="preserve"> </v>
      </c>
      <c r="E79" s="409" t="s">
        <v>258</v>
      </c>
      <c r="F79" s="290">
        <v>1.05</v>
      </c>
      <c r="G79" s="463"/>
      <c r="H79" s="454">
        <f t="shared" si="22"/>
        <v>0</v>
      </c>
      <c r="I79" s="989">
        <v>53.66</v>
      </c>
      <c r="J79" s="1012">
        <f t="shared" si="23"/>
        <v>0</v>
      </c>
      <c r="K79" s="1352">
        <f t="shared" si="19"/>
        <v>0</v>
      </c>
      <c r="L79" s="981">
        <v>53.655000000000001</v>
      </c>
      <c r="Q79" s="361"/>
      <c r="R79" s="976"/>
    </row>
    <row r="80" spans="1:18" hidden="1" x14ac:dyDescent="0.2">
      <c r="A80" s="2088"/>
      <c r="B80" s="428" t="s">
        <v>323</v>
      </c>
      <c r="C80" s="2111"/>
      <c r="D80" s="423" t="str">
        <f>LOOKUP($C80,Исх!$A$13:$A$25,Исх!$C$13:$C$25)</f>
        <v xml:space="preserve"> </v>
      </c>
      <c r="E80" s="409" t="s">
        <v>258</v>
      </c>
      <c r="F80" s="290">
        <v>1.05</v>
      </c>
      <c r="G80" s="463"/>
      <c r="H80" s="454">
        <f t="shared" si="22"/>
        <v>0</v>
      </c>
      <c r="I80" s="989">
        <v>103.95</v>
      </c>
      <c r="J80" s="1012">
        <f t="shared" si="23"/>
        <v>0</v>
      </c>
      <c r="K80" s="1352">
        <f t="shared" si="19"/>
        <v>0</v>
      </c>
      <c r="L80" s="981">
        <v>103.95</v>
      </c>
      <c r="Q80" s="361"/>
      <c r="R80" s="976"/>
    </row>
    <row r="81" spans="1:20" hidden="1" x14ac:dyDescent="0.2">
      <c r="A81" s="2088"/>
      <c r="B81" s="428" t="s">
        <v>80</v>
      </c>
      <c r="C81" s="2111"/>
      <c r="D81" s="423" t="str">
        <f>LOOKUP($C81,Исх!$A$13:$A$25,Исх!$C$13:$C$25)</f>
        <v xml:space="preserve"> </v>
      </c>
      <c r="E81" s="409" t="s">
        <v>258</v>
      </c>
      <c r="F81" s="290">
        <v>1.05</v>
      </c>
      <c r="G81" s="463"/>
      <c r="H81" s="454">
        <f t="shared" si="22"/>
        <v>0</v>
      </c>
      <c r="I81" s="989">
        <v>44.4</v>
      </c>
      <c r="J81" s="1012">
        <f t="shared" si="23"/>
        <v>0</v>
      </c>
      <c r="K81" s="1352">
        <f t="shared" si="19"/>
        <v>0</v>
      </c>
      <c r="L81" s="981">
        <v>44.404499999999999</v>
      </c>
      <c r="Q81" s="361"/>
      <c r="R81" s="976"/>
    </row>
    <row r="82" spans="1:20" hidden="1" x14ac:dyDescent="0.2">
      <c r="A82" s="289"/>
      <c r="B82" s="2091" t="s">
        <v>324</v>
      </c>
      <c r="C82" s="2112"/>
      <c r="D82" s="423" t="str">
        <f>LOOKUP($C82,Исх!$A$13:$A$25,Исх!$C$13:$C$25)</f>
        <v xml:space="preserve"> </v>
      </c>
      <c r="E82" s="409" t="s">
        <v>258</v>
      </c>
      <c r="F82" s="290">
        <v>1.05</v>
      </c>
      <c r="G82" s="463"/>
      <c r="H82" s="454">
        <f t="shared" si="22"/>
        <v>0</v>
      </c>
      <c r="I82" s="989">
        <v>171.5</v>
      </c>
      <c r="J82" s="1013">
        <f t="shared" si="23"/>
        <v>0</v>
      </c>
      <c r="K82" s="1352">
        <f t="shared" si="19"/>
        <v>0</v>
      </c>
      <c r="L82" s="987">
        <v>171.49650000000003</v>
      </c>
      <c r="Q82" s="361"/>
      <c r="R82" s="976"/>
    </row>
    <row r="83" spans="1:20" x14ac:dyDescent="0.2">
      <c r="A83" s="288"/>
      <c r="B83" s="424" t="s">
        <v>106</v>
      </c>
      <c r="C83" s="2097"/>
      <c r="D83" s="408"/>
      <c r="E83" s="404" t="s">
        <v>433</v>
      </c>
      <c r="F83" s="406"/>
      <c r="G83" s="464"/>
      <c r="H83" s="445"/>
      <c r="I83" s="451"/>
      <c r="J83" s="1008">
        <f>SUM(J84:J101)</f>
        <v>3074.4000000000005</v>
      </c>
      <c r="K83" s="1352">
        <f t="shared" si="19"/>
        <v>1</v>
      </c>
      <c r="L83" s="281"/>
      <c r="N83" s="28" t="s">
        <v>1242</v>
      </c>
      <c r="O83" s="239"/>
      <c r="P83" s="1821" t="s">
        <v>64</v>
      </c>
      <c r="Q83" s="1822" t="str">
        <f>IF(Исх!A2=1,Мат!O84,Мат!O87)</f>
        <v>Kaizen</v>
      </c>
      <c r="R83" s="1823" t="str">
        <f>IF(Исх!A2=1,"UER","USD")</f>
        <v>USD</v>
      </c>
      <c r="S83" s="1803" t="s">
        <v>967</v>
      </c>
      <c r="T83" s="361"/>
    </row>
    <row r="84" spans="1:20" hidden="1" x14ac:dyDescent="0.2">
      <c r="A84" s="30"/>
      <c r="B84" s="2092" t="s">
        <v>1243</v>
      </c>
      <c r="C84" s="2110"/>
      <c r="D84" s="423"/>
      <c r="E84" s="422" t="s">
        <v>258</v>
      </c>
      <c r="F84" s="291">
        <v>1.05</v>
      </c>
      <c r="G84" s="462"/>
      <c r="H84" s="453">
        <f t="shared" si="22"/>
        <v>0</v>
      </c>
      <c r="I84" s="996">
        <v>1.93</v>
      </c>
      <c r="J84" s="1009">
        <f>H84*I84*Исх!$C$2</f>
        <v>0</v>
      </c>
      <c r="K84" s="1352">
        <f t="shared" si="19"/>
        <v>0</v>
      </c>
      <c r="L84" s="1841">
        <f>T84</f>
        <v>1.93</v>
      </c>
      <c r="N84" s="1807">
        <f>ROUNDUP(P84/1.2,2)</f>
        <v>5.59</v>
      </c>
      <c r="O84" s="1824" t="s">
        <v>1251</v>
      </c>
      <c r="P84" s="1806">
        <v>6.7</v>
      </c>
      <c r="Q84" s="361" t="s">
        <v>1008</v>
      </c>
      <c r="S84" s="1965">
        <f>53*65/10000</f>
        <v>0.34449999999999997</v>
      </c>
      <c r="T84" s="1966">
        <f>ROUNDUP(S84*$N$84,2)</f>
        <v>1.93</v>
      </c>
    </row>
    <row r="85" spans="1:20" hidden="1" x14ac:dyDescent="0.2">
      <c r="A85" s="30"/>
      <c r="B85" s="2093" t="s">
        <v>1248</v>
      </c>
      <c r="C85" s="2111"/>
      <c r="D85" s="423"/>
      <c r="E85" s="409" t="s">
        <v>258</v>
      </c>
      <c r="F85" s="290">
        <v>1.05</v>
      </c>
      <c r="G85" s="463"/>
      <c r="H85" s="454">
        <f t="shared" ref="H85" si="24">F85*G85</f>
        <v>0</v>
      </c>
      <c r="I85" s="1801">
        <f>L85</f>
        <v>1.23</v>
      </c>
      <c r="J85" s="1009">
        <f>H85*I85*Исх!$C$3</f>
        <v>0</v>
      </c>
      <c r="K85" s="1352">
        <f t="shared" ref="K85" si="25">IF(J85&gt;0,1,0)</f>
        <v>0</v>
      </c>
      <c r="L85" s="1841">
        <f>T85</f>
        <v>1.23</v>
      </c>
      <c r="N85" s="1807"/>
      <c r="O85" s="1824"/>
      <c r="P85" s="1316"/>
      <c r="Q85" s="361"/>
      <c r="S85" s="1965">
        <f>53*65/10000</f>
        <v>0.34449999999999997</v>
      </c>
      <c r="T85" s="1967">
        <f>ROUNDUP(S85*$N$87,2)</f>
        <v>1.23</v>
      </c>
    </row>
    <row r="86" spans="1:20" hidden="1" x14ac:dyDescent="0.2">
      <c r="A86" s="30"/>
      <c r="B86" s="2092" t="s">
        <v>1244</v>
      </c>
      <c r="C86" s="2111"/>
      <c r="D86" s="423"/>
      <c r="E86" s="409" t="s">
        <v>258</v>
      </c>
      <c r="F86" s="290">
        <v>1.05</v>
      </c>
      <c r="G86" s="463"/>
      <c r="H86" s="454">
        <f>F86*G86</f>
        <v>0</v>
      </c>
      <c r="I86" s="996">
        <f t="shared" ref="I86:I93" si="26">L86</f>
        <v>2.8699999999999997</v>
      </c>
      <c r="J86" s="1009">
        <f>H86*I86*Исх!$C$2</f>
        <v>0</v>
      </c>
      <c r="K86" s="1352">
        <f t="shared" si="19"/>
        <v>0</v>
      </c>
      <c r="L86" s="1841">
        <f t="shared" ref="L86:L94" si="27">T86</f>
        <v>2.8699999999999997</v>
      </c>
      <c r="N86" s="1807"/>
      <c r="O86" s="1824"/>
      <c r="Q86" s="361"/>
      <c r="S86" s="1965">
        <f>60.8*84.4/10000</f>
        <v>0.51315200000000005</v>
      </c>
      <c r="T86" s="1966">
        <f>ROUNDUP(S86*$N$84,2)</f>
        <v>2.8699999999999997</v>
      </c>
    </row>
    <row r="87" spans="1:20" hidden="1" x14ac:dyDescent="0.2">
      <c r="A87" s="30"/>
      <c r="B87" s="2093" t="s">
        <v>1250</v>
      </c>
      <c r="C87" s="2111"/>
      <c r="D87" s="423"/>
      <c r="E87" s="409" t="s">
        <v>258</v>
      </c>
      <c r="F87" s="290">
        <v>1.05</v>
      </c>
      <c r="G87" s="463"/>
      <c r="H87" s="454">
        <f>F87*G87</f>
        <v>0</v>
      </c>
      <c r="I87" s="1801">
        <f t="shared" si="26"/>
        <v>1.83</v>
      </c>
      <c r="J87" s="1009">
        <f>H87*I87*Исх!$C$3</f>
        <v>0</v>
      </c>
      <c r="K87" s="1352">
        <f t="shared" si="19"/>
        <v>0</v>
      </c>
      <c r="L87" s="1841">
        <f t="shared" si="27"/>
        <v>1.83</v>
      </c>
      <c r="N87" s="1807">
        <f>ROUNDUP(P87/1.2,2)</f>
        <v>3.55</v>
      </c>
      <c r="O87" s="1824" t="s">
        <v>1365</v>
      </c>
      <c r="P87" s="1805">
        <v>4.25</v>
      </c>
      <c r="Q87" s="361" t="s">
        <v>1008</v>
      </c>
      <c r="S87" s="1965">
        <f>60.8*84.4/10000</f>
        <v>0.51315200000000005</v>
      </c>
      <c r="T87" s="1967">
        <f>ROUNDUP(S87*$N$87,2)</f>
        <v>1.83</v>
      </c>
    </row>
    <row r="88" spans="1:20" hidden="1" x14ac:dyDescent="0.2">
      <c r="A88" s="30"/>
      <c r="B88" s="2092" t="s">
        <v>305</v>
      </c>
      <c r="C88" s="2111"/>
      <c r="D88" s="423"/>
      <c r="E88" s="409" t="s">
        <v>258</v>
      </c>
      <c r="F88" s="290">
        <v>1.05</v>
      </c>
      <c r="G88" s="463"/>
      <c r="H88" s="454">
        <f t="shared" si="22"/>
        <v>0</v>
      </c>
      <c r="I88" s="996">
        <v>1.19</v>
      </c>
      <c r="J88" s="1009">
        <f>H88*I88*Исх!$C$2</f>
        <v>0</v>
      </c>
      <c r="K88" s="1352">
        <f t="shared" si="19"/>
        <v>0</v>
      </c>
      <c r="L88" s="1841">
        <f t="shared" si="27"/>
        <v>1.19</v>
      </c>
      <c r="N88" s="235"/>
      <c r="O88" s="368"/>
      <c r="S88" s="1965">
        <f>40*53/10000</f>
        <v>0.21199999999999999</v>
      </c>
      <c r="T88" s="1966">
        <f>ROUNDUP(S88*$N$84,2)</f>
        <v>1.19</v>
      </c>
    </row>
    <row r="89" spans="1:20" hidden="1" x14ac:dyDescent="0.2">
      <c r="A89" s="30"/>
      <c r="B89" s="2092" t="s">
        <v>1245</v>
      </c>
      <c r="C89" s="2111"/>
      <c r="D89" s="423"/>
      <c r="E89" s="409" t="s">
        <v>258</v>
      </c>
      <c r="F89" s="290">
        <v>1.05</v>
      </c>
      <c r="G89" s="463"/>
      <c r="H89" s="454">
        <f>F89*G89</f>
        <v>0</v>
      </c>
      <c r="I89" s="996">
        <v>1.59</v>
      </c>
      <c r="J89" s="1009">
        <f>H89*I89*Исх!$C$2</f>
        <v>0</v>
      </c>
      <c r="K89" s="1352">
        <f t="shared" si="19"/>
        <v>0</v>
      </c>
      <c r="L89" s="1841">
        <f t="shared" si="27"/>
        <v>1.59</v>
      </c>
      <c r="O89" s="368"/>
      <c r="S89" s="1965">
        <f>45*63/10000</f>
        <v>0.28349999999999997</v>
      </c>
      <c r="T89" s="1966">
        <f>ROUNDUP(S89*$N$84,2)</f>
        <v>1.59</v>
      </c>
    </row>
    <row r="90" spans="1:20" hidden="1" x14ac:dyDescent="0.2">
      <c r="A90" s="30"/>
      <c r="B90" s="2093" t="s">
        <v>1249</v>
      </c>
      <c r="C90" s="2111"/>
      <c r="D90" s="423"/>
      <c r="E90" s="409" t="s">
        <v>258</v>
      </c>
      <c r="F90" s="290">
        <v>1.05</v>
      </c>
      <c r="G90" s="463"/>
      <c r="H90" s="454">
        <f>F90*G90</f>
        <v>0</v>
      </c>
      <c r="I90" s="1801">
        <v>1.01</v>
      </c>
      <c r="J90" s="1009">
        <f>H90*I90*Исх!$C$3</f>
        <v>0</v>
      </c>
      <c r="K90" s="1352">
        <f t="shared" ref="K90" si="28">IF(J90&gt;0,1,0)</f>
        <v>0</v>
      </c>
      <c r="L90" s="1841">
        <f t="shared" si="27"/>
        <v>1.01</v>
      </c>
      <c r="N90" s="29"/>
      <c r="O90" s="1804"/>
      <c r="S90" s="1965">
        <f>45*63/10000</f>
        <v>0.28349999999999997</v>
      </c>
      <c r="T90" s="1967">
        <f>ROUNDUP(S90*$N$87,2)</f>
        <v>1.01</v>
      </c>
    </row>
    <row r="91" spans="1:20" hidden="1" x14ac:dyDescent="0.2">
      <c r="A91" s="30"/>
      <c r="B91" s="1972" t="s">
        <v>1246</v>
      </c>
      <c r="C91" s="2111"/>
      <c r="D91" s="423"/>
      <c r="E91" s="409" t="s">
        <v>258</v>
      </c>
      <c r="F91" s="290">
        <v>1.05</v>
      </c>
      <c r="G91" s="1973">
        <f>IF(Исх!$A$2=1,Исх!$N$16,0)</f>
        <v>0</v>
      </c>
      <c r="H91" s="454">
        <f t="shared" si="22"/>
        <v>0</v>
      </c>
      <c r="I91" s="996">
        <v>3.39</v>
      </c>
      <c r="J91" s="1009">
        <f>H91*I91*Исх!$C$2</f>
        <v>0</v>
      </c>
      <c r="K91" s="1352">
        <f t="shared" si="19"/>
        <v>0</v>
      </c>
      <c r="L91" s="1971">
        <f t="shared" si="27"/>
        <v>3.3899999999999997</v>
      </c>
      <c r="N91" s="29"/>
      <c r="O91" s="1804"/>
      <c r="S91" s="1968">
        <f>66.5*91/10000</f>
        <v>0.60514999999999997</v>
      </c>
      <c r="T91" s="1969">
        <f>ROUNDUP(S91*$N$84,2)</f>
        <v>3.3899999999999997</v>
      </c>
    </row>
    <row r="92" spans="1:20" hidden="1" x14ac:dyDescent="0.2">
      <c r="A92" s="30"/>
      <c r="B92" s="1342" t="s">
        <v>1366</v>
      </c>
      <c r="C92" s="2111" t="s">
        <v>1815</v>
      </c>
      <c r="D92" s="423"/>
      <c r="E92" s="409" t="s">
        <v>258</v>
      </c>
      <c r="F92" s="290">
        <v>1.05</v>
      </c>
      <c r="G92" s="463">
        <f>IF(Исх!$A$2=2,Исх!$N$16,0)</f>
        <v>0</v>
      </c>
      <c r="H92" s="454">
        <f t="shared" ref="H92" si="29">F92*G92</f>
        <v>0</v>
      </c>
      <c r="I92" s="1801">
        <v>2.15</v>
      </c>
      <c r="J92" s="1009">
        <f>H92*I92*Исх!$C$3</f>
        <v>0</v>
      </c>
      <c r="K92" s="1352">
        <f t="shared" ref="K92" si="30">IF(J92&gt;0,1,0)</f>
        <v>0</v>
      </c>
      <c r="L92" s="2015">
        <f t="shared" si="27"/>
        <v>2.15</v>
      </c>
      <c r="S92" s="1968">
        <f>66.5*91/10000</f>
        <v>0.60514999999999997</v>
      </c>
      <c r="T92" s="1970">
        <f>ROUNDUP(S92*$N$87,2)</f>
        <v>2.15</v>
      </c>
    </row>
    <row r="93" spans="1:20" hidden="1" x14ac:dyDescent="0.2">
      <c r="A93" s="30"/>
      <c r="B93" s="2092" t="s">
        <v>1247</v>
      </c>
      <c r="C93" s="2111"/>
      <c r="D93" s="423"/>
      <c r="E93" s="409" t="s">
        <v>258</v>
      </c>
      <c r="F93" s="290">
        <v>1.05</v>
      </c>
      <c r="G93" s="1973">
        <f>IF(Исх!$A$2=1,Исх!$N$25,0)</f>
        <v>0</v>
      </c>
      <c r="H93" s="454">
        <f>F93*G93</f>
        <v>0</v>
      </c>
      <c r="I93" s="996">
        <f t="shared" si="26"/>
        <v>2.8699999999999997</v>
      </c>
      <c r="J93" s="1009">
        <f>H93*I93*Исх!$C$2</f>
        <v>0</v>
      </c>
      <c r="K93" s="1352">
        <f t="shared" si="19"/>
        <v>0</v>
      </c>
      <c r="L93" s="1971">
        <f t="shared" si="27"/>
        <v>2.8699999999999997</v>
      </c>
      <c r="S93" s="1968">
        <f>60.8*84.4/10000</f>
        <v>0.51315200000000005</v>
      </c>
      <c r="T93" s="1969">
        <f>ROUNDUP(S93*$N$84,2)</f>
        <v>2.8699999999999997</v>
      </c>
    </row>
    <row r="94" spans="1:20" x14ac:dyDescent="0.2">
      <c r="A94" s="30"/>
      <c r="B94" s="2094" t="s">
        <v>1367</v>
      </c>
      <c r="C94" s="2111" t="s">
        <v>1815</v>
      </c>
      <c r="D94" s="423"/>
      <c r="E94" s="409" t="s">
        <v>258</v>
      </c>
      <c r="F94" s="290">
        <v>1.05</v>
      </c>
      <c r="G94" s="463">
        <f>IF(Исх!$A$2=2,Исх!$N$25,0)</f>
        <v>16</v>
      </c>
      <c r="H94" s="454">
        <f>F94*G94</f>
        <v>16.8</v>
      </c>
      <c r="I94" s="1801">
        <f>L94</f>
        <v>1.83</v>
      </c>
      <c r="J94" s="1009">
        <f>H94*I94*Исх!$C$3</f>
        <v>3074.4000000000005</v>
      </c>
      <c r="K94" s="1352">
        <f t="shared" si="19"/>
        <v>1</v>
      </c>
      <c r="L94" s="2015">
        <f t="shared" si="27"/>
        <v>1.83</v>
      </c>
      <c r="O94" s="368"/>
      <c r="Q94" s="361"/>
      <c r="R94" s="361"/>
      <c r="S94" s="1968">
        <f>60.8*84.4/10000</f>
        <v>0.51315200000000005</v>
      </c>
      <c r="T94" s="1970">
        <f>ROUNDUP(S94*$N$87,2)</f>
        <v>1.83</v>
      </c>
    </row>
    <row r="95" spans="1:20" hidden="1" x14ac:dyDescent="0.2">
      <c r="A95" s="30"/>
      <c r="B95" s="2087" t="s">
        <v>1070</v>
      </c>
      <c r="C95" s="2111" t="s">
        <v>1815</v>
      </c>
      <c r="D95" s="423" t="s">
        <v>264</v>
      </c>
      <c r="E95" s="409" t="s">
        <v>258</v>
      </c>
      <c r="F95" s="290">
        <v>1</v>
      </c>
      <c r="G95" s="463">
        <f>IF(SUM(G60:G62)&gt;0,1,0)</f>
        <v>0</v>
      </c>
      <c r="H95" s="454">
        <f>F95*G95</f>
        <v>0</v>
      </c>
      <c r="I95" s="996">
        <v>75.430000000000007</v>
      </c>
      <c r="J95" s="1009">
        <f>H95*I95*Исх!$C$2</f>
        <v>0</v>
      </c>
      <c r="K95" s="1352">
        <f t="shared" ref="K95" si="31">IF(J95&gt;0,1,0)</f>
        <v>0</v>
      </c>
      <c r="L95" s="1321">
        <v>75.430000000000007</v>
      </c>
      <c r="O95" s="368"/>
      <c r="Q95" s="361"/>
      <c r="R95" s="361"/>
    </row>
    <row r="96" spans="1:20" hidden="1" x14ac:dyDescent="0.2">
      <c r="A96" s="30"/>
      <c r="B96" s="2087" t="s">
        <v>325</v>
      </c>
      <c r="C96" s="2111"/>
      <c r="D96" s="423" t="str">
        <f>LOOKUP($C96,Исх!$A$13:$A$21,Исх!$C$13:$C$21)</f>
        <v xml:space="preserve"> </v>
      </c>
      <c r="E96" s="409" t="s">
        <v>258</v>
      </c>
      <c r="F96" s="290">
        <v>1.05</v>
      </c>
      <c r="G96" s="463"/>
      <c r="H96" s="454">
        <f t="shared" si="22"/>
        <v>0</v>
      </c>
      <c r="I96" s="989">
        <f t="shared" ref="I96:I97" si="32">L96+(L96*$M$3)</f>
        <v>25</v>
      </c>
      <c r="J96" s="1012">
        <f t="shared" si="23"/>
        <v>0</v>
      </c>
      <c r="K96" s="1352">
        <f t="shared" si="19"/>
        <v>0</v>
      </c>
      <c r="L96" s="981">
        <v>25</v>
      </c>
    </row>
    <row r="97" spans="1:12" hidden="1" x14ac:dyDescent="0.2">
      <c r="A97" s="30"/>
      <c r="B97" s="2087" t="s">
        <v>326</v>
      </c>
      <c r="C97" s="2111"/>
      <c r="D97" s="423" t="str">
        <f>LOOKUP($C97,Исх!$A$13:$A$21,Исх!$C$13:$C$21)</f>
        <v xml:space="preserve"> </v>
      </c>
      <c r="E97" s="409" t="s">
        <v>258</v>
      </c>
      <c r="F97" s="290">
        <v>1.05</v>
      </c>
      <c r="G97" s="463"/>
      <c r="H97" s="454">
        <f t="shared" si="22"/>
        <v>0</v>
      </c>
      <c r="I97" s="989">
        <f t="shared" si="32"/>
        <v>35</v>
      </c>
      <c r="J97" s="1012">
        <f t="shared" si="23"/>
        <v>0</v>
      </c>
      <c r="K97" s="1352">
        <f t="shared" si="19"/>
        <v>0</v>
      </c>
      <c r="L97" s="981">
        <v>35</v>
      </c>
    </row>
    <row r="98" spans="1:12" hidden="1" x14ac:dyDescent="0.2">
      <c r="A98" s="30"/>
      <c r="B98" s="2087" t="s">
        <v>327</v>
      </c>
      <c r="C98" s="2111"/>
      <c r="D98" s="423" t="str">
        <f>LOOKUP($C98,Исх!$A$13:$A$21,Исх!$C$13:$C$21)</f>
        <v xml:space="preserve"> </v>
      </c>
      <c r="E98" s="409" t="s">
        <v>258</v>
      </c>
      <c r="F98" s="290">
        <v>1.05</v>
      </c>
      <c r="G98" s="463"/>
      <c r="H98" s="454">
        <f t="shared" si="22"/>
        <v>0</v>
      </c>
      <c r="I98" s="989">
        <v>20</v>
      </c>
      <c r="J98" s="1012">
        <f t="shared" si="23"/>
        <v>0</v>
      </c>
      <c r="K98" s="1352">
        <f t="shared" si="19"/>
        <v>0</v>
      </c>
      <c r="L98" s="981">
        <v>20</v>
      </c>
    </row>
    <row r="99" spans="1:12" hidden="1" x14ac:dyDescent="0.2">
      <c r="A99" s="30"/>
      <c r="B99" s="2087" t="s">
        <v>328</v>
      </c>
      <c r="C99" s="2111"/>
      <c r="D99" s="423" t="str">
        <f>LOOKUP($C99,Исх!$A$13:$A$21,Исх!$C$13:$C$21)</f>
        <v xml:space="preserve"> </v>
      </c>
      <c r="E99" s="409" t="s">
        <v>258</v>
      </c>
      <c r="F99" s="290">
        <v>1.05</v>
      </c>
      <c r="G99" s="463"/>
      <c r="H99" s="454">
        <f t="shared" si="22"/>
        <v>0</v>
      </c>
      <c r="I99" s="989">
        <v>30</v>
      </c>
      <c r="J99" s="1012">
        <f t="shared" si="23"/>
        <v>0</v>
      </c>
      <c r="K99" s="1352">
        <f t="shared" si="19"/>
        <v>0</v>
      </c>
      <c r="L99" s="981">
        <v>30</v>
      </c>
    </row>
    <row r="100" spans="1:12" hidden="1" x14ac:dyDescent="0.2">
      <c r="A100" s="30"/>
      <c r="B100" s="2087" t="s">
        <v>329</v>
      </c>
      <c r="C100" s="2111"/>
      <c r="D100" s="423" t="str">
        <f>LOOKUP($C100,Исх!$A$13:$A$21,Исх!$C$13:$C$21)</f>
        <v xml:space="preserve"> </v>
      </c>
      <c r="E100" s="409" t="s">
        <v>258</v>
      </c>
      <c r="F100" s="290">
        <v>1.05</v>
      </c>
      <c r="G100" s="463"/>
      <c r="H100" s="454">
        <f t="shared" si="22"/>
        <v>0</v>
      </c>
      <c r="I100" s="989">
        <v>15</v>
      </c>
      <c r="J100" s="1012">
        <f t="shared" si="23"/>
        <v>0</v>
      </c>
      <c r="K100" s="1352">
        <f t="shared" si="19"/>
        <v>0</v>
      </c>
      <c r="L100" s="981">
        <v>15</v>
      </c>
    </row>
    <row r="101" spans="1:12" hidden="1" x14ac:dyDescent="0.2">
      <c r="A101" s="30"/>
      <c r="B101" s="2087" t="s">
        <v>330</v>
      </c>
      <c r="C101" s="2112"/>
      <c r="D101" s="423" t="str">
        <f>LOOKUP($C101,Исх!$A$13:$A$21,Исх!$C$13:$C$21)</f>
        <v xml:space="preserve"> </v>
      </c>
      <c r="E101" s="430" t="s">
        <v>258</v>
      </c>
      <c r="F101" s="1799">
        <v>1.05</v>
      </c>
      <c r="G101" s="1800"/>
      <c r="H101" s="1802">
        <f t="shared" si="22"/>
        <v>0</v>
      </c>
      <c r="I101" s="989">
        <v>18</v>
      </c>
      <c r="J101" s="1013">
        <f t="shared" si="23"/>
        <v>0</v>
      </c>
      <c r="K101" s="1352">
        <f t="shared" si="19"/>
        <v>0</v>
      </c>
      <c r="L101" s="987">
        <v>18</v>
      </c>
    </row>
    <row r="102" spans="1:12" x14ac:dyDescent="0.2">
      <c r="A102" s="287"/>
      <c r="B102" s="425" t="s">
        <v>192</v>
      </c>
      <c r="C102" s="2096"/>
      <c r="D102" s="405"/>
      <c r="E102" s="404"/>
      <c r="F102" s="406"/>
      <c r="G102" s="464"/>
      <c r="H102" s="445"/>
      <c r="I102" s="455"/>
      <c r="J102" s="1010">
        <f>SUM(J71:J82)+SUM(J84:J101)</f>
        <v>3074.4000000000005</v>
      </c>
      <c r="K102" s="1352">
        <f t="shared" si="19"/>
        <v>1</v>
      </c>
      <c r="L102" s="279"/>
    </row>
    <row r="103" spans="1:12" x14ac:dyDescent="0.2">
      <c r="A103" s="282"/>
      <c r="B103" s="403" t="s">
        <v>347</v>
      </c>
      <c r="C103" s="2096"/>
      <c r="D103" s="405"/>
      <c r="E103" s="404"/>
      <c r="F103" s="406"/>
      <c r="G103" s="464"/>
      <c r="H103" s="445"/>
      <c r="I103" s="445"/>
      <c r="J103" s="1007">
        <f>J189</f>
        <v>118.75</v>
      </c>
      <c r="K103" s="1352">
        <f t="shared" si="19"/>
        <v>1</v>
      </c>
      <c r="L103" s="279"/>
    </row>
    <row r="104" spans="1:12" hidden="1" x14ac:dyDescent="0.2">
      <c r="A104" s="284"/>
      <c r="B104" s="424" t="s">
        <v>331</v>
      </c>
      <c r="C104" s="2097"/>
      <c r="D104" s="408"/>
      <c r="E104" s="297"/>
      <c r="F104" s="366"/>
      <c r="G104" s="459"/>
      <c r="H104" s="283"/>
      <c r="I104" s="283"/>
      <c r="J104" s="1008">
        <f>J111</f>
        <v>0</v>
      </c>
      <c r="K104" s="1352">
        <f t="shared" si="19"/>
        <v>0</v>
      </c>
      <c r="L104" s="279"/>
    </row>
    <row r="105" spans="1:12" hidden="1" x14ac:dyDescent="0.2">
      <c r="A105" s="30"/>
      <c r="B105" s="415" t="s">
        <v>332</v>
      </c>
      <c r="D105" s="416"/>
      <c r="E105" s="409" t="s">
        <v>333</v>
      </c>
      <c r="F105" s="66">
        <v>1</v>
      </c>
      <c r="G105" s="465"/>
      <c r="H105" s="26">
        <f t="shared" ref="H105:H117" si="33">F105*G105</f>
        <v>0</v>
      </c>
      <c r="I105" s="982">
        <v>7.3</v>
      </c>
      <c r="J105" s="1009">
        <f t="shared" ref="J105:J182" si="34">H105*I105</f>
        <v>0</v>
      </c>
      <c r="K105" s="1352">
        <f t="shared" si="19"/>
        <v>0</v>
      </c>
      <c r="L105" s="990">
        <v>7.3</v>
      </c>
    </row>
    <row r="106" spans="1:12" hidden="1" x14ac:dyDescent="0.2">
      <c r="A106" s="30"/>
      <c r="B106" s="415" t="s">
        <v>335</v>
      </c>
      <c r="D106" s="416"/>
      <c r="E106" s="409" t="s">
        <v>333</v>
      </c>
      <c r="F106" s="66">
        <v>1</v>
      </c>
      <c r="G106" s="465">
        <f>G71</f>
        <v>0</v>
      </c>
      <c r="H106" s="26">
        <f t="shared" si="33"/>
        <v>0</v>
      </c>
      <c r="I106" s="982">
        <v>14.61</v>
      </c>
      <c r="J106" s="1009">
        <f t="shared" si="34"/>
        <v>0</v>
      </c>
      <c r="K106" s="1352">
        <f t="shared" si="19"/>
        <v>0</v>
      </c>
      <c r="L106" s="990">
        <v>14.61</v>
      </c>
    </row>
    <row r="107" spans="1:12" hidden="1" x14ac:dyDescent="0.2">
      <c r="A107" s="30"/>
      <c r="B107" s="415" t="s">
        <v>336</v>
      </c>
      <c r="D107" s="416"/>
      <c r="E107" s="409" t="s">
        <v>337</v>
      </c>
      <c r="F107" s="66">
        <v>1</v>
      </c>
      <c r="G107" s="465"/>
      <c r="H107" s="26">
        <f t="shared" si="33"/>
        <v>0</v>
      </c>
      <c r="I107" s="982">
        <v>121.54</v>
      </c>
      <c r="J107" s="1009">
        <f t="shared" si="34"/>
        <v>0</v>
      </c>
      <c r="K107" s="1352">
        <f t="shared" si="19"/>
        <v>0</v>
      </c>
      <c r="L107" s="990">
        <v>121.54</v>
      </c>
    </row>
    <row r="108" spans="1:12" hidden="1" x14ac:dyDescent="0.2">
      <c r="A108" s="30"/>
      <c r="B108" s="415" t="s">
        <v>338</v>
      </c>
      <c r="D108" s="416"/>
      <c r="E108" s="409" t="s">
        <v>337</v>
      </c>
      <c r="F108" s="66">
        <v>1</v>
      </c>
      <c r="G108" s="465"/>
      <c r="H108" s="26">
        <f t="shared" si="33"/>
        <v>0</v>
      </c>
      <c r="I108" s="982">
        <v>141.99</v>
      </c>
      <c r="J108" s="1009">
        <f t="shared" si="34"/>
        <v>0</v>
      </c>
      <c r="K108" s="1352">
        <f t="shared" si="19"/>
        <v>0</v>
      </c>
      <c r="L108" s="990">
        <v>141.99</v>
      </c>
    </row>
    <row r="109" spans="1:12" hidden="1" x14ac:dyDescent="0.2">
      <c r="A109" s="30"/>
      <c r="B109" s="428" t="s">
        <v>339</v>
      </c>
      <c r="D109" s="416"/>
      <c r="E109" s="409" t="s">
        <v>337</v>
      </c>
      <c r="F109" s="66">
        <v>1</v>
      </c>
      <c r="G109" s="465"/>
      <c r="H109" s="26">
        <f t="shared" si="33"/>
        <v>0</v>
      </c>
      <c r="I109" s="982">
        <v>6.63</v>
      </c>
      <c r="J109" s="1009">
        <f t="shared" si="34"/>
        <v>0</v>
      </c>
      <c r="K109" s="1352">
        <f t="shared" si="19"/>
        <v>0</v>
      </c>
      <c r="L109" s="990">
        <v>6.63</v>
      </c>
    </row>
    <row r="110" spans="1:12" hidden="1" x14ac:dyDescent="0.2">
      <c r="A110" s="30"/>
      <c r="B110" s="428" t="s">
        <v>340</v>
      </c>
      <c r="D110" s="416"/>
      <c r="E110" s="409" t="s">
        <v>337</v>
      </c>
      <c r="F110" s="66">
        <v>1</v>
      </c>
      <c r="G110" s="465"/>
      <c r="H110" s="26">
        <f t="shared" si="33"/>
        <v>0</v>
      </c>
      <c r="I110" s="982">
        <v>10.119999999999999</v>
      </c>
      <c r="J110" s="1009">
        <f t="shared" si="34"/>
        <v>0</v>
      </c>
      <c r="K110" s="1352">
        <f t="shared" si="19"/>
        <v>0</v>
      </c>
      <c r="L110" s="990">
        <v>10.119999999999999</v>
      </c>
    </row>
    <row r="111" spans="1:12" hidden="1" x14ac:dyDescent="0.2">
      <c r="A111" s="287"/>
      <c r="B111" s="425" t="s">
        <v>195</v>
      </c>
      <c r="C111" s="2096"/>
      <c r="D111" s="405"/>
      <c r="E111" s="404"/>
      <c r="F111" s="406"/>
      <c r="G111" s="464"/>
      <c r="H111" s="445"/>
      <c r="I111" s="455"/>
      <c r="J111" s="1010">
        <f>SUM(J105:J110)</f>
        <v>0</v>
      </c>
      <c r="K111" s="1352">
        <f t="shared" si="19"/>
        <v>0</v>
      </c>
      <c r="L111" s="279"/>
    </row>
    <row r="112" spans="1:12" hidden="1" x14ac:dyDescent="0.2">
      <c r="A112" s="282"/>
      <c r="B112" s="426" t="s">
        <v>341</v>
      </c>
      <c r="C112" s="2097"/>
      <c r="D112" s="408"/>
      <c r="E112" s="297"/>
      <c r="F112" s="366"/>
      <c r="G112" s="459"/>
      <c r="H112" s="283"/>
      <c r="I112" s="283"/>
      <c r="J112" s="1008">
        <f>J118</f>
        <v>0</v>
      </c>
      <c r="K112" s="1352">
        <f t="shared" si="19"/>
        <v>0</v>
      </c>
      <c r="L112" s="279"/>
    </row>
    <row r="113" spans="1:27" hidden="1" x14ac:dyDescent="0.2">
      <c r="A113" s="30"/>
      <c r="B113" s="415" t="s">
        <v>343</v>
      </c>
      <c r="D113" s="416"/>
      <c r="E113" s="409" t="s">
        <v>344</v>
      </c>
      <c r="F113" s="66">
        <v>1</v>
      </c>
      <c r="G113" s="465"/>
      <c r="H113" s="26">
        <f t="shared" si="33"/>
        <v>0</v>
      </c>
      <c r="I113" s="982">
        <v>297.11</v>
      </c>
      <c r="J113" s="1009">
        <f t="shared" si="34"/>
        <v>0</v>
      </c>
      <c r="K113" s="1352">
        <f t="shared" si="19"/>
        <v>0</v>
      </c>
      <c r="L113" s="1322">
        <v>297.11</v>
      </c>
    </row>
    <row r="114" spans="1:27" hidden="1" x14ac:dyDescent="0.2">
      <c r="A114" s="30"/>
      <c r="B114" s="415" t="s">
        <v>345</v>
      </c>
      <c r="D114" s="416"/>
      <c r="E114" s="409" t="s">
        <v>344</v>
      </c>
      <c r="F114" s="66">
        <v>1</v>
      </c>
      <c r="G114" s="465"/>
      <c r="H114" s="26">
        <f t="shared" si="33"/>
        <v>0</v>
      </c>
      <c r="I114" s="982">
        <v>309.52</v>
      </c>
      <c r="J114" s="1009">
        <f t="shared" si="34"/>
        <v>0</v>
      </c>
      <c r="K114" s="1352">
        <f t="shared" si="19"/>
        <v>0</v>
      </c>
      <c r="L114" s="1148">
        <v>309.52</v>
      </c>
    </row>
    <row r="115" spans="1:27" hidden="1" x14ac:dyDescent="0.2">
      <c r="A115" s="30"/>
      <c r="B115" s="415" t="s">
        <v>86</v>
      </c>
      <c r="D115" s="416"/>
      <c r="E115" s="409" t="s">
        <v>344</v>
      </c>
      <c r="F115" s="66">
        <v>1</v>
      </c>
      <c r="G115" s="465"/>
      <c r="H115" s="26">
        <f t="shared" si="33"/>
        <v>0</v>
      </c>
      <c r="I115" s="982">
        <v>139.59</v>
      </c>
      <c r="J115" s="1009">
        <f t="shared" si="34"/>
        <v>0</v>
      </c>
      <c r="K115" s="1352">
        <f t="shared" si="19"/>
        <v>0</v>
      </c>
      <c r="L115" s="1148">
        <v>139.59</v>
      </c>
      <c r="N115" s="240"/>
    </row>
    <row r="116" spans="1:27" hidden="1" x14ac:dyDescent="0.2">
      <c r="A116" s="30"/>
      <c r="B116" s="415" t="s">
        <v>87</v>
      </c>
      <c r="D116" s="416"/>
      <c r="E116" s="409" t="s">
        <v>222</v>
      </c>
      <c r="F116" s="66">
        <v>1</v>
      </c>
      <c r="G116" s="465"/>
      <c r="H116" s="26">
        <f t="shared" si="33"/>
        <v>0</v>
      </c>
      <c r="I116" s="982">
        <v>173.12</v>
      </c>
      <c r="J116" s="1009">
        <f t="shared" si="34"/>
        <v>0</v>
      </c>
      <c r="K116" s="1352">
        <f t="shared" si="19"/>
        <v>0</v>
      </c>
      <c r="L116" s="1148">
        <v>173.12</v>
      </c>
      <c r="N116" s="240"/>
    </row>
    <row r="117" spans="1:27" hidden="1" x14ac:dyDescent="0.2">
      <c r="A117" s="30"/>
      <c r="B117" s="415" t="s">
        <v>346</v>
      </c>
      <c r="D117" s="416"/>
      <c r="E117" s="409" t="s">
        <v>344</v>
      </c>
      <c r="F117" s="66">
        <v>1</v>
      </c>
      <c r="G117" s="465"/>
      <c r="H117" s="26">
        <f t="shared" si="33"/>
        <v>0</v>
      </c>
      <c r="I117" s="982">
        <v>222.31</v>
      </c>
      <c r="J117" s="1009">
        <f t="shared" si="34"/>
        <v>0</v>
      </c>
      <c r="K117" s="1352">
        <f t="shared" si="19"/>
        <v>0</v>
      </c>
      <c r="L117" s="1322">
        <v>222.31</v>
      </c>
    </row>
    <row r="118" spans="1:27" hidden="1" x14ac:dyDescent="0.2">
      <c r="A118" s="287"/>
      <c r="B118" s="425" t="s">
        <v>191</v>
      </c>
      <c r="C118" s="2096"/>
      <c r="D118" s="405"/>
      <c r="E118" s="404"/>
      <c r="F118" s="406"/>
      <c r="G118" s="464"/>
      <c r="H118" s="445"/>
      <c r="I118" s="455"/>
      <c r="J118" s="1010">
        <f>SUM(J113:J117)</f>
        <v>0</v>
      </c>
      <c r="K118" s="1352">
        <f t="shared" si="19"/>
        <v>0</v>
      </c>
      <c r="L118" s="279"/>
    </row>
    <row r="119" spans="1:27" x14ac:dyDescent="0.2">
      <c r="A119" s="282"/>
      <c r="B119" s="426" t="s">
        <v>150</v>
      </c>
      <c r="C119" s="2097"/>
      <c r="D119" s="408"/>
      <c r="E119" s="297"/>
      <c r="F119" s="366"/>
      <c r="G119" s="459"/>
      <c r="H119" s="283"/>
      <c r="I119" s="283"/>
      <c r="J119" s="1008">
        <f>J188</f>
        <v>118.75</v>
      </c>
      <c r="K119" s="1352">
        <f t="shared" si="19"/>
        <v>1</v>
      </c>
      <c r="L119" s="279"/>
    </row>
    <row r="120" spans="1:27" hidden="1" x14ac:dyDescent="0.2">
      <c r="A120" s="30">
        <v>1</v>
      </c>
      <c r="B120" s="427" t="s">
        <v>148</v>
      </c>
      <c r="C120" s="715" t="s">
        <v>1816</v>
      </c>
      <c r="D120" s="416"/>
      <c r="E120" s="409" t="s">
        <v>149</v>
      </c>
      <c r="F120" s="66">
        <v>1</v>
      </c>
      <c r="G120" s="465"/>
      <c r="H120" s="26">
        <f t="shared" ref="H120:H161" si="35">F120*G120</f>
        <v>0</v>
      </c>
      <c r="I120" s="982">
        <v>27.3</v>
      </c>
      <c r="J120" s="1009">
        <f t="shared" si="34"/>
        <v>0</v>
      </c>
      <c r="K120" s="1352">
        <f t="shared" si="19"/>
        <v>0</v>
      </c>
      <c r="L120" s="983">
        <v>27.295000000000002</v>
      </c>
      <c r="Q120" s="361"/>
      <c r="V120" s="268" t="s">
        <v>7</v>
      </c>
    </row>
    <row r="121" spans="1:27" hidden="1" x14ac:dyDescent="0.2">
      <c r="A121" s="30">
        <f>A120+1</f>
        <v>2</v>
      </c>
      <c r="B121" s="427" t="s">
        <v>588</v>
      </c>
      <c r="C121" s="715" t="s">
        <v>1816</v>
      </c>
      <c r="D121" s="416"/>
      <c r="E121" s="409" t="s">
        <v>258</v>
      </c>
      <c r="F121" s="66">
        <v>1</v>
      </c>
      <c r="G121" s="465"/>
      <c r="H121" s="26">
        <f t="shared" si="35"/>
        <v>0</v>
      </c>
      <c r="I121" s="982">
        <f t="shared" ref="I121:I187" si="36">L121+(L121*$M$3)</f>
        <v>48.410000000000004</v>
      </c>
      <c r="J121" s="1009">
        <f t="shared" si="34"/>
        <v>0</v>
      </c>
      <c r="K121" s="1352">
        <f t="shared" si="19"/>
        <v>0</v>
      </c>
      <c r="L121" s="983">
        <v>48.410000000000004</v>
      </c>
      <c r="Q121" s="361"/>
      <c r="V121" s="2255" t="s">
        <v>8</v>
      </c>
      <c r="W121" s="2257" t="s">
        <v>9</v>
      </c>
      <c r="X121" s="2257"/>
      <c r="Y121" s="2257" t="s">
        <v>10</v>
      </c>
      <c r="Z121" s="2257"/>
      <c r="AA121" s="1293" t="s">
        <v>11</v>
      </c>
    </row>
    <row r="122" spans="1:27" hidden="1" x14ac:dyDescent="0.2">
      <c r="A122" s="30">
        <f t="shared" ref="A122:A185" si="37">A121+1</f>
        <v>3</v>
      </c>
      <c r="B122" s="427" t="s">
        <v>457</v>
      </c>
      <c r="C122" s="715" t="s">
        <v>1816</v>
      </c>
      <c r="D122" s="416"/>
      <c r="E122" s="409" t="s">
        <v>258</v>
      </c>
      <c r="F122" s="66">
        <v>1</v>
      </c>
      <c r="G122" s="465"/>
      <c r="H122" s="26">
        <f t="shared" si="35"/>
        <v>0</v>
      </c>
      <c r="I122" s="982">
        <v>4</v>
      </c>
      <c r="J122" s="1009">
        <f t="shared" si="34"/>
        <v>0</v>
      </c>
      <c r="K122" s="1352">
        <f t="shared" si="19"/>
        <v>0</v>
      </c>
      <c r="L122" s="983">
        <v>4</v>
      </c>
      <c r="Q122" s="361"/>
      <c r="V122" s="2256"/>
      <c r="W122" s="1294" t="s">
        <v>316</v>
      </c>
      <c r="X122" s="1294" t="s">
        <v>271</v>
      </c>
      <c r="Y122" s="1294" t="s">
        <v>316</v>
      </c>
      <c r="Z122" s="1294" t="s">
        <v>271</v>
      </c>
      <c r="AA122" s="1294"/>
    </row>
    <row r="123" spans="1:27" hidden="1" x14ac:dyDescent="0.2">
      <c r="A123" s="30">
        <f t="shared" si="37"/>
        <v>4</v>
      </c>
      <c r="B123" s="427" t="s">
        <v>348</v>
      </c>
      <c r="C123" s="715" t="s">
        <v>1816</v>
      </c>
      <c r="D123" s="416"/>
      <c r="E123" s="409" t="s">
        <v>258</v>
      </c>
      <c r="F123" s="66">
        <v>1</v>
      </c>
      <c r="G123" s="465"/>
      <c r="H123" s="26">
        <f t="shared" si="35"/>
        <v>0</v>
      </c>
      <c r="I123" s="982">
        <v>0.25</v>
      </c>
      <c r="J123" s="1009">
        <f t="shared" si="34"/>
        <v>0</v>
      </c>
      <c r="K123" s="1352">
        <f t="shared" si="19"/>
        <v>0</v>
      </c>
      <c r="L123" s="983">
        <v>0.2472</v>
      </c>
      <c r="Q123" s="361"/>
      <c r="V123" s="1295" t="s">
        <v>12</v>
      </c>
      <c r="W123" s="1294">
        <v>10.8</v>
      </c>
      <c r="X123" s="1294">
        <v>14</v>
      </c>
      <c r="Y123" s="1294">
        <v>30.4</v>
      </c>
      <c r="Z123" s="1294">
        <v>33</v>
      </c>
      <c r="AA123" s="1294" t="s">
        <v>13</v>
      </c>
    </row>
    <row r="124" spans="1:27" hidden="1" x14ac:dyDescent="0.2">
      <c r="A124" s="30">
        <f t="shared" si="37"/>
        <v>5</v>
      </c>
      <c r="B124" s="427" t="s">
        <v>349</v>
      </c>
      <c r="C124" s="715" t="s">
        <v>1816</v>
      </c>
      <c r="D124" s="416"/>
      <c r="E124" s="409" t="s">
        <v>314</v>
      </c>
      <c r="F124" s="66">
        <v>1</v>
      </c>
      <c r="G124" s="465"/>
      <c r="H124" s="26">
        <f t="shared" si="35"/>
        <v>0</v>
      </c>
      <c r="I124" s="982">
        <f t="shared" si="36"/>
        <v>210.90279999999998</v>
      </c>
      <c r="J124" s="1009">
        <f t="shared" si="34"/>
        <v>0</v>
      </c>
      <c r="K124" s="1352">
        <f t="shared" si="19"/>
        <v>0</v>
      </c>
      <c r="L124" s="983">
        <v>210.90279999999998</v>
      </c>
      <c r="Q124" s="361"/>
      <c r="V124" s="1295" t="s">
        <v>14</v>
      </c>
      <c r="W124" s="1294">
        <v>11.7</v>
      </c>
      <c r="X124" s="1294">
        <v>15</v>
      </c>
      <c r="Y124" s="1294">
        <v>0.5</v>
      </c>
      <c r="Z124" s="1294">
        <v>0.7</v>
      </c>
      <c r="AA124" s="1294" t="s">
        <v>13</v>
      </c>
    </row>
    <row r="125" spans="1:27" hidden="1" x14ac:dyDescent="0.2">
      <c r="A125" s="30">
        <f t="shared" si="37"/>
        <v>6</v>
      </c>
      <c r="B125" s="427" t="s">
        <v>351</v>
      </c>
      <c r="C125" s="715" t="s">
        <v>1816</v>
      </c>
      <c r="D125" s="416"/>
      <c r="E125" s="409" t="s">
        <v>314</v>
      </c>
      <c r="F125" s="66">
        <v>1</v>
      </c>
      <c r="G125" s="465"/>
      <c r="H125" s="26">
        <f t="shared" si="35"/>
        <v>0</v>
      </c>
      <c r="I125" s="982">
        <f t="shared" si="36"/>
        <v>75.19</v>
      </c>
      <c r="J125" s="1009">
        <f t="shared" si="34"/>
        <v>0</v>
      </c>
      <c r="K125" s="1352">
        <f t="shared" si="19"/>
        <v>0</v>
      </c>
      <c r="L125" s="983">
        <v>75.19</v>
      </c>
      <c r="Q125" s="361"/>
      <c r="V125" s="1295" t="s">
        <v>15</v>
      </c>
      <c r="W125" s="1294">
        <v>17</v>
      </c>
      <c r="X125" s="1294">
        <v>22</v>
      </c>
      <c r="Y125" s="1294" t="s">
        <v>13</v>
      </c>
      <c r="Z125" s="1294" t="s">
        <v>13</v>
      </c>
      <c r="AA125" s="1294" t="s">
        <v>13</v>
      </c>
    </row>
    <row r="126" spans="1:27" hidden="1" x14ac:dyDescent="0.2">
      <c r="A126" s="30">
        <f t="shared" si="37"/>
        <v>7</v>
      </c>
      <c r="B126" s="427" t="s">
        <v>352</v>
      </c>
      <c r="C126" s="715" t="s">
        <v>1816</v>
      </c>
      <c r="D126" s="416"/>
      <c r="E126" s="409" t="s">
        <v>314</v>
      </c>
      <c r="F126" s="66">
        <v>11.7</v>
      </c>
      <c r="G126" s="465"/>
      <c r="H126" s="26">
        <f t="shared" si="35"/>
        <v>0</v>
      </c>
      <c r="I126" s="982">
        <f t="shared" si="36"/>
        <v>59.513400000000004</v>
      </c>
      <c r="J126" s="1009">
        <f t="shared" si="34"/>
        <v>0</v>
      </c>
      <c r="K126" s="1352">
        <f t="shared" si="19"/>
        <v>0</v>
      </c>
      <c r="L126" s="983">
        <v>59.513400000000004</v>
      </c>
      <c r="Q126" s="361"/>
      <c r="V126" s="1295" t="s">
        <v>16</v>
      </c>
      <c r="W126" s="1294">
        <v>0.2</v>
      </c>
      <c r="X126" s="1294">
        <v>0.3</v>
      </c>
      <c r="Y126" s="1294">
        <v>0.2</v>
      </c>
      <c r="Z126" s="1294">
        <v>0.3</v>
      </c>
      <c r="AA126" s="1294" t="s">
        <v>13</v>
      </c>
    </row>
    <row r="127" spans="1:27" hidden="1" x14ac:dyDescent="0.2">
      <c r="A127" s="30">
        <f t="shared" si="37"/>
        <v>8</v>
      </c>
      <c r="B127" s="427" t="s">
        <v>353</v>
      </c>
      <c r="C127" s="715" t="s">
        <v>1816</v>
      </c>
      <c r="D127" s="416"/>
      <c r="E127" s="409" t="s">
        <v>314</v>
      </c>
      <c r="F127" s="66">
        <v>1</v>
      </c>
      <c r="G127" s="465"/>
      <c r="H127" s="26">
        <f t="shared" si="35"/>
        <v>0</v>
      </c>
      <c r="I127" s="982">
        <f t="shared" si="36"/>
        <v>242.05</v>
      </c>
      <c r="J127" s="1009">
        <f t="shared" si="34"/>
        <v>0</v>
      </c>
      <c r="K127" s="1352">
        <f t="shared" si="19"/>
        <v>0</v>
      </c>
      <c r="L127" s="983">
        <v>242.05</v>
      </c>
      <c r="Q127" s="361"/>
      <c r="V127" s="1295" t="s">
        <v>17</v>
      </c>
      <c r="W127" s="1294" t="s">
        <v>13</v>
      </c>
      <c r="X127" s="1294" t="s">
        <v>13</v>
      </c>
      <c r="Y127" s="1294" t="s">
        <v>13</v>
      </c>
      <c r="Z127" s="1294" t="s">
        <v>13</v>
      </c>
      <c r="AA127" s="1294">
        <v>0.98</v>
      </c>
    </row>
    <row r="128" spans="1:27" hidden="1" x14ac:dyDescent="0.2">
      <c r="A128" s="30">
        <f t="shared" si="37"/>
        <v>9</v>
      </c>
      <c r="B128" s="427" t="s">
        <v>418</v>
      </c>
      <c r="C128" s="715" t="s">
        <v>1816</v>
      </c>
      <c r="D128" s="416"/>
      <c r="E128" s="409" t="s">
        <v>258</v>
      </c>
      <c r="F128" s="66">
        <v>1</v>
      </c>
      <c r="G128" s="465"/>
      <c r="H128" s="26">
        <f t="shared" si="35"/>
        <v>0</v>
      </c>
      <c r="I128" s="982">
        <f t="shared" si="36"/>
        <v>22.66</v>
      </c>
      <c r="J128" s="1009">
        <f t="shared" si="34"/>
        <v>0</v>
      </c>
      <c r="K128" s="1352">
        <f t="shared" si="19"/>
        <v>0</v>
      </c>
      <c r="L128" s="983">
        <v>22.66</v>
      </c>
      <c r="Q128" s="361"/>
    </row>
    <row r="129" spans="1:24" hidden="1" x14ac:dyDescent="0.2">
      <c r="A129" s="30">
        <f t="shared" si="37"/>
        <v>10</v>
      </c>
      <c r="B129" s="427" t="s">
        <v>589</v>
      </c>
      <c r="C129" s="715" t="s">
        <v>1816</v>
      </c>
      <c r="D129" s="416"/>
      <c r="E129" s="409" t="s">
        <v>149</v>
      </c>
      <c r="F129" s="66">
        <v>1</v>
      </c>
      <c r="G129" s="465"/>
      <c r="H129" s="26">
        <f t="shared" si="35"/>
        <v>0</v>
      </c>
      <c r="I129" s="982">
        <v>154.5</v>
      </c>
      <c r="J129" s="1009">
        <f t="shared" si="34"/>
        <v>0</v>
      </c>
      <c r="K129" s="1352">
        <f t="shared" si="19"/>
        <v>0</v>
      </c>
      <c r="L129" s="983">
        <v>154.5</v>
      </c>
      <c r="Q129" s="361"/>
      <c r="V129" s="1296" t="s">
        <v>18</v>
      </c>
    </row>
    <row r="130" spans="1:24" hidden="1" x14ac:dyDescent="0.2">
      <c r="A130" s="30">
        <f t="shared" si="37"/>
        <v>11</v>
      </c>
      <c r="B130" s="427" t="s">
        <v>589</v>
      </c>
      <c r="C130" s="715" t="s">
        <v>1816</v>
      </c>
      <c r="D130" s="416"/>
      <c r="E130" s="409" t="s">
        <v>149</v>
      </c>
      <c r="F130" s="66">
        <v>1</v>
      </c>
      <c r="G130" s="465"/>
      <c r="H130" s="26">
        <f t="shared" si="35"/>
        <v>0</v>
      </c>
      <c r="I130" s="982">
        <f t="shared" si="36"/>
        <v>257.5</v>
      </c>
      <c r="J130" s="1009">
        <f t="shared" si="34"/>
        <v>0</v>
      </c>
      <c r="K130" s="1352">
        <f t="shared" si="19"/>
        <v>0</v>
      </c>
      <c r="L130" s="983">
        <v>257.5</v>
      </c>
      <c r="Q130" s="361"/>
    </row>
    <row r="131" spans="1:24" hidden="1" x14ac:dyDescent="0.2">
      <c r="A131" s="30">
        <f t="shared" si="37"/>
        <v>12</v>
      </c>
      <c r="B131" s="427" t="s">
        <v>589</v>
      </c>
      <c r="C131" s="715" t="s">
        <v>1816</v>
      </c>
      <c r="D131" s="416"/>
      <c r="E131" s="409" t="s">
        <v>149</v>
      </c>
      <c r="F131" s="66">
        <v>1</v>
      </c>
      <c r="G131" s="465"/>
      <c r="H131" s="26">
        <f t="shared" si="35"/>
        <v>0</v>
      </c>
      <c r="I131" s="982">
        <f t="shared" si="36"/>
        <v>515</v>
      </c>
      <c r="J131" s="1009">
        <f t="shared" si="34"/>
        <v>0</v>
      </c>
      <c r="K131" s="1352">
        <f t="shared" si="19"/>
        <v>0</v>
      </c>
      <c r="L131" s="983">
        <v>515</v>
      </c>
      <c r="Q131" s="361"/>
      <c r="V131" s="1296" t="s">
        <v>19</v>
      </c>
    </row>
    <row r="132" spans="1:24" hidden="1" x14ac:dyDescent="0.2">
      <c r="A132" s="30">
        <f t="shared" si="37"/>
        <v>13</v>
      </c>
      <c r="B132" s="746" t="s">
        <v>88</v>
      </c>
      <c r="C132" s="715" t="s">
        <v>1816</v>
      </c>
      <c r="D132" s="416"/>
      <c r="E132" s="409" t="s">
        <v>337</v>
      </c>
      <c r="F132" s="66">
        <v>1</v>
      </c>
      <c r="G132" s="465"/>
      <c r="H132" s="26">
        <f t="shared" si="35"/>
        <v>0</v>
      </c>
      <c r="I132" s="982">
        <v>1.42</v>
      </c>
      <c r="J132" s="1009">
        <f t="shared" si="34"/>
        <v>0</v>
      </c>
      <c r="K132" s="1352">
        <f t="shared" ref="K132:K195" si="38">IF(J132&gt;0,1,0)</f>
        <v>0</v>
      </c>
      <c r="L132" s="983">
        <v>1.4214</v>
      </c>
      <c r="Q132" s="361"/>
      <c r="V132" s="1296" t="s">
        <v>20</v>
      </c>
    </row>
    <row r="133" spans="1:24" hidden="1" x14ac:dyDescent="0.2">
      <c r="A133" s="30">
        <f t="shared" si="37"/>
        <v>14</v>
      </c>
      <c r="B133" s="427" t="s">
        <v>160</v>
      </c>
      <c r="C133" s="715" t="s">
        <v>1816</v>
      </c>
      <c r="D133" s="416"/>
      <c r="E133" s="409" t="s">
        <v>337</v>
      </c>
      <c r="F133" s="66">
        <v>0.93899999999999995</v>
      </c>
      <c r="G133" s="465"/>
      <c r="H133" s="26">
        <f t="shared" si="35"/>
        <v>0</v>
      </c>
      <c r="I133" s="982">
        <v>1.8</v>
      </c>
      <c r="J133" s="1009">
        <f t="shared" si="34"/>
        <v>0</v>
      </c>
      <c r="K133" s="1352">
        <f t="shared" si="38"/>
        <v>0</v>
      </c>
      <c r="L133" s="983">
        <v>1.8025</v>
      </c>
      <c r="Q133" s="361"/>
    </row>
    <row r="134" spans="1:24" hidden="1" x14ac:dyDescent="0.2">
      <c r="A134" s="30">
        <f t="shared" si="37"/>
        <v>15</v>
      </c>
      <c r="B134" s="427" t="s">
        <v>89</v>
      </c>
      <c r="C134" s="715" t="s">
        <v>1816</v>
      </c>
      <c r="D134" s="416"/>
      <c r="E134" s="409" t="s">
        <v>337</v>
      </c>
      <c r="F134" s="66">
        <v>1</v>
      </c>
      <c r="G134" s="465"/>
      <c r="H134" s="26">
        <f t="shared" si="35"/>
        <v>0</v>
      </c>
      <c r="I134" s="982">
        <v>1.86</v>
      </c>
      <c r="J134" s="1009">
        <f t="shared" si="34"/>
        <v>0</v>
      </c>
      <c r="K134" s="1352">
        <f t="shared" si="38"/>
        <v>0</v>
      </c>
      <c r="L134" s="983">
        <v>1.8643000000000001</v>
      </c>
      <c r="Q134" s="361"/>
      <c r="V134" s="268" t="s">
        <v>21</v>
      </c>
    </row>
    <row r="135" spans="1:24" hidden="1" x14ac:dyDescent="0.2">
      <c r="A135" s="30">
        <f t="shared" si="37"/>
        <v>16</v>
      </c>
      <c r="B135" s="428" t="s">
        <v>653</v>
      </c>
      <c r="C135" s="715" t="s">
        <v>1816</v>
      </c>
      <c r="D135" s="416"/>
      <c r="E135" s="409" t="s">
        <v>156</v>
      </c>
      <c r="F135" s="66">
        <v>1</v>
      </c>
      <c r="G135" s="465"/>
      <c r="H135" s="26">
        <f t="shared" si="35"/>
        <v>0</v>
      </c>
      <c r="I135" s="996">
        <v>0.08</v>
      </c>
      <c r="J135" s="1009">
        <f>H135*I135*Исх!$C$2</f>
        <v>0</v>
      </c>
      <c r="K135" s="1352">
        <f t="shared" si="38"/>
        <v>0</v>
      </c>
      <c r="L135" s="1321">
        <f t="shared" ref="L135:L143" si="39">Q135*M135</f>
        <v>7.9299999999999995E-2</v>
      </c>
      <c r="M135" s="265">
        <f t="shared" ref="M135:M142" si="40">O135*P135/10000</f>
        <v>0.61</v>
      </c>
      <c r="N135" s="28" t="s">
        <v>156</v>
      </c>
      <c r="O135" s="241">
        <v>61</v>
      </c>
      <c r="P135" s="219">
        <v>100</v>
      </c>
      <c r="Q135" s="1317">
        <v>0.13</v>
      </c>
      <c r="R135" s="1271">
        <f t="shared" ref="R135:R142" si="41">100*100/10000</f>
        <v>1</v>
      </c>
      <c r="S135" s="1272" t="s">
        <v>967</v>
      </c>
      <c r="V135" s="1293" t="s">
        <v>22</v>
      </c>
      <c r="W135" s="2257" t="s">
        <v>23</v>
      </c>
      <c r="X135" s="2257"/>
    </row>
    <row r="136" spans="1:24" hidden="1" x14ac:dyDescent="0.2">
      <c r="A136" s="30">
        <f t="shared" si="37"/>
        <v>17</v>
      </c>
      <c r="B136" s="428" t="s">
        <v>654</v>
      </c>
      <c r="C136" s="715" t="s">
        <v>1816</v>
      </c>
      <c r="D136" s="416"/>
      <c r="E136" s="409" t="s">
        <v>156</v>
      </c>
      <c r="F136" s="66">
        <v>1</v>
      </c>
      <c r="G136" s="465"/>
      <c r="H136" s="26">
        <f t="shared" si="35"/>
        <v>0</v>
      </c>
      <c r="I136" s="996">
        <v>0.08</v>
      </c>
      <c r="J136" s="1009">
        <f>H136*I136*Исх!$C$2</f>
        <v>0</v>
      </c>
      <c r="K136" s="1352">
        <f t="shared" si="38"/>
        <v>0</v>
      </c>
      <c r="L136" s="1321">
        <f t="shared" si="39"/>
        <v>7.9299999999999995E-2</v>
      </c>
      <c r="M136" s="265">
        <f t="shared" si="40"/>
        <v>0.61</v>
      </c>
      <c r="N136" s="28" t="s">
        <v>156</v>
      </c>
      <c r="O136" s="241">
        <v>61</v>
      </c>
      <c r="P136" s="28">
        <v>100</v>
      </c>
      <c r="Q136" s="1317">
        <v>0.13</v>
      </c>
      <c r="R136" s="1271">
        <f t="shared" si="41"/>
        <v>1</v>
      </c>
      <c r="S136" s="1272" t="s">
        <v>967</v>
      </c>
      <c r="V136" s="1294" t="s">
        <v>24</v>
      </c>
      <c r="W136" s="2254">
        <v>9.8000000000000004E-2</v>
      </c>
      <c r="X136" s="2254"/>
    </row>
    <row r="137" spans="1:24" hidden="1" x14ac:dyDescent="0.2">
      <c r="A137" s="30">
        <f t="shared" si="37"/>
        <v>18</v>
      </c>
      <c r="B137" s="428" t="s">
        <v>655</v>
      </c>
      <c r="C137" s="715" t="s">
        <v>1816</v>
      </c>
      <c r="D137" s="416"/>
      <c r="E137" s="409" t="s">
        <v>156</v>
      </c>
      <c r="F137" s="66">
        <v>1</v>
      </c>
      <c r="G137" s="465"/>
      <c r="H137" s="26">
        <f t="shared" si="35"/>
        <v>0</v>
      </c>
      <c r="I137" s="996">
        <v>0.06</v>
      </c>
      <c r="J137" s="1009">
        <f>H137*I137*Исх!$C$2</f>
        <v>0</v>
      </c>
      <c r="K137" s="1352">
        <f t="shared" si="38"/>
        <v>0</v>
      </c>
      <c r="L137" s="1321">
        <f t="shared" si="39"/>
        <v>5.9800000000000006E-2</v>
      </c>
      <c r="M137" s="265">
        <f t="shared" si="40"/>
        <v>0.46</v>
      </c>
      <c r="N137" s="28" t="s">
        <v>156</v>
      </c>
      <c r="O137" s="241">
        <v>46</v>
      </c>
      <c r="P137" s="28">
        <v>100</v>
      </c>
      <c r="Q137" s="1317">
        <v>0.13</v>
      </c>
      <c r="R137" s="1271">
        <f t="shared" si="41"/>
        <v>1</v>
      </c>
      <c r="S137" s="1272" t="s">
        <v>967</v>
      </c>
      <c r="V137" s="1294" t="s">
        <v>25</v>
      </c>
      <c r="W137" s="2254">
        <v>0.37</v>
      </c>
      <c r="X137" s="2254"/>
    </row>
    <row r="138" spans="1:24" hidden="1" x14ac:dyDescent="0.2">
      <c r="A138" s="30">
        <f t="shared" si="37"/>
        <v>19</v>
      </c>
      <c r="B138" s="428" t="s">
        <v>656</v>
      </c>
      <c r="C138" s="715" t="s">
        <v>1816</v>
      </c>
      <c r="D138" s="416"/>
      <c r="E138" s="409" t="s">
        <v>156</v>
      </c>
      <c r="F138" s="66">
        <v>1</v>
      </c>
      <c r="G138" s="465"/>
      <c r="H138" s="26">
        <f t="shared" si="35"/>
        <v>0</v>
      </c>
      <c r="I138" s="996">
        <v>0.06</v>
      </c>
      <c r="J138" s="1009">
        <f>H138*I138*Исх!$C$2</f>
        <v>0</v>
      </c>
      <c r="K138" s="1352">
        <f t="shared" si="38"/>
        <v>0</v>
      </c>
      <c r="L138" s="1321">
        <f t="shared" si="39"/>
        <v>5.9800000000000006E-2</v>
      </c>
      <c r="M138" s="265">
        <f t="shared" si="40"/>
        <v>0.46</v>
      </c>
      <c r="N138" s="28" t="s">
        <v>156</v>
      </c>
      <c r="O138" s="241">
        <v>46</v>
      </c>
      <c r="P138" s="219">
        <v>100</v>
      </c>
      <c r="Q138" s="1317">
        <v>0.13</v>
      </c>
      <c r="R138" s="1271">
        <f t="shared" si="41"/>
        <v>1</v>
      </c>
      <c r="S138" s="1272" t="s">
        <v>967</v>
      </c>
    </row>
    <row r="139" spans="1:24" hidden="1" x14ac:dyDescent="0.2">
      <c r="A139" s="30">
        <f t="shared" si="37"/>
        <v>20</v>
      </c>
      <c r="B139" s="1319" t="s">
        <v>1012</v>
      </c>
      <c r="C139" s="715" t="s">
        <v>1817</v>
      </c>
      <c r="D139" s="416"/>
      <c r="E139" s="409" t="s">
        <v>156</v>
      </c>
      <c r="F139" s="66">
        <v>1</v>
      </c>
      <c r="G139" s="465"/>
      <c r="H139" s="26">
        <f t="shared" ref="H139:H140" si="42">F139*G139</f>
        <v>0</v>
      </c>
      <c r="I139" s="996">
        <v>0.28000000000000003</v>
      </c>
      <c r="J139" s="1009">
        <f>H139*I139*Исх!$C$2</f>
        <v>0</v>
      </c>
      <c r="K139" s="1352">
        <f t="shared" si="38"/>
        <v>0</v>
      </c>
      <c r="L139" s="1537">
        <f t="shared" si="39"/>
        <v>0.27600000000000002</v>
      </c>
      <c r="M139" s="265">
        <f t="shared" si="40"/>
        <v>0.46</v>
      </c>
      <c r="N139" s="28" t="s">
        <v>156</v>
      </c>
      <c r="O139" s="241">
        <v>46</v>
      </c>
      <c r="P139" s="219">
        <v>100</v>
      </c>
      <c r="Q139" s="1538">
        <v>0.6</v>
      </c>
      <c r="R139" s="1271">
        <f t="shared" si="41"/>
        <v>1</v>
      </c>
      <c r="S139" s="1272" t="s">
        <v>967</v>
      </c>
    </row>
    <row r="140" spans="1:24" hidden="1" x14ac:dyDescent="0.2">
      <c r="A140" s="30">
        <f t="shared" si="37"/>
        <v>21</v>
      </c>
      <c r="B140" s="1319" t="s">
        <v>1013</v>
      </c>
      <c r="C140" s="715" t="s">
        <v>1817</v>
      </c>
      <c r="D140" s="416"/>
      <c r="E140" s="409" t="s">
        <v>156</v>
      </c>
      <c r="F140" s="66">
        <v>1</v>
      </c>
      <c r="G140" s="465"/>
      <c r="H140" s="26">
        <f t="shared" si="42"/>
        <v>0</v>
      </c>
      <c r="I140" s="996">
        <v>0.3</v>
      </c>
      <c r="J140" s="1009">
        <f>H140*I140*Исх!$C$2</f>
        <v>0</v>
      </c>
      <c r="K140" s="1352">
        <f t="shared" si="38"/>
        <v>0</v>
      </c>
      <c r="L140" s="1537">
        <f t="shared" si="39"/>
        <v>0.29900000000000004</v>
      </c>
      <c r="M140" s="265">
        <f t="shared" si="40"/>
        <v>0.46</v>
      </c>
      <c r="N140" s="28" t="s">
        <v>156</v>
      </c>
      <c r="O140" s="241">
        <v>46</v>
      </c>
      <c r="P140" s="219">
        <v>100</v>
      </c>
      <c r="Q140" s="1538">
        <v>0.65</v>
      </c>
      <c r="R140" s="1271">
        <f t="shared" si="41"/>
        <v>1</v>
      </c>
      <c r="S140" s="1272" t="s">
        <v>967</v>
      </c>
    </row>
    <row r="141" spans="1:24" hidden="1" x14ac:dyDescent="0.2">
      <c r="A141" s="30">
        <f t="shared" si="37"/>
        <v>22</v>
      </c>
      <c r="B141" s="428" t="s">
        <v>657</v>
      </c>
      <c r="C141" s="715" t="s">
        <v>1816</v>
      </c>
      <c r="D141" s="416"/>
      <c r="E141" s="409" t="s">
        <v>156</v>
      </c>
      <c r="F141" s="66">
        <v>1</v>
      </c>
      <c r="G141" s="465"/>
      <c r="H141" s="26">
        <f t="shared" si="35"/>
        <v>0</v>
      </c>
      <c r="I141" s="996">
        <v>0.06</v>
      </c>
      <c r="J141" s="1009">
        <f>H141*I141*Исх!$C$2</f>
        <v>0</v>
      </c>
      <c r="K141" s="1352">
        <f t="shared" si="38"/>
        <v>0</v>
      </c>
      <c r="L141" s="1321">
        <f t="shared" si="39"/>
        <v>6.4350000000000004E-2</v>
      </c>
      <c r="M141" s="265">
        <f t="shared" si="40"/>
        <v>0.495</v>
      </c>
      <c r="N141" s="28" t="s">
        <v>156</v>
      </c>
      <c r="O141" s="241">
        <v>49.5</v>
      </c>
      <c r="P141" s="219">
        <v>100</v>
      </c>
      <c r="Q141" s="1317">
        <v>0.13</v>
      </c>
      <c r="R141" s="1271">
        <f t="shared" si="41"/>
        <v>1</v>
      </c>
      <c r="S141" s="1272" t="s">
        <v>967</v>
      </c>
    </row>
    <row r="142" spans="1:24" hidden="1" x14ac:dyDescent="0.2">
      <c r="A142" s="30">
        <f t="shared" si="37"/>
        <v>23</v>
      </c>
      <c r="B142" s="428" t="s">
        <v>658</v>
      </c>
      <c r="C142" s="715" t="s">
        <v>1816</v>
      </c>
      <c r="D142" s="416"/>
      <c r="E142" s="409" t="s">
        <v>156</v>
      </c>
      <c r="F142" s="66">
        <v>1</v>
      </c>
      <c r="G142" s="465"/>
      <c r="H142" s="26">
        <f t="shared" si="35"/>
        <v>0</v>
      </c>
      <c r="I142" s="996">
        <v>0.06</v>
      </c>
      <c r="J142" s="1009">
        <f>H142*I142*Исх!$C$2</f>
        <v>0</v>
      </c>
      <c r="K142" s="1352">
        <f t="shared" si="38"/>
        <v>0</v>
      </c>
      <c r="L142" s="1321">
        <f t="shared" si="39"/>
        <v>6.4350000000000004E-2</v>
      </c>
      <c r="M142" s="265">
        <f t="shared" si="40"/>
        <v>0.495</v>
      </c>
      <c r="N142" s="28" t="s">
        <v>156</v>
      </c>
      <c r="O142" s="241">
        <v>49.5</v>
      </c>
      <c r="P142" s="219">
        <v>100</v>
      </c>
      <c r="Q142" s="1317">
        <v>0.13</v>
      </c>
      <c r="R142" s="1271">
        <f t="shared" si="41"/>
        <v>1</v>
      </c>
      <c r="S142" s="1272" t="s">
        <v>967</v>
      </c>
      <c r="V142" s="268" t="s">
        <v>985</v>
      </c>
    </row>
    <row r="143" spans="1:24" hidden="1" x14ac:dyDescent="0.2">
      <c r="A143" s="30">
        <f t="shared" si="37"/>
        <v>24</v>
      </c>
      <c r="B143" s="428" t="s">
        <v>781</v>
      </c>
      <c r="C143" s="715" t="s">
        <v>1816</v>
      </c>
      <c r="D143" s="416"/>
      <c r="E143" s="409" t="s">
        <v>156</v>
      </c>
      <c r="F143" s="66">
        <v>1</v>
      </c>
      <c r="G143" s="465"/>
      <c r="H143" s="26">
        <f t="shared" ref="H143" si="43">F143*G143</f>
        <v>0</v>
      </c>
      <c r="I143" s="996">
        <f t="shared" ref="I143" si="44">L143</f>
        <v>0.74249999999999994</v>
      </c>
      <c r="J143" s="1009">
        <f>H143*I143*Исх!$C$2</f>
        <v>0</v>
      </c>
      <c r="K143" s="1352">
        <f t="shared" si="38"/>
        <v>0</v>
      </c>
      <c r="L143" s="1537">
        <f t="shared" si="39"/>
        <v>0.74249999999999994</v>
      </c>
      <c r="M143" s="265">
        <f t="shared" ref="M143:M147" si="45">O143*P143/10000</f>
        <v>0.495</v>
      </c>
      <c r="N143" s="28" t="s">
        <v>156</v>
      </c>
      <c r="O143" s="241">
        <v>49.5</v>
      </c>
      <c r="P143" s="219">
        <v>100</v>
      </c>
      <c r="Q143" s="1538">
        <v>1.5</v>
      </c>
      <c r="R143" s="1271">
        <f t="shared" ref="R143:R152" si="46">100*100/10000</f>
        <v>1</v>
      </c>
      <c r="S143" s="1272" t="s">
        <v>967</v>
      </c>
      <c r="V143" s="268"/>
    </row>
    <row r="144" spans="1:24" hidden="1" x14ac:dyDescent="0.2">
      <c r="A144" s="30">
        <f t="shared" si="37"/>
        <v>25</v>
      </c>
      <c r="B144" s="428" t="s">
        <v>659</v>
      </c>
      <c r="C144" s="715" t="s">
        <v>1816</v>
      </c>
      <c r="D144" s="416"/>
      <c r="E144" s="409" t="s">
        <v>156</v>
      </c>
      <c r="F144" s="66">
        <v>1</v>
      </c>
      <c r="G144" s="465"/>
      <c r="H144" s="26">
        <f t="shared" si="35"/>
        <v>0</v>
      </c>
      <c r="I144" s="996">
        <v>0.57999999999999996</v>
      </c>
      <c r="J144" s="1009">
        <f>H144*I144*Исх!$C$2</f>
        <v>0</v>
      </c>
      <c r="K144" s="1352">
        <f t="shared" si="38"/>
        <v>0</v>
      </c>
      <c r="L144" s="1321">
        <f t="shared" ref="L144:L152" si="47">Q144*M144</f>
        <v>0.58309999999999995</v>
      </c>
      <c r="M144" s="265">
        <f t="shared" si="45"/>
        <v>0.49</v>
      </c>
      <c r="N144" s="28" t="s">
        <v>156</v>
      </c>
      <c r="O144" s="241">
        <v>49</v>
      </c>
      <c r="P144" s="219">
        <v>100</v>
      </c>
      <c r="Q144" s="1317">
        <v>1.19</v>
      </c>
      <c r="R144" s="1271">
        <f t="shared" si="46"/>
        <v>1</v>
      </c>
      <c r="S144" s="1272" t="s">
        <v>967</v>
      </c>
    </row>
    <row r="145" spans="1:19" hidden="1" x14ac:dyDescent="0.2">
      <c r="A145" s="30">
        <f t="shared" si="37"/>
        <v>26</v>
      </c>
      <c r="B145" s="428" t="s">
        <v>660</v>
      </c>
      <c r="C145" s="715" t="s">
        <v>1816</v>
      </c>
      <c r="D145" s="416"/>
      <c r="E145" s="409" t="s">
        <v>156</v>
      </c>
      <c r="F145" s="66">
        <v>1</v>
      </c>
      <c r="G145" s="465"/>
      <c r="H145" s="26">
        <f t="shared" si="35"/>
        <v>0</v>
      </c>
      <c r="I145" s="996">
        <v>0.57999999999999996</v>
      </c>
      <c r="J145" s="1009">
        <f>H145*I145*Исх!$C$2</f>
        <v>0</v>
      </c>
      <c r="K145" s="1352">
        <f t="shared" si="38"/>
        <v>0</v>
      </c>
      <c r="L145" s="1321">
        <f t="shared" si="47"/>
        <v>0.58309999999999995</v>
      </c>
      <c r="M145" s="265">
        <f t="shared" si="45"/>
        <v>0.49</v>
      </c>
      <c r="N145" s="28" t="s">
        <v>156</v>
      </c>
      <c r="O145" s="241">
        <v>49</v>
      </c>
      <c r="P145" s="219">
        <v>100</v>
      </c>
      <c r="Q145" s="1317">
        <v>1.19</v>
      </c>
      <c r="R145" s="1271">
        <f t="shared" si="46"/>
        <v>1</v>
      </c>
      <c r="S145" s="1272" t="s">
        <v>967</v>
      </c>
    </row>
    <row r="146" spans="1:19" hidden="1" x14ac:dyDescent="0.2">
      <c r="A146" s="30">
        <f t="shared" si="37"/>
        <v>27</v>
      </c>
      <c r="B146" s="428" t="s">
        <v>968</v>
      </c>
      <c r="C146" s="715" t="s">
        <v>1816</v>
      </c>
      <c r="D146" s="416"/>
      <c r="E146" s="409" t="s">
        <v>156</v>
      </c>
      <c r="F146" s="66">
        <v>1</v>
      </c>
      <c r="G146" s="465"/>
      <c r="H146" s="26">
        <f t="shared" si="35"/>
        <v>0</v>
      </c>
      <c r="I146" s="996">
        <v>0.42</v>
      </c>
      <c r="J146" s="1009">
        <f>H146*I146*Исх!$C$2</f>
        <v>0</v>
      </c>
      <c r="K146" s="1352">
        <f t="shared" si="38"/>
        <v>0</v>
      </c>
      <c r="L146" s="1321">
        <f t="shared" si="47"/>
        <v>0.41850000000000004</v>
      </c>
      <c r="M146" s="265">
        <f t="shared" si="45"/>
        <v>0.45</v>
      </c>
      <c r="N146" s="28" t="s">
        <v>156</v>
      </c>
      <c r="O146" s="241">
        <v>45</v>
      </c>
      <c r="P146" s="219">
        <v>100</v>
      </c>
      <c r="Q146" s="1317">
        <v>0.93</v>
      </c>
      <c r="R146" s="1271">
        <f t="shared" si="46"/>
        <v>1</v>
      </c>
      <c r="S146" s="1272" t="s">
        <v>967</v>
      </c>
    </row>
    <row r="147" spans="1:19" hidden="1" x14ac:dyDescent="0.2">
      <c r="A147" s="30">
        <f t="shared" si="37"/>
        <v>28</v>
      </c>
      <c r="B147" s="428" t="s">
        <v>969</v>
      </c>
      <c r="C147" s="715" t="s">
        <v>1816</v>
      </c>
      <c r="D147" s="416"/>
      <c r="E147" s="409" t="s">
        <v>156</v>
      </c>
      <c r="F147" s="66">
        <v>1</v>
      </c>
      <c r="G147" s="465"/>
      <c r="H147" s="26">
        <f t="shared" si="35"/>
        <v>0</v>
      </c>
      <c r="I147" s="996">
        <v>0.46</v>
      </c>
      <c r="J147" s="1009">
        <f>H147*I147*Исх!$C$2</f>
        <v>0</v>
      </c>
      <c r="K147" s="1352">
        <f t="shared" si="38"/>
        <v>0</v>
      </c>
      <c r="L147" s="1321">
        <f t="shared" si="47"/>
        <v>0.45569999999999999</v>
      </c>
      <c r="M147" s="265">
        <f t="shared" si="45"/>
        <v>0.49</v>
      </c>
      <c r="N147" s="28" t="s">
        <v>156</v>
      </c>
      <c r="O147" s="241">
        <v>49</v>
      </c>
      <c r="P147" s="219">
        <v>100</v>
      </c>
      <c r="Q147" s="1317">
        <v>0.93</v>
      </c>
      <c r="R147" s="1271">
        <f t="shared" si="46"/>
        <v>1</v>
      </c>
      <c r="S147" s="1272" t="s">
        <v>967</v>
      </c>
    </row>
    <row r="148" spans="1:19" hidden="1" x14ac:dyDescent="0.2">
      <c r="A148" s="30">
        <f t="shared" si="37"/>
        <v>29</v>
      </c>
      <c r="B148" s="746" t="s">
        <v>970</v>
      </c>
      <c r="C148" s="715" t="s">
        <v>1816</v>
      </c>
      <c r="D148" s="416"/>
      <c r="E148" s="409" t="s">
        <v>156</v>
      </c>
      <c r="F148" s="66">
        <v>1</v>
      </c>
      <c r="G148" s="465"/>
      <c r="H148" s="26">
        <f t="shared" si="35"/>
        <v>0</v>
      </c>
      <c r="I148" s="996">
        <v>0.53</v>
      </c>
      <c r="J148" s="1009">
        <f>H148*I148*Исх!$C$2</f>
        <v>0</v>
      </c>
      <c r="K148" s="1352">
        <f t="shared" si="38"/>
        <v>0</v>
      </c>
      <c r="L148" s="1321">
        <f t="shared" si="47"/>
        <v>0.5292</v>
      </c>
      <c r="M148" s="265">
        <f>O148*P148/10000</f>
        <v>0.36</v>
      </c>
      <c r="N148" s="28" t="s">
        <v>156</v>
      </c>
      <c r="O148" s="28">
        <v>36</v>
      </c>
      <c r="P148" s="219">
        <v>100</v>
      </c>
      <c r="Q148" s="1317">
        <v>1.47</v>
      </c>
      <c r="R148" s="1271">
        <f t="shared" si="46"/>
        <v>1</v>
      </c>
      <c r="S148" s="1272" t="s">
        <v>967</v>
      </c>
    </row>
    <row r="149" spans="1:19" hidden="1" x14ac:dyDescent="0.2">
      <c r="A149" s="30">
        <f t="shared" si="37"/>
        <v>30</v>
      </c>
      <c r="B149" s="746" t="s">
        <v>971</v>
      </c>
      <c r="C149" s="715" t="s">
        <v>1816</v>
      </c>
      <c r="D149" s="416"/>
      <c r="E149" s="409" t="s">
        <v>156</v>
      </c>
      <c r="F149" s="66">
        <v>1</v>
      </c>
      <c r="G149" s="465"/>
      <c r="H149" s="26">
        <f t="shared" ref="H149:H150" si="48">F149*G149</f>
        <v>0</v>
      </c>
      <c r="I149" s="996">
        <v>0.74</v>
      </c>
      <c r="J149" s="1009">
        <f>H149*I149*Исх!$C$2</f>
        <v>0</v>
      </c>
      <c r="K149" s="1352">
        <f t="shared" si="38"/>
        <v>0</v>
      </c>
      <c r="L149" s="1321">
        <f t="shared" si="47"/>
        <v>0.73499999999999999</v>
      </c>
      <c r="M149" s="265">
        <f>O149*P149/10000</f>
        <v>0.5</v>
      </c>
      <c r="N149" s="28" t="s">
        <v>156</v>
      </c>
      <c r="O149" s="28">
        <v>50</v>
      </c>
      <c r="P149" s="219">
        <v>100</v>
      </c>
      <c r="Q149" s="1317">
        <v>1.47</v>
      </c>
      <c r="R149" s="1271">
        <f t="shared" si="46"/>
        <v>1</v>
      </c>
      <c r="S149" s="1272" t="s">
        <v>967</v>
      </c>
    </row>
    <row r="150" spans="1:19" hidden="1" x14ac:dyDescent="0.2">
      <c r="A150" s="30">
        <f t="shared" si="37"/>
        <v>31</v>
      </c>
      <c r="B150" s="746" t="s">
        <v>972</v>
      </c>
      <c r="C150" s="715" t="s">
        <v>1816</v>
      </c>
      <c r="D150" s="416"/>
      <c r="E150" s="409" t="s">
        <v>156</v>
      </c>
      <c r="F150" s="66">
        <v>1</v>
      </c>
      <c r="G150" s="465"/>
      <c r="H150" s="26">
        <f t="shared" si="48"/>
        <v>0</v>
      </c>
      <c r="I150" s="996">
        <v>0.78</v>
      </c>
      <c r="J150" s="1009">
        <f>H150*I150*Исх!$C$2</f>
        <v>0</v>
      </c>
      <c r="K150" s="1352">
        <f t="shared" si="38"/>
        <v>0</v>
      </c>
      <c r="L150" s="1321">
        <f t="shared" si="47"/>
        <v>0.77910000000000001</v>
      </c>
      <c r="M150" s="265">
        <f>O150*P150/10000</f>
        <v>0.53</v>
      </c>
      <c r="N150" s="28" t="s">
        <v>156</v>
      </c>
      <c r="O150" s="28">
        <v>53</v>
      </c>
      <c r="P150" s="219">
        <v>100</v>
      </c>
      <c r="Q150" s="1317">
        <v>1.47</v>
      </c>
      <c r="R150" s="1271">
        <f t="shared" si="46"/>
        <v>1</v>
      </c>
      <c r="S150" s="1272" t="s">
        <v>967</v>
      </c>
    </row>
    <row r="151" spans="1:19" hidden="1" x14ac:dyDescent="0.2">
      <c r="A151" s="30">
        <f t="shared" si="37"/>
        <v>32</v>
      </c>
      <c r="B151" s="1318" t="s">
        <v>1010</v>
      </c>
      <c r="C151" s="715" t="s">
        <v>1816</v>
      </c>
      <c r="D151" s="416"/>
      <c r="E151" s="409" t="s">
        <v>156</v>
      </c>
      <c r="F151" s="66">
        <v>1</v>
      </c>
      <c r="G151" s="465"/>
      <c r="H151" s="26">
        <f t="shared" si="35"/>
        <v>0</v>
      </c>
      <c r="I151" s="996">
        <v>0.37</v>
      </c>
      <c r="J151" s="1009">
        <f>H151*I151*Исх!$C$2</f>
        <v>0</v>
      </c>
      <c r="K151" s="1352">
        <f t="shared" si="38"/>
        <v>0</v>
      </c>
      <c r="L151" s="1537">
        <f t="shared" si="47"/>
        <v>0.36800000000000005</v>
      </c>
      <c r="M151" s="265">
        <f>O151*P151/10000</f>
        <v>0.46</v>
      </c>
      <c r="N151" s="28" t="s">
        <v>156</v>
      </c>
      <c r="O151" s="28">
        <v>46</v>
      </c>
      <c r="P151" s="219">
        <v>100</v>
      </c>
      <c r="Q151" s="1538">
        <v>0.8</v>
      </c>
      <c r="R151" s="1271">
        <f t="shared" si="46"/>
        <v>1</v>
      </c>
      <c r="S151" s="1272" t="s">
        <v>967</v>
      </c>
    </row>
    <row r="152" spans="1:19" hidden="1" x14ac:dyDescent="0.2">
      <c r="A152" s="30">
        <f t="shared" si="37"/>
        <v>33</v>
      </c>
      <c r="B152" s="1318" t="s">
        <v>1011</v>
      </c>
      <c r="C152" s="715" t="s">
        <v>1816</v>
      </c>
      <c r="D152" s="416"/>
      <c r="E152" s="409" t="s">
        <v>156</v>
      </c>
      <c r="F152" s="66">
        <v>1</v>
      </c>
      <c r="G152" s="465"/>
      <c r="H152" s="26">
        <f t="shared" si="35"/>
        <v>0</v>
      </c>
      <c r="I152" s="996">
        <v>0.4</v>
      </c>
      <c r="J152" s="1009">
        <f>H152*I152*Исх!$C$2</f>
        <v>0</v>
      </c>
      <c r="K152" s="1352">
        <f t="shared" si="38"/>
        <v>0</v>
      </c>
      <c r="L152" s="1537">
        <f t="shared" si="47"/>
        <v>0.4</v>
      </c>
      <c r="M152" s="265">
        <f>O152*P152/10000</f>
        <v>0.5</v>
      </c>
      <c r="N152" s="28" t="s">
        <v>156</v>
      </c>
      <c r="O152" s="28">
        <v>50</v>
      </c>
      <c r="P152" s="219">
        <v>100</v>
      </c>
      <c r="Q152" s="1538">
        <v>0.8</v>
      </c>
      <c r="R152" s="1271">
        <f t="shared" si="46"/>
        <v>1</v>
      </c>
      <c r="S152" s="1272" t="s">
        <v>967</v>
      </c>
    </row>
    <row r="153" spans="1:19" hidden="1" x14ac:dyDescent="0.2">
      <c r="A153" s="30">
        <f t="shared" si="37"/>
        <v>34</v>
      </c>
      <c r="B153" s="427" t="s">
        <v>661</v>
      </c>
      <c r="C153" s="715" t="s">
        <v>1816</v>
      </c>
      <c r="D153" s="416"/>
      <c r="E153" s="409" t="s">
        <v>314</v>
      </c>
      <c r="F153" s="66">
        <v>9.8000000000000004E-2</v>
      </c>
      <c r="G153" s="465"/>
      <c r="H153" s="26">
        <f t="shared" si="35"/>
        <v>0</v>
      </c>
      <c r="I153" s="982">
        <v>401.7</v>
      </c>
      <c r="J153" s="1009">
        <f>H153*I153</f>
        <v>0</v>
      </c>
      <c r="K153" s="1352">
        <f t="shared" si="38"/>
        <v>0</v>
      </c>
      <c r="L153" s="983">
        <v>401.7</v>
      </c>
      <c r="Q153" s="361"/>
    </row>
    <row r="154" spans="1:19" hidden="1" x14ac:dyDescent="0.2">
      <c r="A154" s="30">
        <f t="shared" si="37"/>
        <v>35</v>
      </c>
      <c r="B154" s="427" t="s">
        <v>151</v>
      </c>
      <c r="C154" s="715" t="s">
        <v>1816</v>
      </c>
      <c r="D154" s="416"/>
      <c r="E154" s="409" t="s">
        <v>314</v>
      </c>
      <c r="F154" s="66">
        <v>0.37</v>
      </c>
      <c r="G154" s="465"/>
      <c r="H154" s="26">
        <f t="shared" si="35"/>
        <v>0</v>
      </c>
      <c r="I154" s="982">
        <v>461.96</v>
      </c>
      <c r="J154" s="1009">
        <f t="shared" si="34"/>
        <v>0</v>
      </c>
      <c r="K154" s="1352">
        <f t="shared" si="38"/>
        <v>0</v>
      </c>
      <c r="L154" s="983">
        <v>461.95499999999998</v>
      </c>
      <c r="Q154" s="361"/>
    </row>
    <row r="155" spans="1:19" hidden="1" x14ac:dyDescent="0.2">
      <c r="A155" s="30">
        <f t="shared" si="37"/>
        <v>36</v>
      </c>
      <c r="B155" s="427" t="s">
        <v>152</v>
      </c>
      <c r="C155" s="715" t="s">
        <v>1816</v>
      </c>
      <c r="D155" s="416"/>
      <c r="E155" s="409" t="s">
        <v>157</v>
      </c>
      <c r="F155" s="66">
        <v>1</v>
      </c>
      <c r="G155" s="465"/>
      <c r="H155" s="26">
        <f t="shared" si="35"/>
        <v>0</v>
      </c>
      <c r="I155" s="982">
        <v>0.2</v>
      </c>
      <c r="J155" s="1009">
        <f t="shared" si="34"/>
        <v>0</v>
      </c>
      <c r="K155" s="1352">
        <f t="shared" si="38"/>
        <v>0</v>
      </c>
      <c r="L155" s="983">
        <v>0.2</v>
      </c>
      <c r="Q155" s="361"/>
    </row>
    <row r="156" spans="1:19" hidden="1" x14ac:dyDescent="0.2">
      <c r="A156" s="30">
        <f t="shared" si="37"/>
        <v>37</v>
      </c>
      <c r="B156" s="427" t="s">
        <v>154</v>
      </c>
      <c r="C156" s="715" t="s">
        <v>1816</v>
      </c>
      <c r="D156" s="416"/>
      <c r="E156" s="409" t="s">
        <v>157</v>
      </c>
      <c r="F156" s="66">
        <v>1</v>
      </c>
      <c r="G156" s="465"/>
      <c r="H156" s="26">
        <f t="shared" si="35"/>
        <v>0</v>
      </c>
      <c r="I156" s="982">
        <v>0.15</v>
      </c>
      <c r="J156" s="1009">
        <f t="shared" si="34"/>
        <v>0</v>
      </c>
      <c r="K156" s="1352">
        <f t="shared" si="38"/>
        <v>0</v>
      </c>
      <c r="L156" s="983">
        <v>0.15</v>
      </c>
      <c r="Q156" s="361"/>
    </row>
    <row r="157" spans="1:19" hidden="1" x14ac:dyDescent="0.2">
      <c r="A157" s="30">
        <f t="shared" si="37"/>
        <v>38</v>
      </c>
      <c r="B157" s="427" t="s">
        <v>90</v>
      </c>
      <c r="C157" s="715" t="s">
        <v>1816</v>
      </c>
      <c r="D157" s="416"/>
      <c r="E157" s="409" t="s">
        <v>157</v>
      </c>
      <c r="F157" s="66">
        <v>1</v>
      </c>
      <c r="G157" s="465"/>
      <c r="H157" s="26">
        <f t="shared" si="35"/>
        <v>0</v>
      </c>
      <c r="I157" s="982">
        <v>0.1</v>
      </c>
      <c r="J157" s="1009">
        <f t="shared" si="34"/>
        <v>0</v>
      </c>
      <c r="K157" s="1352">
        <f t="shared" si="38"/>
        <v>0</v>
      </c>
      <c r="L157" s="983">
        <v>0.1</v>
      </c>
      <c r="Q157" s="361"/>
    </row>
    <row r="158" spans="1:19" hidden="1" x14ac:dyDescent="0.2">
      <c r="A158" s="30">
        <f t="shared" si="37"/>
        <v>39</v>
      </c>
      <c r="B158" s="427" t="s">
        <v>662</v>
      </c>
      <c r="C158" s="715" t="s">
        <v>1816</v>
      </c>
      <c r="D158" s="416"/>
      <c r="E158" s="409" t="s">
        <v>157</v>
      </c>
      <c r="F158" s="66">
        <v>1</v>
      </c>
      <c r="G158" s="465"/>
      <c r="H158" s="26">
        <f t="shared" si="35"/>
        <v>0</v>
      </c>
      <c r="I158" s="982">
        <v>0.12</v>
      </c>
      <c r="J158" s="1009">
        <f t="shared" si="34"/>
        <v>0</v>
      </c>
      <c r="K158" s="1352">
        <f t="shared" si="38"/>
        <v>0</v>
      </c>
      <c r="L158" s="983">
        <v>0.12</v>
      </c>
      <c r="Q158" s="361"/>
    </row>
    <row r="159" spans="1:19" hidden="1" x14ac:dyDescent="0.2">
      <c r="A159" s="30">
        <f t="shared" si="37"/>
        <v>40</v>
      </c>
      <c r="B159" s="427" t="s">
        <v>663</v>
      </c>
      <c r="C159" s="715" t="s">
        <v>1816</v>
      </c>
      <c r="D159" s="416"/>
      <c r="E159" s="409" t="s">
        <v>157</v>
      </c>
      <c r="F159" s="66">
        <v>1</v>
      </c>
      <c r="G159" s="465"/>
      <c r="H159" s="26">
        <f t="shared" si="35"/>
        <v>0</v>
      </c>
      <c r="I159" s="982">
        <v>0.19</v>
      </c>
      <c r="J159" s="1009">
        <f t="shared" si="34"/>
        <v>0</v>
      </c>
      <c r="K159" s="1352">
        <f t="shared" si="38"/>
        <v>0</v>
      </c>
      <c r="L159" s="983">
        <v>0.19</v>
      </c>
      <c r="Q159" s="361"/>
    </row>
    <row r="160" spans="1:19" hidden="1" x14ac:dyDescent="0.2">
      <c r="A160" s="30">
        <f t="shared" si="37"/>
        <v>41</v>
      </c>
      <c r="B160" s="427" t="s">
        <v>664</v>
      </c>
      <c r="C160" s="715" t="s">
        <v>1816</v>
      </c>
      <c r="D160" s="416"/>
      <c r="E160" s="409" t="s">
        <v>157</v>
      </c>
      <c r="F160" s="66">
        <v>1</v>
      </c>
      <c r="G160" s="465"/>
      <c r="H160" s="26">
        <f t="shared" si="35"/>
        <v>0</v>
      </c>
      <c r="I160" s="982">
        <v>0.21</v>
      </c>
      <c r="J160" s="1009">
        <f t="shared" si="34"/>
        <v>0</v>
      </c>
      <c r="K160" s="1352">
        <f t="shared" si="38"/>
        <v>0</v>
      </c>
      <c r="L160" s="983">
        <v>0.21</v>
      </c>
      <c r="Q160" s="361"/>
    </row>
    <row r="161" spans="1:17" hidden="1" x14ac:dyDescent="0.2">
      <c r="A161" s="30">
        <f t="shared" si="37"/>
        <v>42</v>
      </c>
      <c r="B161" s="427" t="s">
        <v>665</v>
      </c>
      <c r="C161" s="715" t="s">
        <v>1816</v>
      </c>
      <c r="D161" s="416"/>
      <c r="E161" s="409" t="s">
        <v>169</v>
      </c>
      <c r="F161" s="66">
        <v>1</v>
      </c>
      <c r="G161" s="465"/>
      <c r="H161" s="26">
        <f t="shared" si="35"/>
        <v>0</v>
      </c>
      <c r="I161" s="982">
        <v>25.16</v>
      </c>
      <c r="J161" s="1009">
        <f t="shared" si="34"/>
        <v>0</v>
      </c>
      <c r="K161" s="1352">
        <f t="shared" si="38"/>
        <v>0</v>
      </c>
      <c r="L161" s="983">
        <v>25.16</v>
      </c>
      <c r="Q161" s="361"/>
    </row>
    <row r="162" spans="1:17" hidden="1" x14ac:dyDescent="0.2">
      <c r="A162" s="30">
        <f t="shared" si="37"/>
        <v>43</v>
      </c>
      <c r="B162" s="427" t="s">
        <v>666</v>
      </c>
      <c r="C162" s="715" t="s">
        <v>1816</v>
      </c>
      <c r="D162" s="416"/>
      <c r="E162" s="409" t="s">
        <v>169</v>
      </c>
      <c r="F162" s="66">
        <v>1</v>
      </c>
      <c r="G162" s="465"/>
      <c r="H162" s="26">
        <f t="shared" ref="H162:H187" si="49">F162*G162</f>
        <v>0</v>
      </c>
      <c r="I162" s="982">
        <v>25.16</v>
      </c>
      <c r="J162" s="1009">
        <f t="shared" si="34"/>
        <v>0</v>
      </c>
      <c r="K162" s="1352">
        <f t="shared" si="38"/>
        <v>0</v>
      </c>
      <c r="L162" s="983">
        <v>25.16</v>
      </c>
      <c r="Q162" s="361"/>
    </row>
    <row r="163" spans="1:17" hidden="1" x14ac:dyDescent="0.2">
      <c r="A163" s="30">
        <f t="shared" si="37"/>
        <v>44</v>
      </c>
      <c r="B163" s="427" t="s">
        <v>667</v>
      </c>
      <c r="C163" s="715" t="s">
        <v>1816</v>
      </c>
      <c r="D163" s="416"/>
      <c r="E163" s="409" t="s">
        <v>169</v>
      </c>
      <c r="F163" s="66">
        <v>1</v>
      </c>
      <c r="G163" s="465"/>
      <c r="H163" s="26">
        <f t="shared" si="49"/>
        <v>0</v>
      </c>
      <c r="I163" s="982">
        <v>34.5</v>
      </c>
      <c r="J163" s="1009">
        <f t="shared" si="34"/>
        <v>0</v>
      </c>
      <c r="K163" s="1352">
        <f t="shared" si="38"/>
        <v>0</v>
      </c>
      <c r="L163" s="983">
        <v>34.5</v>
      </c>
      <c r="Q163" s="361"/>
    </row>
    <row r="164" spans="1:17" hidden="1" x14ac:dyDescent="0.2">
      <c r="A164" s="30">
        <f t="shared" si="37"/>
        <v>45</v>
      </c>
      <c r="B164" s="427" t="s">
        <v>668</v>
      </c>
      <c r="C164" s="715" t="s">
        <v>1816</v>
      </c>
      <c r="D164" s="416"/>
      <c r="E164" s="409" t="s">
        <v>169</v>
      </c>
      <c r="F164" s="66">
        <v>1</v>
      </c>
      <c r="G164" s="465"/>
      <c r="H164" s="26">
        <f t="shared" si="49"/>
        <v>0</v>
      </c>
      <c r="I164" s="982">
        <v>149.35</v>
      </c>
      <c r="J164" s="1009">
        <f t="shared" si="34"/>
        <v>0</v>
      </c>
      <c r="K164" s="1352">
        <f t="shared" si="38"/>
        <v>0</v>
      </c>
      <c r="L164" s="983">
        <v>149.35</v>
      </c>
      <c r="Q164" s="361"/>
    </row>
    <row r="165" spans="1:17" hidden="1" x14ac:dyDescent="0.2">
      <c r="A165" s="30">
        <f t="shared" si="37"/>
        <v>46</v>
      </c>
      <c r="B165" s="427" t="s">
        <v>419</v>
      </c>
      <c r="C165" s="715" t="s">
        <v>1816</v>
      </c>
      <c r="D165" s="416"/>
      <c r="E165" s="409" t="s">
        <v>258</v>
      </c>
      <c r="F165" s="66">
        <v>1</v>
      </c>
      <c r="G165" s="465"/>
      <c r="H165" s="26">
        <f t="shared" si="49"/>
        <v>0</v>
      </c>
      <c r="I165" s="982">
        <v>3.66</v>
      </c>
      <c r="J165" s="1009">
        <f t="shared" si="34"/>
        <v>0</v>
      </c>
      <c r="K165" s="1352">
        <f t="shared" si="38"/>
        <v>0</v>
      </c>
      <c r="L165" s="983">
        <v>3.6564999999999999</v>
      </c>
      <c r="Q165" s="361"/>
    </row>
    <row r="166" spans="1:17" hidden="1" x14ac:dyDescent="0.2">
      <c r="A166" s="30">
        <f t="shared" si="37"/>
        <v>47</v>
      </c>
      <c r="B166" s="427" t="s">
        <v>170</v>
      </c>
      <c r="C166" s="715" t="s">
        <v>1816</v>
      </c>
      <c r="D166" s="416"/>
      <c r="E166" s="409" t="s">
        <v>337</v>
      </c>
      <c r="F166" s="66">
        <v>0.06</v>
      </c>
      <c r="G166" s="465"/>
      <c r="H166" s="26">
        <f t="shared" si="49"/>
        <v>0</v>
      </c>
      <c r="I166" s="982">
        <f t="shared" si="36"/>
        <v>18.54</v>
      </c>
      <c r="J166" s="1009">
        <f t="shared" si="34"/>
        <v>0</v>
      </c>
      <c r="K166" s="1352">
        <f t="shared" si="38"/>
        <v>0</v>
      </c>
      <c r="L166" s="983">
        <v>18.54</v>
      </c>
      <c r="Q166" s="361"/>
    </row>
    <row r="167" spans="1:17" hidden="1" x14ac:dyDescent="0.2">
      <c r="A167" s="30">
        <f t="shared" si="37"/>
        <v>48</v>
      </c>
      <c r="B167" s="427" t="s">
        <v>276</v>
      </c>
      <c r="C167" s="715" t="s">
        <v>1816</v>
      </c>
      <c r="D167" s="416"/>
      <c r="E167" s="409" t="s">
        <v>258</v>
      </c>
      <c r="F167" s="66">
        <v>1</v>
      </c>
      <c r="G167" s="465"/>
      <c r="H167" s="26">
        <f t="shared" si="49"/>
        <v>0</v>
      </c>
      <c r="I167" s="982">
        <f t="shared" si="36"/>
        <v>0.29869999999999997</v>
      </c>
      <c r="J167" s="1009">
        <f t="shared" si="34"/>
        <v>0</v>
      </c>
      <c r="K167" s="1352">
        <f t="shared" si="38"/>
        <v>0</v>
      </c>
      <c r="L167" s="983">
        <v>0.29869999999999997</v>
      </c>
      <c r="Q167" s="361"/>
    </row>
    <row r="168" spans="1:17" hidden="1" x14ac:dyDescent="0.2">
      <c r="A168" s="30">
        <f t="shared" si="37"/>
        <v>49</v>
      </c>
      <c r="B168" s="427" t="s">
        <v>171</v>
      </c>
      <c r="C168" s="715" t="s">
        <v>1816</v>
      </c>
      <c r="D168" s="416"/>
      <c r="E168" s="409" t="s">
        <v>314</v>
      </c>
      <c r="F168" s="66">
        <v>1.4E-2</v>
      </c>
      <c r="G168" s="465"/>
      <c r="H168" s="26">
        <f t="shared" si="49"/>
        <v>0</v>
      </c>
      <c r="I168" s="982">
        <v>367.71</v>
      </c>
      <c r="J168" s="1009">
        <f t="shared" si="34"/>
        <v>0</v>
      </c>
      <c r="K168" s="1352">
        <f t="shared" si="38"/>
        <v>0</v>
      </c>
      <c r="L168" s="983">
        <v>367.71000000000004</v>
      </c>
      <c r="Q168" s="361"/>
    </row>
    <row r="169" spans="1:17" hidden="1" x14ac:dyDescent="0.2">
      <c r="A169" s="30">
        <f t="shared" si="37"/>
        <v>50</v>
      </c>
      <c r="B169" s="1344" t="s">
        <v>1029</v>
      </c>
      <c r="C169" s="715" t="s">
        <v>1816</v>
      </c>
      <c r="D169" s="416"/>
      <c r="E169" s="409" t="s">
        <v>156</v>
      </c>
      <c r="F169" s="66">
        <v>1.4E-2</v>
      </c>
      <c r="G169" s="465"/>
      <c r="H169" s="26">
        <f t="shared" si="49"/>
        <v>0</v>
      </c>
      <c r="I169" s="982">
        <v>15</v>
      </c>
      <c r="J169" s="1009">
        <f t="shared" si="34"/>
        <v>0</v>
      </c>
      <c r="K169" s="1352">
        <f t="shared" si="38"/>
        <v>0</v>
      </c>
      <c r="L169" s="1322">
        <v>15</v>
      </c>
      <c r="Q169" s="361"/>
    </row>
    <row r="170" spans="1:17" hidden="1" x14ac:dyDescent="0.2">
      <c r="A170" s="30">
        <f t="shared" si="37"/>
        <v>51</v>
      </c>
      <c r="B170" s="1344" t="s">
        <v>1030</v>
      </c>
      <c r="C170" s="715" t="s">
        <v>1816</v>
      </c>
      <c r="D170" s="416"/>
      <c r="E170" s="409" t="s">
        <v>156</v>
      </c>
      <c r="F170" s="66">
        <v>1.4E-2</v>
      </c>
      <c r="G170" s="465"/>
      <c r="H170" s="26">
        <f t="shared" ref="H170" si="50">F170*G170</f>
        <v>0</v>
      </c>
      <c r="I170" s="982">
        <v>15</v>
      </c>
      <c r="J170" s="1009">
        <f t="shared" ref="J170" si="51">H170*I170</f>
        <v>0</v>
      </c>
      <c r="K170" s="1352">
        <f t="shared" si="38"/>
        <v>0</v>
      </c>
      <c r="L170" s="1322">
        <v>15</v>
      </c>
      <c r="Q170" s="361"/>
    </row>
    <row r="171" spans="1:17" hidden="1" x14ac:dyDescent="0.2">
      <c r="A171" s="30">
        <f t="shared" si="37"/>
        <v>52</v>
      </c>
      <c r="B171" s="1344" t="s">
        <v>1031</v>
      </c>
      <c r="C171" s="715" t="s">
        <v>1816</v>
      </c>
      <c r="D171" s="416"/>
      <c r="E171" s="409" t="s">
        <v>156</v>
      </c>
      <c r="F171" s="66">
        <v>1.4E-2</v>
      </c>
      <c r="G171" s="465"/>
      <c r="H171" s="26">
        <f t="shared" ref="H171" si="52">F171*G171</f>
        <v>0</v>
      </c>
      <c r="I171" s="982">
        <v>5</v>
      </c>
      <c r="J171" s="1009">
        <f t="shared" ref="J171" si="53">H171*I171</f>
        <v>0</v>
      </c>
      <c r="K171" s="1352">
        <f t="shared" si="38"/>
        <v>0</v>
      </c>
      <c r="L171" s="1322">
        <v>5</v>
      </c>
      <c r="Q171" s="361"/>
    </row>
    <row r="172" spans="1:17" hidden="1" x14ac:dyDescent="0.2">
      <c r="A172" s="30">
        <f t="shared" si="37"/>
        <v>53</v>
      </c>
      <c r="B172" s="427" t="s">
        <v>155</v>
      </c>
      <c r="C172" s="715" t="s">
        <v>1816</v>
      </c>
      <c r="D172" s="416"/>
      <c r="E172" s="409" t="s">
        <v>258</v>
      </c>
      <c r="F172" s="66">
        <v>1</v>
      </c>
      <c r="G172" s="465"/>
      <c r="H172" s="26">
        <f t="shared" si="49"/>
        <v>0</v>
      </c>
      <c r="I172" s="982">
        <f t="shared" si="36"/>
        <v>2161.6403999999998</v>
      </c>
      <c r="J172" s="1009">
        <f t="shared" si="34"/>
        <v>0</v>
      </c>
      <c r="K172" s="1352">
        <f t="shared" si="38"/>
        <v>0</v>
      </c>
      <c r="L172" s="983">
        <v>2161.6403999999998</v>
      </c>
      <c r="Q172" s="361"/>
    </row>
    <row r="173" spans="1:17" hidden="1" x14ac:dyDescent="0.2">
      <c r="A173" s="30">
        <f t="shared" si="37"/>
        <v>54</v>
      </c>
      <c r="B173" s="427" t="s">
        <v>367</v>
      </c>
      <c r="C173" s="715" t="s">
        <v>1816</v>
      </c>
      <c r="D173" s="416"/>
      <c r="E173" s="409" t="s">
        <v>258</v>
      </c>
      <c r="F173" s="66">
        <v>1</v>
      </c>
      <c r="G173" s="465"/>
      <c r="H173" s="26">
        <f t="shared" si="49"/>
        <v>0</v>
      </c>
      <c r="I173" s="982">
        <v>48.56</v>
      </c>
      <c r="J173" s="1009">
        <f t="shared" si="34"/>
        <v>0</v>
      </c>
      <c r="K173" s="1352">
        <f t="shared" si="38"/>
        <v>0</v>
      </c>
      <c r="L173" s="983">
        <v>48.564500000000002</v>
      </c>
      <c r="Q173" s="361"/>
    </row>
    <row r="174" spans="1:17" hidden="1" x14ac:dyDescent="0.2">
      <c r="A174" s="30">
        <f t="shared" si="37"/>
        <v>55</v>
      </c>
      <c r="B174" s="427" t="s">
        <v>368</v>
      </c>
      <c r="C174" s="715" t="s">
        <v>1816</v>
      </c>
      <c r="D174" s="416"/>
      <c r="E174" s="409" t="s">
        <v>337</v>
      </c>
      <c r="F174" s="66">
        <v>1</v>
      </c>
      <c r="G174" s="465"/>
      <c r="H174" s="26">
        <f t="shared" si="49"/>
        <v>0</v>
      </c>
      <c r="I174" s="982">
        <v>31.02</v>
      </c>
      <c r="J174" s="1009">
        <f t="shared" si="34"/>
        <v>0</v>
      </c>
      <c r="K174" s="1352">
        <f t="shared" si="38"/>
        <v>0</v>
      </c>
      <c r="L174" s="983">
        <v>31.023600000000002</v>
      </c>
      <c r="Q174" s="361"/>
    </row>
    <row r="175" spans="1:17" hidden="1" x14ac:dyDescent="0.2">
      <c r="A175" s="30">
        <f t="shared" si="37"/>
        <v>56</v>
      </c>
      <c r="B175" s="746" t="s">
        <v>669</v>
      </c>
      <c r="C175" s="715" t="s">
        <v>1816</v>
      </c>
      <c r="D175" s="416"/>
      <c r="E175" s="409" t="s">
        <v>337</v>
      </c>
      <c r="F175" s="66">
        <v>1</v>
      </c>
      <c r="G175" s="465"/>
      <c r="H175" s="26">
        <f t="shared" si="49"/>
        <v>0</v>
      </c>
      <c r="I175" s="982">
        <v>1.25</v>
      </c>
      <c r="J175" s="1009">
        <f t="shared" si="34"/>
        <v>0</v>
      </c>
      <c r="K175" s="1352">
        <f t="shared" si="38"/>
        <v>0</v>
      </c>
      <c r="L175" s="983">
        <v>1.2463</v>
      </c>
      <c r="Q175" s="361"/>
    </row>
    <row r="176" spans="1:17" x14ac:dyDescent="0.2">
      <c r="A176" s="30">
        <f t="shared" si="37"/>
        <v>57</v>
      </c>
      <c r="B176" s="427" t="s">
        <v>363</v>
      </c>
      <c r="C176" s="715" t="s">
        <v>1816</v>
      </c>
      <c r="D176" s="416"/>
      <c r="E176" s="409" t="s">
        <v>337</v>
      </c>
      <c r="F176" s="66">
        <v>1.9</v>
      </c>
      <c r="G176" s="465">
        <f>Трудозатраты!H827</f>
        <v>125</v>
      </c>
      <c r="H176" s="26">
        <f t="shared" si="49"/>
        <v>237.5</v>
      </c>
      <c r="I176" s="982">
        <v>0.5</v>
      </c>
      <c r="J176" s="1009">
        <f t="shared" si="34"/>
        <v>118.75</v>
      </c>
      <c r="K176" s="1352">
        <f t="shared" si="38"/>
        <v>1</v>
      </c>
      <c r="L176" s="983">
        <v>0.5</v>
      </c>
      <c r="Q176" s="361"/>
    </row>
    <row r="177" spans="1:19" hidden="1" x14ac:dyDescent="0.2">
      <c r="A177" s="30">
        <f t="shared" si="37"/>
        <v>58</v>
      </c>
      <c r="B177" s="746" t="s">
        <v>670</v>
      </c>
      <c r="C177" s="715" t="s">
        <v>1816</v>
      </c>
      <c r="D177" s="416"/>
      <c r="E177" s="409"/>
      <c r="F177" s="66"/>
      <c r="G177" s="465"/>
      <c r="H177" s="26">
        <f t="shared" si="49"/>
        <v>0</v>
      </c>
      <c r="I177" s="985">
        <v>0</v>
      </c>
      <c r="J177" s="1009">
        <f t="shared" si="34"/>
        <v>0</v>
      </c>
      <c r="K177" s="1352">
        <f t="shared" si="38"/>
        <v>0</v>
      </c>
      <c r="L177" s="982"/>
    </row>
    <row r="178" spans="1:19" hidden="1" x14ac:dyDescent="0.2">
      <c r="A178" s="30">
        <f t="shared" si="37"/>
        <v>59</v>
      </c>
      <c r="B178" s="746" t="s">
        <v>670</v>
      </c>
      <c r="C178" s="715" t="s">
        <v>1816</v>
      </c>
      <c r="D178" s="416"/>
      <c r="E178" s="409"/>
      <c r="F178" s="66"/>
      <c r="G178" s="465"/>
      <c r="H178" s="26">
        <f t="shared" si="49"/>
        <v>0</v>
      </c>
      <c r="I178" s="985">
        <f t="shared" si="36"/>
        <v>0</v>
      </c>
      <c r="J178" s="1009">
        <f t="shared" si="34"/>
        <v>0</v>
      </c>
      <c r="K178" s="1352">
        <f t="shared" si="38"/>
        <v>0</v>
      </c>
      <c r="L178" s="982"/>
    </row>
    <row r="179" spans="1:19" hidden="1" x14ac:dyDescent="0.2">
      <c r="A179" s="30">
        <f t="shared" si="37"/>
        <v>60</v>
      </c>
      <c r="B179" s="746" t="s">
        <v>670</v>
      </c>
      <c r="C179" s="715" t="s">
        <v>1816</v>
      </c>
      <c r="D179" s="416"/>
      <c r="E179" s="409"/>
      <c r="F179" s="66"/>
      <c r="G179" s="465"/>
      <c r="H179" s="26">
        <f t="shared" si="49"/>
        <v>0</v>
      </c>
      <c r="I179" s="985">
        <f t="shared" si="36"/>
        <v>0</v>
      </c>
      <c r="J179" s="1009">
        <f t="shared" si="34"/>
        <v>0</v>
      </c>
      <c r="K179" s="1352">
        <f t="shared" si="38"/>
        <v>0</v>
      </c>
      <c r="L179" s="982"/>
    </row>
    <row r="180" spans="1:19" hidden="1" x14ac:dyDescent="0.2">
      <c r="A180" s="30">
        <f t="shared" si="37"/>
        <v>61</v>
      </c>
      <c r="B180" s="746" t="s">
        <v>670</v>
      </c>
      <c r="C180" s="715" t="s">
        <v>1816</v>
      </c>
      <c r="D180" s="416"/>
      <c r="E180" s="409"/>
      <c r="F180" s="66"/>
      <c r="G180" s="465"/>
      <c r="H180" s="26">
        <f t="shared" si="49"/>
        <v>0</v>
      </c>
      <c r="I180" s="985">
        <f>L180+(L180*$M$3)</f>
        <v>0</v>
      </c>
      <c r="J180" s="1009">
        <f t="shared" si="34"/>
        <v>0</v>
      </c>
      <c r="K180" s="1352">
        <f t="shared" si="38"/>
        <v>0</v>
      </c>
      <c r="L180" s="982"/>
      <c r="P180" s="28">
        <v>25.41</v>
      </c>
    </row>
    <row r="181" spans="1:19" hidden="1" x14ac:dyDescent="0.2">
      <c r="A181" s="30">
        <f t="shared" si="37"/>
        <v>62</v>
      </c>
      <c r="B181" s="746" t="s">
        <v>670</v>
      </c>
      <c r="C181" s="715" t="s">
        <v>1816</v>
      </c>
      <c r="D181" s="416"/>
      <c r="E181" s="409"/>
      <c r="F181" s="66"/>
      <c r="G181" s="465"/>
      <c r="H181" s="26">
        <f t="shared" si="49"/>
        <v>0</v>
      </c>
      <c r="I181" s="985">
        <f t="shared" si="36"/>
        <v>0</v>
      </c>
      <c r="J181" s="1009">
        <f t="shared" si="34"/>
        <v>0</v>
      </c>
      <c r="K181" s="1352">
        <f t="shared" si="38"/>
        <v>0</v>
      </c>
      <c r="L181" s="982"/>
      <c r="P181" s="28">
        <v>26.21</v>
      </c>
    </row>
    <row r="182" spans="1:19" hidden="1" x14ac:dyDescent="0.2">
      <c r="A182" s="30">
        <f t="shared" si="37"/>
        <v>63</v>
      </c>
      <c r="B182" s="746" t="s">
        <v>670</v>
      </c>
      <c r="C182" s="715" t="s">
        <v>1816</v>
      </c>
      <c r="D182" s="416"/>
      <c r="E182" s="409"/>
      <c r="F182" s="66"/>
      <c r="G182" s="465"/>
      <c r="H182" s="26">
        <f t="shared" si="49"/>
        <v>0</v>
      </c>
      <c r="I182" s="985">
        <f t="shared" si="36"/>
        <v>0</v>
      </c>
      <c r="J182" s="1009">
        <f t="shared" si="34"/>
        <v>0</v>
      </c>
      <c r="K182" s="1352">
        <f t="shared" si="38"/>
        <v>0</v>
      </c>
      <c r="L182" s="982"/>
      <c r="P182" s="28">
        <v>26.95</v>
      </c>
    </row>
    <row r="183" spans="1:19" hidden="1" x14ac:dyDescent="0.2">
      <c r="A183" s="30">
        <f t="shared" si="37"/>
        <v>64</v>
      </c>
      <c r="B183" s="746" t="s">
        <v>670</v>
      </c>
      <c r="C183" s="715" t="s">
        <v>1816</v>
      </c>
      <c r="D183" s="416"/>
      <c r="E183" s="409"/>
      <c r="F183" s="66"/>
      <c r="G183" s="465"/>
      <c r="H183" s="26">
        <f t="shared" si="49"/>
        <v>0</v>
      </c>
      <c r="I183" s="985">
        <f t="shared" si="36"/>
        <v>0</v>
      </c>
      <c r="J183" s="1009">
        <f>H183*I183</f>
        <v>0</v>
      </c>
      <c r="K183" s="1352">
        <f t="shared" si="38"/>
        <v>0</v>
      </c>
      <c r="L183" s="982"/>
    </row>
    <row r="184" spans="1:19" hidden="1" x14ac:dyDescent="0.2">
      <c r="A184" s="30">
        <f t="shared" si="37"/>
        <v>65</v>
      </c>
      <c r="B184" s="746" t="s">
        <v>670</v>
      </c>
      <c r="C184" s="715" t="s">
        <v>1816</v>
      </c>
      <c r="D184" s="416"/>
      <c r="E184" s="409"/>
      <c r="F184" s="66"/>
      <c r="G184" s="465"/>
      <c r="H184" s="26">
        <f t="shared" si="49"/>
        <v>0</v>
      </c>
      <c r="I184" s="985">
        <f t="shared" si="36"/>
        <v>0</v>
      </c>
      <c r="J184" s="1009">
        <f>H184*I184</f>
        <v>0</v>
      </c>
      <c r="K184" s="1352">
        <f t="shared" si="38"/>
        <v>0</v>
      </c>
      <c r="L184" s="982"/>
    </row>
    <row r="185" spans="1:19" hidden="1" x14ac:dyDescent="0.2">
      <c r="A185" s="30">
        <f t="shared" si="37"/>
        <v>66</v>
      </c>
      <c r="B185" s="746" t="s">
        <v>670</v>
      </c>
      <c r="C185" s="715" t="s">
        <v>1816</v>
      </c>
      <c r="D185" s="416"/>
      <c r="E185" s="409"/>
      <c r="F185" s="66"/>
      <c r="G185" s="465"/>
      <c r="H185" s="26">
        <f t="shared" si="49"/>
        <v>0</v>
      </c>
      <c r="I185" s="985">
        <f t="shared" si="36"/>
        <v>0</v>
      </c>
      <c r="J185" s="1009">
        <f>H185*I185</f>
        <v>0</v>
      </c>
      <c r="K185" s="1352">
        <f t="shared" si="38"/>
        <v>0</v>
      </c>
      <c r="L185" s="982"/>
    </row>
    <row r="186" spans="1:19" hidden="1" x14ac:dyDescent="0.2">
      <c r="A186" s="30">
        <f t="shared" ref="A186" si="54">A185+1</f>
        <v>67</v>
      </c>
      <c r="B186" s="746" t="s">
        <v>670</v>
      </c>
      <c r="C186" s="715" t="s">
        <v>1816</v>
      </c>
      <c r="D186" s="416"/>
      <c r="E186" s="409"/>
      <c r="F186" s="66"/>
      <c r="G186" s="465"/>
      <c r="H186" s="26">
        <f t="shared" si="49"/>
        <v>0</v>
      </c>
      <c r="I186" s="985">
        <f t="shared" si="36"/>
        <v>0</v>
      </c>
      <c r="J186" s="1009">
        <f>H186*I186</f>
        <v>0</v>
      </c>
      <c r="K186" s="1352">
        <f t="shared" si="38"/>
        <v>0</v>
      </c>
      <c r="L186" s="982"/>
    </row>
    <row r="187" spans="1:19" hidden="1" x14ac:dyDescent="0.2">
      <c r="A187" s="30"/>
      <c r="B187" s="746" t="s">
        <v>670</v>
      </c>
      <c r="D187" s="416"/>
      <c r="E187" s="409"/>
      <c r="F187" s="66"/>
      <c r="G187" s="465"/>
      <c r="H187" s="26">
        <f t="shared" si="49"/>
        <v>0</v>
      </c>
      <c r="I187" s="985">
        <f t="shared" si="36"/>
        <v>0</v>
      </c>
      <c r="J187" s="1009">
        <f>H187*I187</f>
        <v>0</v>
      </c>
      <c r="K187" s="1352">
        <f t="shared" si="38"/>
        <v>0</v>
      </c>
      <c r="L187" s="991"/>
    </row>
    <row r="188" spans="1:19" x14ac:dyDescent="0.2">
      <c r="A188" s="287"/>
      <c r="B188" s="429" t="s">
        <v>342</v>
      </c>
      <c r="C188" s="2096"/>
      <c r="D188" s="405"/>
      <c r="E188" s="404"/>
      <c r="F188" s="406"/>
      <c r="G188" s="464"/>
      <c r="H188" s="445"/>
      <c r="I188" s="455"/>
      <c r="J188" s="1014">
        <f>SUM(J120:J187)</f>
        <v>118.75</v>
      </c>
      <c r="K188" s="1352">
        <f t="shared" si="38"/>
        <v>1</v>
      </c>
      <c r="L188" s="279"/>
    </row>
    <row r="189" spans="1:19" x14ac:dyDescent="0.2">
      <c r="A189" s="287"/>
      <c r="B189" s="425" t="s">
        <v>190</v>
      </c>
      <c r="C189" s="2096"/>
      <c r="D189" s="405"/>
      <c r="E189" s="404"/>
      <c r="F189" s="406"/>
      <c r="G189" s="464"/>
      <c r="H189" s="445"/>
      <c r="I189" s="455"/>
      <c r="J189" s="1010">
        <f>J111+J118+J188</f>
        <v>118.75</v>
      </c>
      <c r="K189" s="1352">
        <f t="shared" si="38"/>
        <v>1</v>
      </c>
      <c r="L189" s="279"/>
      <c r="R189" s="1199" t="s">
        <v>942</v>
      </c>
    </row>
    <row r="190" spans="1:19" ht="13.5" thickBot="1" x14ac:dyDescent="0.25">
      <c r="A190" s="292">
        <v>0</v>
      </c>
      <c r="B190" s="426" t="s">
        <v>188</v>
      </c>
      <c r="C190" s="2097"/>
      <c r="D190" s="408"/>
      <c r="E190" s="297"/>
      <c r="F190" s="366"/>
      <c r="G190" s="459"/>
      <c r="H190" s="283"/>
      <c r="I190" s="283"/>
      <c r="J190" s="1008">
        <f ca="1">J313</f>
        <v>23906.126691562502</v>
      </c>
      <c r="K190" s="1352">
        <f t="shared" ca="1" si="38"/>
        <v>1</v>
      </c>
      <c r="L190" s="279"/>
      <c r="M190" s="267">
        <v>0</v>
      </c>
      <c r="R190" s="1200" t="s">
        <v>943</v>
      </c>
    </row>
    <row r="191" spans="1:19" hidden="1" x14ac:dyDescent="0.2">
      <c r="A191" s="50">
        <f t="shared" ref="A191" si="55">A190+1</f>
        <v>1</v>
      </c>
      <c r="B191" s="1141" t="s">
        <v>910</v>
      </c>
      <c r="C191" s="2113" t="s">
        <v>1818</v>
      </c>
      <c r="D191" s="66" t="s">
        <v>264</v>
      </c>
      <c r="E191" s="430" t="s">
        <v>259</v>
      </c>
      <c r="F191" s="66">
        <v>1</v>
      </c>
      <c r="G191" s="66">
        <f>IF(B191=LOOKUP($A191,Исх!B$29:B$41,Исх!C$29:C$41),LOOKUP($A191,Исх!B$29:B$41,Исх!AD$29:AD$41),0)</f>
        <v>0</v>
      </c>
      <c r="H191" s="26">
        <f>F191*G191</f>
        <v>0</v>
      </c>
      <c r="I191" s="998">
        <f>L191</f>
        <v>32.25</v>
      </c>
      <c r="J191" s="1009">
        <f>H191*I191</f>
        <v>0</v>
      </c>
      <c r="K191" s="1352">
        <f t="shared" si="38"/>
        <v>0</v>
      </c>
      <c r="L191" s="2079">
        <f>IF(B191=LOOKUP($A191,Исх!B$29:B$41,Исх!C$29:C$41),LOOKUP($A191,Исх!B$29:B$41,Исх!KB$29:KB$41),$P$197)</f>
        <v>32.25</v>
      </c>
      <c r="M191" s="1197"/>
      <c r="R191" s="32">
        <f>IF(G191&lt;1,0,555)</f>
        <v>0</v>
      </c>
      <c r="S191" s="754" t="s">
        <v>684</v>
      </c>
    </row>
    <row r="192" spans="1:19" hidden="1" x14ac:dyDescent="0.2">
      <c r="A192" s="50">
        <f>A191+1</f>
        <v>2</v>
      </c>
      <c r="B192" s="1001" t="s">
        <v>909</v>
      </c>
      <c r="C192" s="2113" t="s">
        <v>1818</v>
      </c>
      <c r="D192" s="66" t="s">
        <v>264</v>
      </c>
      <c r="E192" s="974" t="s">
        <v>259</v>
      </c>
      <c r="F192" s="66">
        <v>1</v>
      </c>
      <c r="G192" s="66">
        <f>IF(B192=LOOKUP($A192,Исх!B$29:B$41,Исх!C$29:C$41),LOOKUP($A192,Исх!B$29:B$41,Исх!AD$29:AD$41),0)</f>
        <v>0</v>
      </c>
      <c r="H192" s="26">
        <f>F192*G192</f>
        <v>0</v>
      </c>
      <c r="I192" s="998">
        <f t="shared" ref="I192:I204" si="56">L192</f>
        <v>68.67</v>
      </c>
      <c r="J192" s="1009">
        <f>H192*I192</f>
        <v>0</v>
      </c>
      <c r="K192" s="1352">
        <f t="shared" si="38"/>
        <v>0</v>
      </c>
      <c r="L192" s="2012">
        <v>68.67</v>
      </c>
      <c r="M192" s="1197"/>
      <c r="O192" s="1328">
        <v>58</v>
      </c>
      <c r="P192" s="1329">
        <v>56.78</v>
      </c>
      <c r="R192" s="32">
        <f t="shared" ref="R192:R197" si="57">IF(G192&lt;1,0,555)</f>
        <v>0</v>
      </c>
      <c r="S192" s="28" t="s">
        <v>679</v>
      </c>
    </row>
    <row r="193" spans="1:27" ht="13.5" hidden="1" thickBot="1" x14ac:dyDescent="0.25">
      <c r="A193" s="50">
        <f>A192+1</f>
        <v>3</v>
      </c>
      <c r="B193" s="431" t="s">
        <v>268</v>
      </c>
      <c r="C193" s="2113" t="s">
        <v>1818</v>
      </c>
      <c r="D193" s="66" t="s">
        <v>264</v>
      </c>
      <c r="E193" s="974" t="s">
        <v>259</v>
      </c>
      <c r="F193" s="66">
        <v>1</v>
      </c>
      <c r="G193" s="66">
        <f>IF(B193=LOOKUP($A193,Исх!B$29:B$41,Исх!C$29:C$41),LOOKUP($A193,Исх!B$29:B$41,Исх!AD$29:AD$41),0)</f>
        <v>0</v>
      </c>
      <c r="H193" s="26">
        <f>F193*G193</f>
        <v>0</v>
      </c>
      <c r="I193" s="998">
        <f t="shared" si="56"/>
        <v>68.67</v>
      </c>
      <c r="J193" s="1009">
        <f>H193*I193</f>
        <v>0</v>
      </c>
      <c r="K193" s="1352">
        <f t="shared" si="38"/>
        <v>0</v>
      </c>
      <c r="L193" s="2012">
        <v>68.67</v>
      </c>
      <c r="M193" s="1197"/>
      <c r="N193" s="754"/>
      <c r="O193" s="754"/>
      <c r="P193" s="754"/>
      <c r="Q193" s="754"/>
      <c r="R193" s="32">
        <f t="shared" si="57"/>
        <v>0</v>
      </c>
      <c r="S193" s="28" t="s">
        <v>679</v>
      </c>
    </row>
    <row r="194" spans="1:27" x14ac:dyDescent="0.2">
      <c r="A194" s="50">
        <f t="shared" ref="A194:A268" si="58">A193+1</f>
        <v>4</v>
      </c>
      <c r="B194" s="412" t="s">
        <v>911</v>
      </c>
      <c r="C194" s="2113" t="s">
        <v>1818</v>
      </c>
      <c r="D194" s="295" t="s">
        <v>264</v>
      </c>
      <c r="E194" s="411" t="s">
        <v>259</v>
      </c>
      <c r="F194" s="295">
        <v>1.05</v>
      </c>
      <c r="G194" s="66">
        <f ca="1">IF(B194=LOOKUP($A194,Исх!B$29:B$41,Исх!C$29:C$41),LOOKUP($A194,Исх!B$29:B$41,Исх!AD$29:AD$41),0)</f>
        <v>470.65095000000002</v>
      </c>
      <c r="H194" s="456">
        <f ca="1">IF(G194&gt;0,(F194*G194)+(Исх!$N$1/Мат!$W$194),0)</f>
        <v>494.18349750000004</v>
      </c>
      <c r="I194" s="998">
        <f t="shared" si="56"/>
        <v>32.25</v>
      </c>
      <c r="J194" s="990">
        <f ca="1">H194*I194</f>
        <v>15937.417794375002</v>
      </c>
      <c r="K194" s="1352">
        <f t="shared" ca="1" si="38"/>
        <v>1</v>
      </c>
      <c r="L194" s="2079">
        <f>IF(B194=LOOKUP($A194,Исх!B$29:B$41,Исх!C$29:C$41),LOOKUP($A194,Исх!B$29:B$41,Исх!KB$29:KB$41),$P$197)</f>
        <v>32.25</v>
      </c>
      <c r="M194" s="1197"/>
      <c r="O194" s="1143">
        <v>42</v>
      </c>
      <c r="P194" s="2076">
        <v>32.25</v>
      </c>
      <c r="R194" s="32">
        <f t="shared" ca="1" si="57"/>
        <v>555</v>
      </c>
      <c r="S194" s="754" t="s">
        <v>684</v>
      </c>
      <c r="V194" s="590">
        <f ca="1">IF(G194&gt;0,1,0)</f>
        <v>1</v>
      </c>
      <c r="W194" s="755">
        <f ca="1">V194+V195+V196+V197</f>
        <v>2</v>
      </c>
      <c r="X194" s="756" t="s">
        <v>307</v>
      </c>
      <c r="Y194" s="590"/>
      <c r="Z194" s="590"/>
      <c r="AA194" s="590"/>
    </row>
    <row r="195" spans="1:27" x14ac:dyDescent="0.2">
      <c r="A195" s="50">
        <f t="shared" si="58"/>
        <v>5</v>
      </c>
      <c r="B195" s="412" t="s">
        <v>912</v>
      </c>
      <c r="C195" s="2113" t="s">
        <v>1818</v>
      </c>
      <c r="D195" s="295" t="s">
        <v>264</v>
      </c>
      <c r="E195" s="411" t="s">
        <v>259</v>
      </c>
      <c r="F195" s="295">
        <v>1.05</v>
      </c>
      <c r="G195" s="66">
        <f ca="1">IF(B195=LOOKUP($A195,Исх!B$29:B$41,Исх!C$29:C$41),LOOKUP($A195,Исх!B$29:B$41,Исх!AD$29:AD$41),0)</f>
        <v>235.32547500000001</v>
      </c>
      <c r="H195" s="456">
        <f ca="1">IF(G195&gt;0,(F195*G195)+(Исх!$N$1/Мат!$W$194),0)</f>
        <v>247.09174875000002</v>
      </c>
      <c r="I195" s="998">
        <f t="shared" si="56"/>
        <v>32.25</v>
      </c>
      <c r="J195" s="990">
        <f t="shared" ref="J195:J199" ca="1" si="59">H195*I195</f>
        <v>7968.708897187501</v>
      </c>
      <c r="K195" s="1352">
        <f t="shared" ca="1" si="38"/>
        <v>1</v>
      </c>
      <c r="L195" s="2079">
        <f>IF(B195=LOOKUP($A195,Исх!B$29:B$41,Исх!C$29:C$41),LOOKUP($A195,Исх!B$29:B$41,Исх!KB$29:KB$41),$P$197)</f>
        <v>32.25</v>
      </c>
      <c r="M195" s="1197"/>
      <c r="O195" s="1144">
        <v>45</v>
      </c>
      <c r="P195" s="2077">
        <v>31</v>
      </c>
      <c r="R195" s="32">
        <f t="shared" ca="1" si="57"/>
        <v>555</v>
      </c>
      <c r="S195" s="754" t="s">
        <v>684</v>
      </c>
      <c r="V195" s="590">
        <f ca="1">IF(G195&gt;0,1,0)</f>
        <v>1</v>
      </c>
      <c r="W195" s="756"/>
      <c r="X195" s="590" t="s">
        <v>307</v>
      </c>
      <c r="Y195" s="590"/>
      <c r="Z195" s="590"/>
      <c r="AA195" s="590"/>
    </row>
    <row r="196" spans="1:27" ht="13.5" hidden="1" thickBot="1" x14ac:dyDescent="0.25">
      <c r="A196" s="50">
        <f t="shared" si="58"/>
        <v>6</v>
      </c>
      <c r="B196" s="412" t="s">
        <v>913</v>
      </c>
      <c r="C196" s="2113" t="s">
        <v>1818</v>
      </c>
      <c r="D196" s="295"/>
      <c r="E196" s="411" t="s">
        <v>259</v>
      </c>
      <c r="F196" s="295">
        <v>1</v>
      </c>
      <c r="G196" s="295">
        <f>IF(B196=LOOKUP($A196,Исх!B$29:B$41,Исх!C$29:C$41),LOOKUP($A196,Исх!B$29:B$41,Исх!AD$29:AD$41),0)</f>
        <v>0</v>
      </c>
      <c r="H196" s="456">
        <f>IF(G196&gt;0,(F196*G196)+(Исх!$N$1/Мат!$W$194),0)</f>
        <v>0</v>
      </c>
      <c r="I196" s="998">
        <f t="shared" si="56"/>
        <v>32.25</v>
      </c>
      <c r="J196" s="990">
        <f t="shared" si="59"/>
        <v>0</v>
      </c>
      <c r="K196" s="1352">
        <f t="shared" ref="K196:K271" si="60">IF(J196&gt;0,1,0)</f>
        <v>0</v>
      </c>
      <c r="L196" s="2079">
        <f>IF(B196=LOOKUP($A196,Исх!B$29:B$41,Исх!C$29:C$41),LOOKUP($A196,Исх!B$29:B$41,Исх!KB$29:KB$41),$P$197)</f>
        <v>32.25</v>
      </c>
      <c r="M196" s="1197"/>
      <c r="O196" s="1145">
        <v>48.8</v>
      </c>
      <c r="P196" s="2078">
        <v>31</v>
      </c>
      <c r="R196" s="32">
        <f t="shared" si="57"/>
        <v>0</v>
      </c>
      <c r="S196" s="754" t="s">
        <v>684</v>
      </c>
      <c r="V196" s="590">
        <f>IF(G196&gt;0,1,0)</f>
        <v>0</v>
      </c>
      <c r="W196" s="756"/>
      <c r="X196" s="590" t="s">
        <v>308</v>
      </c>
      <c r="Y196" s="590"/>
      <c r="Z196" s="590"/>
      <c r="AA196" s="590"/>
    </row>
    <row r="197" spans="1:27" ht="13.5" hidden="1" thickBot="1" x14ac:dyDescent="0.25">
      <c r="A197" s="50">
        <f t="shared" si="58"/>
        <v>7</v>
      </c>
      <c r="B197" s="412" t="s">
        <v>914</v>
      </c>
      <c r="C197" s="2113" t="s">
        <v>1818</v>
      </c>
      <c r="D197" s="295"/>
      <c r="E197" s="411" t="s">
        <v>259</v>
      </c>
      <c r="F197" s="295">
        <v>1</v>
      </c>
      <c r="G197" s="295">
        <f>IF(B197=LOOKUP($A197,Исх!B$29:B$41,Исх!C$29:C$41),LOOKUP($A197,Исх!B$29:B$41,Исх!AD$29:AD$41),0)</f>
        <v>0</v>
      </c>
      <c r="H197" s="456">
        <f>IF(G197&gt;0,(F197*G197)+(Исх!$N$1/Мат!$W$194),0)</f>
        <v>0</v>
      </c>
      <c r="I197" s="998">
        <f t="shared" si="56"/>
        <v>32.25</v>
      </c>
      <c r="J197" s="990">
        <f t="shared" si="59"/>
        <v>0</v>
      </c>
      <c r="K197" s="1352">
        <f t="shared" si="60"/>
        <v>0</v>
      </c>
      <c r="L197" s="2079">
        <f>IF(B197=LOOKUP($A197,Исх!B$29:B$41,Исх!C$29:C$41),LOOKUP($A197,Исх!B$29:B$41,Исх!KB$29:KB$41),$P$197)</f>
        <v>32.25</v>
      </c>
      <c r="M197" s="1197"/>
      <c r="O197" s="1146" t="s">
        <v>984</v>
      </c>
      <c r="P197" s="1840">
        <f>MAX(P194:P196)</f>
        <v>32.25</v>
      </c>
      <c r="R197" s="32">
        <f t="shared" si="57"/>
        <v>0</v>
      </c>
      <c r="S197" s="754" t="s">
        <v>684</v>
      </c>
      <c r="V197" s="590">
        <f>IF(G197&gt;0,1,0)</f>
        <v>0</v>
      </c>
      <c r="W197" s="756"/>
      <c r="X197" s="590" t="s">
        <v>308</v>
      </c>
      <c r="Y197" s="590"/>
      <c r="Z197" s="590"/>
      <c r="AA197" s="590"/>
    </row>
    <row r="198" spans="1:27" hidden="1" x14ac:dyDescent="0.2">
      <c r="A198" s="50">
        <f t="shared" si="58"/>
        <v>8</v>
      </c>
      <c r="B198" s="1993" t="s">
        <v>1375</v>
      </c>
      <c r="C198" s="2113" t="s">
        <v>1818</v>
      </c>
      <c r="D198" s="66" t="s">
        <v>264</v>
      </c>
      <c r="E198" s="974" t="s">
        <v>259</v>
      </c>
      <c r="F198" s="66">
        <v>1</v>
      </c>
      <c r="G198" s="66">
        <f>IF(B198=LOOKUP($A198,Исх!B$29:B$41,Исх!C$29:C$41),LOOKUP($A198,Исх!B$29:B$41,Исх!AD$29:AD$41),0)</f>
        <v>0</v>
      </c>
      <c r="H198" s="26">
        <f t="shared" ref="H198:H228" si="61">F198*G198</f>
        <v>0</v>
      </c>
      <c r="I198" s="998">
        <f t="shared" si="56"/>
        <v>68.67</v>
      </c>
      <c r="J198" s="1009">
        <f t="shared" si="59"/>
        <v>0</v>
      </c>
      <c r="K198" s="1352">
        <f t="shared" si="60"/>
        <v>0</v>
      </c>
      <c r="L198" s="2012">
        <v>68.67</v>
      </c>
      <c r="M198" s="753"/>
      <c r="N198" s="754"/>
      <c r="O198" s="1330">
        <v>60</v>
      </c>
      <c r="P198" s="1331">
        <v>56.78</v>
      </c>
      <c r="Q198" s="754"/>
      <c r="R198" s="32" t="str">
        <f t="shared" ref="R198:R267" si="62">IF(G198&lt;1,"заказчика","типографии")</f>
        <v>заказчика</v>
      </c>
      <c r="S198" s="28" t="s">
        <v>679</v>
      </c>
    </row>
    <row r="199" spans="1:27" hidden="1" x14ac:dyDescent="0.2">
      <c r="A199" s="50">
        <f t="shared" si="58"/>
        <v>9</v>
      </c>
      <c r="B199" s="1993" t="s">
        <v>1376</v>
      </c>
      <c r="C199" s="2113" t="s">
        <v>1818</v>
      </c>
      <c r="D199" s="66" t="s">
        <v>264</v>
      </c>
      <c r="E199" s="974" t="s">
        <v>259</v>
      </c>
      <c r="F199" s="66">
        <v>1</v>
      </c>
      <c r="G199" s="66">
        <f>IF(B199=LOOKUP($A199,Исх!B$29:B$41,Исх!C$29:C$41),LOOKUP($A199,Исх!B$29:B$41,Исх!AD$29:AD$41),0)</f>
        <v>0</v>
      </c>
      <c r="H199" s="26">
        <f t="shared" si="61"/>
        <v>0</v>
      </c>
      <c r="I199" s="998">
        <f t="shared" si="56"/>
        <v>68.67</v>
      </c>
      <c r="J199" s="1009">
        <f t="shared" si="59"/>
        <v>0</v>
      </c>
      <c r="K199" s="1352">
        <f t="shared" si="60"/>
        <v>0</v>
      </c>
      <c r="L199" s="2012">
        <v>68.67</v>
      </c>
      <c r="M199" s="753"/>
      <c r="N199" s="754"/>
      <c r="O199" s="754"/>
      <c r="P199" s="754"/>
      <c r="Q199" s="754"/>
      <c r="R199" s="32" t="str">
        <f t="shared" si="62"/>
        <v>заказчика</v>
      </c>
      <c r="S199" s="28" t="s">
        <v>679</v>
      </c>
    </row>
    <row r="200" spans="1:27" hidden="1" x14ac:dyDescent="0.2">
      <c r="A200" s="50">
        <f t="shared" si="58"/>
        <v>10</v>
      </c>
      <c r="B200" s="1994" t="s">
        <v>1377</v>
      </c>
      <c r="C200" s="2113" t="s">
        <v>1818</v>
      </c>
      <c r="D200" s="66" t="s">
        <v>264</v>
      </c>
      <c r="E200" s="1988" t="s">
        <v>259</v>
      </c>
      <c r="F200" s="66">
        <v>1</v>
      </c>
      <c r="G200" s="66">
        <f>IF(B200=LOOKUP($A200,Исх!B$29:B$41,Исх!C$29:C$41),LOOKUP($A200,Исх!B$29:B$41,Исх!AD$29:AD$41),0)</f>
        <v>0</v>
      </c>
      <c r="H200" s="26">
        <f t="shared" ref="H200:H201" si="63">F200*G200</f>
        <v>0</v>
      </c>
      <c r="I200" s="998">
        <f t="shared" si="56"/>
        <v>59.17</v>
      </c>
      <c r="J200" s="1009">
        <f t="shared" ref="J200:J201" si="64">H200*I200</f>
        <v>0</v>
      </c>
      <c r="K200" s="1352">
        <f t="shared" ref="K200:K201" si="65">IF(J200&gt;0,1,0)</f>
        <v>0</v>
      </c>
      <c r="L200" s="1992">
        <v>59.17</v>
      </c>
      <c r="M200" s="753"/>
      <c r="N200" s="754"/>
      <c r="O200" s="754"/>
      <c r="P200" s="754"/>
      <c r="Q200" s="754"/>
      <c r="R200" s="32" t="str">
        <f t="shared" ref="R200:R201" si="66">IF(G200&lt;1,"заказчика","типографии")</f>
        <v>заказчика</v>
      </c>
      <c r="S200" s="28" t="s">
        <v>679</v>
      </c>
    </row>
    <row r="201" spans="1:27" hidden="1" x14ac:dyDescent="0.2">
      <c r="A201" s="50">
        <f t="shared" si="58"/>
        <v>11</v>
      </c>
      <c r="B201" s="1994" t="s">
        <v>1378</v>
      </c>
      <c r="C201" s="2113" t="s">
        <v>1818</v>
      </c>
      <c r="D201" s="66" t="s">
        <v>264</v>
      </c>
      <c r="E201" s="1988" t="s">
        <v>259</v>
      </c>
      <c r="F201" s="66">
        <v>1</v>
      </c>
      <c r="G201" s="66">
        <f>IF(B201=LOOKUP($A201,Исх!B$29:B$41,Исх!C$29:C$41),LOOKUP($A201,Исх!B$29:B$41,Исх!AD$29:AD$41),0)</f>
        <v>0</v>
      </c>
      <c r="H201" s="26">
        <f t="shared" si="63"/>
        <v>0</v>
      </c>
      <c r="I201" s="998">
        <f t="shared" si="56"/>
        <v>59.17</v>
      </c>
      <c r="J201" s="1009">
        <f t="shared" si="64"/>
        <v>0</v>
      </c>
      <c r="K201" s="1352">
        <f t="shared" si="65"/>
        <v>0</v>
      </c>
      <c r="L201" s="1992">
        <v>59.17</v>
      </c>
      <c r="M201" s="753"/>
      <c r="N201" s="754"/>
      <c r="O201" s="754"/>
      <c r="P201" s="754"/>
      <c r="Q201" s="754"/>
      <c r="R201" s="32" t="str">
        <f t="shared" si="66"/>
        <v>заказчика</v>
      </c>
      <c r="S201" s="28" t="s">
        <v>679</v>
      </c>
    </row>
    <row r="202" spans="1:27" hidden="1" x14ac:dyDescent="0.2">
      <c r="A202" s="50">
        <f t="shared" si="58"/>
        <v>12</v>
      </c>
      <c r="B202" s="1529" t="s">
        <v>1189</v>
      </c>
      <c r="C202" s="2113" t="s">
        <v>1818</v>
      </c>
      <c r="D202" s="66" t="s">
        <v>264</v>
      </c>
      <c r="E202" s="1528" t="s">
        <v>259</v>
      </c>
      <c r="F202" s="66">
        <v>1</v>
      </c>
      <c r="G202" s="66">
        <f>IF(B202=LOOKUP($A202,Исх!B$29:B$41,Исх!C$29:C$41),LOOKUP($A202,Исх!B$29:B$41,Исх!AD$29:AD$41),0)</f>
        <v>0</v>
      </c>
      <c r="H202" s="26">
        <f t="shared" ref="H202" si="67">F202*G202</f>
        <v>0</v>
      </c>
      <c r="I202" s="998">
        <f t="shared" si="56"/>
        <v>65.83</v>
      </c>
      <c r="J202" s="1009">
        <f t="shared" ref="J202" si="68">H202*I202</f>
        <v>0</v>
      </c>
      <c r="K202" s="1352">
        <f t="shared" ref="K202" si="69">IF(J202&gt;0,1,0)</f>
        <v>0</v>
      </c>
      <c r="L202" s="2012">
        <v>65.83</v>
      </c>
      <c r="M202" s="753"/>
      <c r="N202" s="754"/>
      <c r="O202" s="754"/>
      <c r="P202" s="754"/>
      <c r="Q202" s="754"/>
      <c r="R202" s="32" t="str">
        <f t="shared" ref="R202" si="70">IF(G202&lt;1,"заказчика","типографии")</f>
        <v>заказчика</v>
      </c>
      <c r="S202" s="28" t="s">
        <v>679</v>
      </c>
    </row>
    <row r="203" spans="1:27" hidden="1" x14ac:dyDescent="0.2">
      <c r="A203" s="50">
        <f t="shared" si="58"/>
        <v>13</v>
      </c>
      <c r="B203" s="1529" t="s">
        <v>1190</v>
      </c>
      <c r="C203" s="2113" t="s">
        <v>1818</v>
      </c>
      <c r="D203" s="66" t="s">
        <v>264</v>
      </c>
      <c r="E203" s="1528" t="s">
        <v>259</v>
      </c>
      <c r="F203" s="66">
        <v>1</v>
      </c>
      <c r="G203" s="66">
        <f>IF(B203=LOOKUP($A203,Исх!B$29:B$41,Исх!C$29:C$41),LOOKUP($A203,Исх!B$29:B$41,Исх!AD$29:AD$41),0)</f>
        <v>0</v>
      </c>
      <c r="H203" s="26">
        <f t="shared" ref="H203" si="71">F203*G203</f>
        <v>0</v>
      </c>
      <c r="I203" s="998">
        <f t="shared" si="56"/>
        <v>65.83</v>
      </c>
      <c r="J203" s="1009">
        <f t="shared" ref="J203" si="72">H203*I203</f>
        <v>0</v>
      </c>
      <c r="K203" s="1352">
        <f t="shared" ref="K203" si="73">IF(J203&gt;0,1,0)</f>
        <v>0</v>
      </c>
      <c r="L203" s="2012">
        <v>65.83</v>
      </c>
      <c r="M203" s="753"/>
      <c r="N203" s="754"/>
      <c r="O203" s="754"/>
      <c r="P203" s="754"/>
      <c r="Q203" s="754"/>
      <c r="R203" s="32" t="str">
        <f t="shared" ref="R203" si="74">IF(G203&lt;1,"заказчика","типографии")</f>
        <v>заказчика</v>
      </c>
      <c r="S203" s="28" t="s">
        <v>679</v>
      </c>
    </row>
    <row r="204" spans="1:27" hidden="1" x14ac:dyDescent="0.2">
      <c r="A204" s="50">
        <f t="shared" si="58"/>
        <v>14</v>
      </c>
      <c r="B204" s="1529" t="s">
        <v>1191</v>
      </c>
      <c r="C204" s="2113" t="s">
        <v>1818</v>
      </c>
      <c r="D204" s="66" t="s">
        <v>264</v>
      </c>
      <c r="E204" s="1528" t="s">
        <v>259</v>
      </c>
      <c r="F204" s="66">
        <v>1</v>
      </c>
      <c r="G204" s="66">
        <f>IF(B204=LOOKUP($A204,Исх!B$29:B$41,Исх!C$29:C$41),LOOKUP($A204,Исх!B$29:B$41,Исх!AD$29:AD$41),0)</f>
        <v>0</v>
      </c>
      <c r="H204" s="26">
        <f t="shared" ref="H204" si="75">F204*G204</f>
        <v>0</v>
      </c>
      <c r="I204" s="998">
        <f t="shared" si="56"/>
        <v>65.83</v>
      </c>
      <c r="J204" s="1009">
        <f t="shared" ref="J204" si="76">H204*I204</f>
        <v>0</v>
      </c>
      <c r="K204" s="1352">
        <f t="shared" ref="K204" si="77">IF(J204&gt;0,1,0)</f>
        <v>0</v>
      </c>
      <c r="L204" s="2012">
        <v>65.83</v>
      </c>
      <c r="M204" s="753"/>
      <c r="N204" s="754"/>
      <c r="O204" s="754"/>
      <c r="P204" s="754"/>
      <c r="Q204" s="754"/>
      <c r="R204" s="32" t="str">
        <f t="shared" ref="R204" si="78">IF(G204&lt;1,"заказчика","типографии")</f>
        <v>заказчика</v>
      </c>
      <c r="S204" s="28" t="s">
        <v>679</v>
      </c>
    </row>
    <row r="205" spans="1:27" hidden="1" x14ac:dyDescent="0.2">
      <c r="A205" s="50">
        <f t="shared" si="58"/>
        <v>15</v>
      </c>
      <c r="B205" s="431" t="s">
        <v>306</v>
      </c>
      <c r="C205" s="2113" t="s">
        <v>1818</v>
      </c>
      <c r="D205" s="66" t="s">
        <v>264</v>
      </c>
      <c r="E205" s="974" t="s">
        <v>333</v>
      </c>
      <c r="F205" s="66">
        <v>1</v>
      </c>
      <c r="G205" s="66">
        <f>IF(B205=LOOKUP($A205,Исх!B$29:B$41,Исх!C$29:C$41),LOOKUP($A205,Исх!B$29:B$41,Исх!AD$29:AD$41),0)</f>
        <v>0</v>
      </c>
      <c r="H205" s="26">
        <f t="shared" si="61"/>
        <v>0</v>
      </c>
      <c r="I205" s="999">
        <v>0.02</v>
      </c>
      <c r="J205" s="1009">
        <f>H205*I205*Исх!$C$2</f>
        <v>0</v>
      </c>
      <c r="K205" s="1352">
        <f t="shared" si="60"/>
        <v>0</v>
      </c>
      <c r="L205" s="993">
        <v>2190</v>
      </c>
      <c r="M205" s="723">
        <f t="shared" ref="M205:M206" si="79">O205*P205*Q205/10000000</f>
        <v>9.9791999999999988E-3</v>
      </c>
      <c r="O205" s="28">
        <v>42</v>
      </c>
      <c r="P205" s="28">
        <v>29.7</v>
      </c>
      <c r="Q205" s="219">
        <v>80</v>
      </c>
      <c r="R205" s="32" t="str">
        <f t="shared" si="62"/>
        <v>заказчика</v>
      </c>
      <c r="S205" s="28" t="s">
        <v>679</v>
      </c>
    </row>
    <row r="206" spans="1:27" hidden="1" x14ac:dyDescent="0.2">
      <c r="A206" s="50">
        <f t="shared" si="58"/>
        <v>16</v>
      </c>
      <c r="B206" s="431" t="s">
        <v>108</v>
      </c>
      <c r="C206" s="2113" t="s">
        <v>1818</v>
      </c>
      <c r="D206" s="66" t="s">
        <v>264</v>
      </c>
      <c r="E206" s="974" t="s">
        <v>333</v>
      </c>
      <c r="F206" s="66">
        <v>1</v>
      </c>
      <c r="G206" s="66">
        <f>IF(B206=LOOKUP($A206,Исх!B$29:B$41,Исх!C$29:C$41),LOOKUP($A206,Исх!B$29:B$41,Исх!AD$29:AD$41),0)</f>
        <v>0</v>
      </c>
      <c r="H206" s="26">
        <f t="shared" si="61"/>
        <v>0</v>
      </c>
      <c r="I206" s="999">
        <v>0.03</v>
      </c>
      <c r="J206" s="1009">
        <f>H206*I206*Исх!$C$2</f>
        <v>0</v>
      </c>
      <c r="K206" s="1352">
        <f t="shared" si="60"/>
        <v>0</v>
      </c>
      <c r="L206" s="1989">
        <v>1750</v>
      </c>
      <c r="M206" s="723">
        <f t="shared" si="79"/>
        <v>1.9958399999999998E-2</v>
      </c>
      <c r="O206" s="28">
        <v>42</v>
      </c>
      <c r="P206" s="28">
        <v>29.7</v>
      </c>
      <c r="Q206" s="219">
        <v>160</v>
      </c>
      <c r="R206" s="32" t="str">
        <f t="shared" si="62"/>
        <v>заказчика</v>
      </c>
      <c r="S206" s="28" t="s">
        <v>679</v>
      </c>
    </row>
    <row r="207" spans="1:27" hidden="1" x14ac:dyDescent="0.2">
      <c r="A207" s="50">
        <f t="shared" si="58"/>
        <v>17</v>
      </c>
      <c r="B207" s="431" t="s">
        <v>355</v>
      </c>
      <c r="C207" s="2113" t="s">
        <v>1818</v>
      </c>
      <c r="D207" s="66" t="s">
        <v>264</v>
      </c>
      <c r="E207" s="974" t="s">
        <v>333</v>
      </c>
      <c r="F207" s="66">
        <v>1</v>
      </c>
      <c r="G207" s="66">
        <f>IF(B207=LOOKUP($A207,Исх!B$29:B$41,Исх!C$29:C$41),LOOKUP($A207,Исх!B$29:B$41,Исх!AD$29:AD$41),0)</f>
        <v>0</v>
      </c>
      <c r="H207" s="26">
        <f t="shared" si="61"/>
        <v>0</v>
      </c>
      <c r="I207" s="999">
        <v>4</v>
      </c>
      <c r="J207" s="1009">
        <f>H207*I207*Исх!$C$2</f>
        <v>0</v>
      </c>
      <c r="K207" s="1352">
        <f t="shared" si="60"/>
        <v>0</v>
      </c>
      <c r="L207" s="1989">
        <v>8000</v>
      </c>
      <c r="M207" s="723">
        <v>2000</v>
      </c>
      <c r="Q207" s="219"/>
      <c r="R207" s="32" t="str">
        <f t="shared" si="62"/>
        <v>заказчика</v>
      </c>
      <c r="S207" s="754" t="s">
        <v>686</v>
      </c>
    </row>
    <row r="208" spans="1:27" hidden="1" x14ac:dyDescent="0.2">
      <c r="A208" s="50">
        <f t="shared" si="58"/>
        <v>18</v>
      </c>
      <c r="B208" s="431" t="s">
        <v>107</v>
      </c>
      <c r="C208" s="2113" t="s">
        <v>1818</v>
      </c>
      <c r="D208" s="66" t="s">
        <v>264</v>
      </c>
      <c r="E208" s="974" t="s">
        <v>259</v>
      </c>
      <c r="F208" s="66">
        <v>1</v>
      </c>
      <c r="G208" s="66">
        <f>IF(B208=LOOKUP($A208,Исх!B$29:B$41,Исх!C$29:C$41),LOOKUP($A208,Исх!B$29:B$41,Исх!AD$29:AD$41),0)</f>
        <v>0</v>
      </c>
      <c r="H208" s="26">
        <f t="shared" si="61"/>
        <v>0</v>
      </c>
      <c r="I208" s="1017">
        <v>30</v>
      </c>
      <c r="J208" s="1009">
        <f t="shared" ref="J208" si="80">H208*I208</f>
        <v>0</v>
      </c>
      <c r="K208" s="1352">
        <f t="shared" si="60"/>
        <v>0</v>
      </c>
      <c r="L208" s="992">
        <v>30</v>
      </c>
      <c r="R208" s="32" t="str">
        <f t="shared" si="62"/>
        <v>заказчика</v>
      </c>
      <c r="S208" s="28" t="s">
        <v>679</v>
      </c>
    </row>
    <row r="209" spans="1:22" hidden="1" x14ac:dyDescent="0.2">
      <c r="A209" s="50">
        <f t="shared" si="58"/>
        <v>19</v>
      </c>
      <c r="B209" s="431" t="s">
        <v>104</v>
      </c>
      <c r="C209" s="2113" t="s">
        <v>1818</v>
      </c>
      <c r="D209" s="66" t="s">
        <v>264</v>
      </c>
      <c r="E209" s="974" t="s">
        <v>259</v>
      </c>
      <c r="F209" s="66">
        <v>1</v>
      </c>
      <c r="G209" s="66">
        <f>IF(B209=LOOKUP($A209,Исх!B$29:B$41,Исх!C$29:C$41),LOOKUP($A209,Исх!B$29:B$41,Исх!AD$29:AD$41),0)</f>
        <v>0</v>
      </c>
      <c r="H209" s="26">
        <f t="shared" si="61"/>
        <v>0</v>
      </c>
      <c r="I209" s="1017">
        <v>25</v>
      </c>
      <c r="J209" s="1009">
        <f>H209*I209</f>
        <v>0</v>
      </c>
      <c r="K209" s="1352">
        <f t="shared" si="60"/>
        <v>0</v>
      </c>
      <c r="L209" s="992">
        <v>25</v>
      </c>
      <c r="R209" s="32" t="str">
        <f t="shared" si="62"/>
        <v>заказчика</v>
      </c>
      <c r="S209" s="754" t="s">
        <v>684</v>
      </c>
    </row>
    <row r="210" spans="1:22" hidden="1" x14ac:dyDescent="0.2">
      <c r="A210" s="50">
        <f t="shared" si="58"/>
        <v>20</v>
      </c>
      <c r="B210" s="1001" t="s">
        <v>805</v>
      </c>
      <c r="C210" s="2113" t="s">
        <v>1818</v>
      </c>
      <c r="D210" s="66" t="s">
        <v>264</v>
      </c>
      <c r="E210" s="978" t="s">
        <v>259</v>
      </c>
      <c r="F210" s="66">
        <v>1</v>
      </c>
      <c r="G210" s="66">
        <f>IF(B210=LOOKUP($A210,Исх!B$29:B$41,Исх!C$29:C$41),LOOKUP($A210,Исх!B$29:B$41,Исх!AD$29:AD$41),0)</f>
        <v>0</v>
      </c>
      <c r="H210" s="26">
        <f t="shared" si="61"/>
        <v>0</v>
      </c>
      <c r="I210" s="999">
        <v>1.45</v>
      </c>
      <c r="J210" s="1009">
        <f>H210*I210*Исх!$C$2</f>
        <v>0</v>
      </c>
      <c r="K210" s="1352">
        <f t="shared" si="60"/>
        <v>0</v>
      </c>
      <c r="L210" s="993">
        <v>1452</v>
      </c>
      <c r="M210" s="980">
        <v>1000</v>
      </c>
      <c r="N210" s="28" t="s">
        <v>259</v>
      </c>
      <c r="O210" s="28">
        <v>70</v>
      </c>
      <c r="P210" s="28">
        <v>100</v>
      </c>
      <c r="Q210" s="219">
        <v>1120</v>
      </c>
      <c r="R210" s="32" t="str">
        <f t="shared" si="62"/>
        <v>заказчика</v>
      </c>
      <c r="S210" s="28" t="s">
        <v>686</v>
      </c>
      <c r="V210" s="1298"/>
    </row>
    <row r="211" spans="1:22" hidden="1" x14ac:dyDescent="0.2">
      <c r="A211" s="50">
        <f t="shared" si="58"/>
        <v>21</v>
      </c>
      <c r="B211" s="1001" t="s">
        <v>806</v>
      </c>
      <c r="C211" s="2113" t="s">
        <v>1818</v>
      </c>
      <c r="D211" s="66" t="s">
        <v>264</v>
      </c>
      <c r="E211" s="978" t="s">
        <v>259</v>
      </c>
      <c r="F211" s="66">
        <v>1</v>
      </c>
      <c r="G211" s="66">
        <f>IF(B211=LOOKUP($A211,Исх!B$29:B$41,Исх!C$29:C$41),LOOKUP($A211,Исх!B$29:B$41,Исх!AD$29:AD$41),0)</f>
        <v>0</v>
      </c>
      <c r="H211" s="26">
        <f t="shared" ref="H211" si="81">F211*G211</f>
        <v>0</v>
      </c>
      <c r="I211" s="1017">
        <v>45</v>
      </c>
      <c r="J211" s="990">
        <f t="shared" ref="J211" si="82">H211*I211</f>
        <v>0</v>
      </c>
      <c r="K211" s="1352">
        <f t="shared" si="60"/>
        <v>0</v>
      </c>
      <c r="L211" s="1152">
        <v>45000</v>
      </c>
      <c r="M211" s="980">
        <v>1000</v>
      </c>
      <c r="N211" s="28" t="s">
        <v>259</v>
      </c>
      <c r="O211" s="28">
        <v>70</v>
      </c>
      <c r="P211" s="28">
        <v>100</v>
      </c>
      <c r="Q211" s="219">
        <v>1120</v>
      </c>
      <c r="R211" s="32" t="str">
        <f t="shared" si="62"/>
        <v>заказчика</v>
      </c>
      <c r="S211" s="28" t="s">
        <v>686</v>
      </c>
      <c r="V211" s="1298"/>
    </row>
    <row r="212" spans="1:22" hidden="1" x14ac:dyDescent="0.2">
      <c r="A212" s="50">
        <f t="shared" si="58"/>
        <v>22</v>
      </c>
      <c r="B212" s="431" t="s">
        <v>370</v>
      </c>
      <c r="C212" s="2113" t="s">
        <v>1818</v>
      </c>
      <c r="D212" s="66" t="s">
        <v>264</v>
      </c>
      <c r="E212" s="974" t="s">
        <v>333</v>
      </c>
      <c r="F212" s="66">
        <v>1</v>
      </c>
      <c r="G212" s="66">
        <f>IF(B212=LOOKUP($A212,Исх!B$29:B$41,Исх!C$29:C$41),LOOKUP($A212,Исх!B$29:B$41,Исх!AD$29:AD$41),0)</f>
        <v>0</v>
      </c>
      <c r="H212" s="26">
        <f t="shared" si="61"/>
        <v>0</v>
      </c>
      <c r="I212" s="999">
        <v>0.56999999999999995</v>
      </c>
      <c r="J212" s="1009">
        <f>H212*I212*Исх!$C$2</f>
        <v>0</v>
      </c>
      <c r="K212" s="1352">
        <f t="shared" si="60"/>
        <v>0</v>
      </c>
      <c r="L212" s="993">
        <v>1162</v>
      </c>
      <c r="M212" s="723">
        <f t="shared" ref="M212" si="83">O212*P212*Q212/10000000</f>
        <v>0.49199999999999999</v>
      </c>
      <c r="O212" s="28">
        <v>80</v>
      </c>
      <c r="P212" s="28">
        <v>100</v>
      </c>
      <c r="Q212" s="219">
        <v>615</v>
      </c>
      <c r="R212" s="32" t="str">
        <f t="shared" si="62"/>
        <v>заказчика</v>
      </c>
      <c r="S212" s="28" t="s">
        <v>686</v>
      </c>
      <c r="V212" s="1298"/>
    </row>
    <row r="213" spans="1:22" hidden="1" x14ac:dyDescent="0.2">
      <c r="A213" s="50">
        <f t="shared" si="58"/>
        <v>23</v>
      </c>
      <c r="B213" s="1025" t="s">
        <v>808</v>
      </c>
      <c r="C213" s="2113" t="s">
        <v>1818</v>
      </c>
      <c r="D213" s="66" t="s">
        <v>264</v>
      </c>
      <c r="E213" s="978" t="s">
        <v>259</v>
      </c>
      <c r="F213" s="66">
        <v>1</v>
      </c>
      <c r="G213" s="66">
        <f>IF(B213=LOOKUP($A213,Исх!B$29:B$41,Исх!C$29:C$41),LOOKUP($A213,Исх!B$29:B$41,Исх!AD$29:AD$41),0)</f>
        <v>0</v>
      </c>
      <c r="H213" s="26">
        <f t="shared" ref="H213:H216" si="84">F213*G213</f>
        <v>0</v>
      </c>
      <c r="I213" s="999">
        <v>0.98</v>
      </c>
      <c r="J213" s="1009">
        <f>H213*I213*Исх!$C$2</f>
        <v>0</v>
      </c>
      <c r="K213" s="1352">
        <f t="shared" si="60"/>
        <v>0</v>
      </c>
      <c r="L213" s="993">
        <v>980</v>
      </c>
      <c r="M213" s="980">
        <v>1000</v>
      </c>
      <c r="N213" s="28" t="s">
        <v>259</v>
      </c>
      <c r="R213" s="32" t="str">
        <f t="shared" si="62"/>
        <v>заказчика</v>
      </c>
      <c r="S213" s="28" t="s">
        <v>784</v>
      </c>
      <c r="V213" s="1298"/>
    </row>
    <row r="214" spans="1:22" hidden="1" x14ac:dyDescent="0.2">
      <c r="A214" s="50">
        <f t="shared" si="58"/>
        <v>24</v>
      </c>
      <c r="B214" s="1025" t="s">
        <v>809</v>
      </c>
      <c r="C214" s="2113" t="s">
        <v>1818</v>
      </c>
      <c r="D214" s="66" t="s">
        <v>264</v>
      </c>
      <c r="E214" s="1023" t="s">
        <v>259</v>
      </c>
      <c r="F214" s="66">
        <v>1</v>
      </c>
      <c r="G214" s="66">
        <f>IF(B214=LOOKUP($A214,Исх!B$29:B$41,Исх!C$29:C$41),LOOKUP($A214,Исх!B$29:B$41,Исх!AD$29:AD$41),0)</f>
        <v>0</v>
      </c>
      <c r="H214" s="26">
        <f t="shared" ref="H214" si="85">F214*G214</f>
        <v>0</v>
      </c>
      <c r="I214" s="999">
        <v>0.98</v>
      </c>
      <c r="J214" s="1009">
        <f>H214*I214*Исх!$C$2</f>
        <v>0</v>
      </c>
      <c r="K214" s="1352">
        <f t="shared" si="60"/>
        <v>0</v>
      </c>
      <c r="L214" s="993">
        <v>980</v>
      </c>
      <c r="M214" s="980">
        <v>1000</v>
      </c>
      <c r="N214" s="28" t="s">
        <v>259</v>
      </c>
      <c r="R214" s="32" t="str">
        <f t="shared" si="62"/>
        <v>заказчика</v>
      </c>
      <c r="S214" s="28" t="s">
        <v>784</v>
      </c>
      <c r="V214" s="1298"/>
    </row>
    <row r="215" spans="1:22" hidden="1" x14ac:dyDescent="0.2">
      <c r="A215" s="50">
        <f t="shared" si="58"/>
        <v>25</v>
      </c>
      <c r="B215" s="1025" t="s">
        <v>810</v>
      </c>
      <c r="C215" s="2113" t="s">
        <v>1818</v>
      </c>
      <c r="D215" s="66" t="s">
        <v>264</v>
      </c>
      <c r="E215" s="1023" t="s">
        <v>259</v>
      </c>
      <c r="F215" s="66">
        <v>1</v>
      </c>
      <c r="G215" s="66">
        <f>IF(B215=LOOKUP($A215,Исх!B$29:B$41,Исх!C$29:C$41),LOOKUP($A215,Исх!B$29:B$41,Исх!AD$29:AD$41),0)</f>
        <v>0</v>
      </c>
      <c r="H215" s="26">
        <f t="shared" ref="H215" si="86">F215*G215</f>
        <v>0</v>
      </c>
      <c r="I215" s="999">
        <v>0.98</v>
      </c>
      <c r="J215" s="1009">
        <f>H215*I215*Исх!$C$2</f>
        <v>0</v>
      </c>
      <c r="K215" s="1352">
        <f t="shared" si="60"/>
        <v>0</v>
      </c>
      <c r="L215" s="993">
        <v>980</v>
      </c>
      <c r="M215" s="980">
        <v>1000</v>
      </c>
      <c r="N215" s="28" t="s">
        <v>259</v>
      </c>
      <c r="R215" s="32" t="str">
        <f t="shared" si="62"/>
        <v>заказчика</v>
      </c>
      <c r="S215" s="28" t="s">
        <v>784</v>
      </c>
      <c r="V215" s="1298"/>
    </row>
    <row r="216" spans="1:22" hidden="1" x14ac:dyDescent="0.2">
      <c r="A216" s="50">
        <f t="shared" si="58"/>
        <v>26</v>
      </c>
      <c r="B216" s="1026" t="s">
        <v>811</v>
      </c>
      <c r="C216" s="2113" t="s">
        <v>1818</v>
      </c>
      <c r="D216" s="66" t="s">
        <v>264</v>
      </c>
      <c r="E216" s="978" t="s">
        <v>259</v>
      </c>
      <c r="F216" s="66">
        <v>1</v>
      </c>
      <c r="G216" s="66">
        <f>IF(B216=LOOKUP($A216,Исх!B$29:B$41,Исх!C$29:C$41),LOOKUP($A216,Исх!B$29:B$41,Исх!AD$29:AD$41),0)</f>
        <v>0</v>
      </c>
      <c r="H216" s="26">
        <f t="shared" si="84"/>
        <v>0</v>
      </c>
      <c r="I216" s="999">
        <v>0.98</v>
      </c>
      <c r="J216" s="1009">
        <f>H216*I216*Исх!$C$2</f>
        <v>0</v>
      </c>
      <c r="K216" s="1352">
        <f t="shared" si="60"/>
        <v>0</v>
      </c>
      <c r="L216" s="993">
        <v>980</v>
      </c>
      <c r="M216" s="980">
        <v>1000</v>
      </c>
      <c r="N216" s="28" t="s">
        <v>259</v>
      </c>
      <c r="R216" s="32" t="str">
        <f t="shared" si="62"/>
        <v>заказчика</v>
      </c>
      <c r="S216" s="28" t="s">
        <v>784</v>
      </c>
      <c r="V216" s="1298"/>
    </row>
    <row r="217" spans="1:22" hidden="1" x14ac:dyDescent="0.2">
      <c r="A217" s="50">
        <f t="shared" si="58"/>
        <v>27</v>
      </c>
      <c r="B217" s="1026" t="s">
        <v>812</v>
      </c>
      <c r="C217" s="2113" t="s">
        <v>1818</v>
      </c>
      <c r="D217" s="66" t="s">
        <v>264</v>
      </c>
      <c r="E217" s="1023" t="s">
        <v>259</v>
      </c>
      <c r="F217" s="66">
        <v>1</v>
      </c>
      <c r="G217" s="66">
        <f>IF(B217=LOOKUP($A217,Исх!B$29:B$41,Исх!C$29:C$41),LOOKUP($A217,Исх!B$29:B$41,Исх!AD$29:AD$41),0)</f>
        <v>0</v>
      </c>
      <c r="H217" s="26">
        <f t="shared" ref="H217" si="87">F217*G217</f>
        <v>0</v>
      </c>
      <c r="I217" s="999">
        <v>0.98</v>
      </c>
      <c r="J217" s="1009">
        <f>H217*I217*Исх!$C$2</f>
        <v>0</v>
      </c>
      <c r="K217" s="1352">
        <f t="shared" si="60"/>
        <v>0</v>
      </c>
      <c r="L217" s="993">
        <v>980</v>
      </c>
      <c r="M217" s="980">
        <v>1000</v>
      </c>
      <c r="N217" s="28" t="s">
        <v>259</v>
      </c>
      <c r="R217" s="32" t="str">
        <f t="shared" si="62"/>
        <v>заказчика</v>
      </c>
      <c r="S217" s="28" t="s">
        <v>784</v>
      </c>
      <c r="V217" s="1298"/>
    </row>
    <row r="218" spans="1:22" hidden="1" x14ac:dyDescent="0.2">
      <c r="A218" s="50">
        <f t="shared" si="58"/>
        <v>28</v>
      </c>
      <c r="B218" s="1026" t="s">
        <v>813</v>
      </c>
      <c r="C218" s="2113" t="s">
        <v>1818</v>
      </c>
      <c r="D218" s="66" t="s">
        <v>264</v>
      </c>
      <c r="E218" s="1023" t="s">
        <v>259</v>
      </c>
      <c r="F218" s="66">
        <v>1</v>
      </c>
      <c r="G218" s="66">
        <f>IF(B218=LOOKUP($A218,Исх!B$29:B$41,Исх!C$29:C$41),LOOKUP($A218,Исх!B$29:B$41,Исх!AD$29:AD$41),0)</f>
        <v>0</v>
      </c>
      <c r="H218" s="26">
        <f t="shared" ref="H218" si="88">F218*G218</f>
        <v>0</v>
      </c>
      <c r="I218" s="999">
        <v>0.98</v>
      </c>
      <c r="J218" s="1009">
        <f>H218*I218*Исх!$C$2</f>
        <v>0</v>
      </c>
      <c r="K218" s="1352">
        <f t="shared" si="60"/>
        <v>0</v>
      </c>
      <c r="L218" s="993">
        <v>980</v>
      </c>
      <c r="M218" s="980">
        <v>1000</v>
      </c>
      <c r="N218" s="28" t="s">
        <v>259</v>
      </c>
      <c r="R218" s="32" t="str">
        <f t="shared" si="62"/>
        <v>заказчика</v>
      </c>
      <c r="S218" s="28" t="s">
        <v>784</v>
      </c>
      <c r="V218" s="1298"/>
    </row>
    <row r="219" spans="1:22" hidden="1" x14ac:dyDescent="0.2">
      <c r="A219" s="50">
        <f t="shared" si="58"/>
        <v>29</v>
      </c>
      <c r="B219" s="1025" t="s">
        <v>782</v>
      </c>
      <c r="C219" s="2113" t="s">
        <v>1818</v>
      </c>
      <c r="D219" s="66" t="s">
        <v>264</v>
      </c>
      <c r="E219" s="974" t="s">
        <v>259</v>
      </c>
      <c r="F219" s="66">
        <v>1</v>
      </c>
      <c r="G219" s="66">
        <f>IF(B219=LOOKUP($A219,Исх!B$29:B$41,Исх!C$29:C$41),LOOKUP($A219,Исх!B$29:B$41,Исх!AD$29:AD$41),0)</f>
        <v>0</v>
      </c>
      <c r="H219" s="26">
        <f t="shared" si="61"/>
        <v>0</v>
      </c>
      <c r="I219" s="999">
        <v>1.2</v>
      </c>
      <c r="J219" s="1009">
        <f>H219*I219*Исх!$C$2</f>
        <v>0</v>
      </c>
      <c r="K219" s="1352">
        <f t="shared" si="60"/>
        <v>0</v>
      </c>
      <c r="L219" s="1989">
        <v>1200</v>
      </c>
      <c r="M219" s="980">
        <v>1000</v>
      </c>
      <c r="N219" s="28" t="s">
        <v>259</v>
      </c>
      <c r="R219" s="32" t="str">
        <f t="shared" si="62"/>
        <v>заказчика</v>
      </c>
      <c r="S219" s="28" t="s">
        <v>784</v>
      </c>
      <c r="V219" s="1298"/>
    </row>
    <row r="220" spans="1:22" hidden="1" x14ac:dyDescent="0.2">
      <c r="A220" s="50">
        <f t="shared" si="58"/>
        <v>30</v>
      </c>
      <c r="B220" s="1025" t="s">
        <v>814</v>
      </c>
      <c r="C220" s="2113" t="s">
        <v>1818</v>
      </c>
      <c r="D220" s="66" t="s">
        <v>264</v>
      </c>
      <c r="E220" s="1023" t="s">
        <v>259</v>
      </c>
      <c r="F220" s="66">
        <v>1</v>
      </c>
      <c r="G220" s="66">
        <f>IF(B220=LOOKUP($A220,Исх!B$29:B$41,Исх!C$29:C$41),LOOKUP($A220,Исх!B$29:B$41,Исх!AD$29:AD$41),0)</f>
        <v>0</v>
      </c>
      <c r="H220" s="26">
        <f t="shared" ref="H220" si="89">F220*G220</f>
        <v>0</v>
      </c>
      <c r="I220" s="999">
        <v>1.2</v>
      </c>
      <c r="J220" s="1009">
        <f>H220*I220*Исх!$C$2</f>
        <v>0</v>
      </c>
      <c r="K220" s="1352">
        <f t="shared" si="60"/>
        <v>0</v>
      </c>
      <c r="L220" s="1989">
        <v>1200</v>
      </c>
      <c r="M220" s="980">
        <v>1000</v>
      </c>
      <c r="N220" s="28" t="s">
        <v>259</v>
      </c>
      <c r="R220" s="32" t="str">
        <f t="shared" si="62"/>
        <v>заказчика</v>
      </c>
      <c r="S220" s="28" t="s">
        <v>784</v>
      </c>
      <c r="V220" s="1298"/>
    </row>
    <row r="221" spans="1:22" hidden="1" x14ac:dyDescent="0.2">
      <c r="A221" s="50">
        <f t="shared" si="58"/>
        <v>31</v>
      </c>
      <c r="B221" s="1025" t="s">
        <v>815</v>
      </c>
      <c r="C221" s="2113" t="s">
        <v>1818</v>
      </c>
      <c r="D221" s="66" t="s">
        <v>264</v>
      </c>
      <c r="E221" s="1023" t="s">
        <v>259</v>
      </c>
      <c r="F221" s="66">
        <v>1</v>
      </c>
      <c r="G221" s="66">
        <f>IF(B221=LOOKUP($A221,Исх!B$29:B$41,Исх!C$29:C$41),LOOKUP($A221,Исх!B$29:B$41,Исх!AD$29:AD$41),0)</f>
        <v>0</v>
      </c>
      <c r="H221" s="26">
        <f t="shared" ref="H221" si="90">F221*G221</f>
        <v>0</v>
      </c>
      <c r="I221" s="999">
        <v>1.2</v>
      </c>
      <c r="J221" s="1009">
        <f>H221*I221*Исх!$C$2</f>
        <v>0</v>
      </c>
      <c r="K221" s="1352">
        <f t="shared" si="60"/>
        <v>0</v>
      </c>
      <c r="L221" s="1989">
        <v>1200</v>
      </c>
      <c r="M221" s="980">
        <v>1000</v>
      </c>
      <c r="N221" s="28" t="s">
        <v>259</v>
      </c>
      <c r="R221" s="32" t="str">
        <f t="shared" si="62"/>
        <v>заказчика</v>
      </c>
      <c r="S221" s="28" t="s">
        <v>784</v>
      </c>
      <c r="V221" s="1298"/>
    </row>
    <row r="222" spans="1:22" hidden="1" x14ac:dyDescent="0.2">
      <c r="A222" s="50">
        <f t="shared" si="58"/>
        <v>32</v>
      </c>
      <c r="B222" s="1026" t="s">
        <v>783</v>
      </c>
      <c r="C222" s="2113" t="s">
        <v>1818</v>
      </c>
      <c r="D222" s="66" t="s">
        <v>264</v>
      </c>
      <c r="E222" s="974" t="s">
        <v>259</v>
      </c>
      <c r="F222" s="66">
        <v>1</v>
      </c>
      <c r="G222" s="66">
        <f>IF(B222=LOOKUP($A222,Исх!B$29:B$41,Исх!C$29:C$41),LOOKUP($A222,Исх!B$29:B$41,Исх!AD$29:AD$41),0)</f>
        <v>0</v>
      </c>
      <c r="H222" s="26">
        <f t="shared" si="61"/>
        <v>0</v>
      </c>
      <c r="I222" s="999">
        <v>1.2</v>
      </c>
      <c r="J222" s="1009">
        <f>H222*I222*Исх!$C$2</f>
        <v>0</v>
      </c>
      <c r="K222" s="1352">
        <f t="shared" si="60"/>
        <v>0</v>
      </c>
      <c r="L222" s="1989">
        <v>1200</v>
      </c>
      <c r="M222" s="980">
        <v>1000</v>
      </c>
      <c r="N222" s="28" t="s">
        <v>259</v>
      </c>
      <c r="R222" s="32" t="str">
        <f t="shared" si="62"/>
        <v>заказчика</v>
      </c>
      <c r="S222" s="28" t="s">
        <v>784</v>
      </c>
      <c r="V222" s="1298"/>
    </row>
    <row r="223" spans="1:22" hidden="1" x14ac:dyDescent="0.2">
      <c r="A223" s="50">
        <f t="shared" si="58"/>
        <v>33</v>
      </c>
      <c r="B223" s="1026" t="s">
        <v>816</v>
      </c>
      <c r="C223" s="2113" t="s">
        <v>1818</v>
      </c>
      <c r="D223" s="66" t="s">
        <v>264</v>
      </c>
      <c r="E223" s="1023" t="s">
        <v>259</v>
      </c>
      <c r="F223" s="66">
        <v>1</v>
      </c>
      <c r="G223" s="66">
        <f>IF(B223=LOOKUP($A223,Исх!B$29:B$41,Исх!C$29:C$41),LOOKUP($A223,Исх!B$29:B$41,Исх!AD$29:AD$41),0)</f>
        <v>0</v>
      </c>
      <c r="H223" s="26">
        <f t="shared" ref="H223" si="91">F223*G223</f>
        <v>0</v>
      </c>
      <c r="I223" s="999">
        <v>1.2</v>
      </c>
      <c r="J223" s="1009">
        <f>H223*I223*Исх!$C$2</f>
        <v>0</v>
      </c>
      <c r="K223" s="1352">
        <f t="shared" si="60"/>
        <v>0</v>
      </c>
      <c r="L223" s="1989">
        <v>1200</v>
      </c>
      <c r="M223" s="980">
        <v>1000</v>
      </c>
      <c r="N223" s="28" t="s">
        <v>259</v>
      </c>
      <c r="R223" s="32" t="str">
        <f t="shared" si="62"/>
        <v>заказчика</v>
      </c>
      <c r="S223" s="28" t="s">
        <v>784</v>
      </c>
      <c r="V223" s="1298"/>
    </row>
    <row r="224" spans="1:22" hidden="1" x14ac:dyDescent="0.2">
      <c r="A224" s="50">
        <f t="shared" si="58"/>
        <v>34</v>
      </c>
      <c r="B224" s="1026" t="s">
        <v>817</v>
      </c>
      <c r="C224" s="2113" t="s">
        <v>1818</v>
      </c>
      <c r="D224" s="66" t="s">
        <v>264</v>
      </c>
      <c r="E224" s="1023" t="s">
        <v>259</v>
      </c>
      <c r="F224" s="66">
        <v>1</v>
      </c>
      <c r="G224" s="66">
        <f>IF(B224=LOOKUP($A224,Исх!B$29:B$41,Исх!C$29:C$41),LOOKUP($A224,Исх!B$29:B$41,Исх!AD$29:AD$41),0)</f>
        <v>0</v>
      </c>
      <c r="H224" s="26">
        <f t="shared" ref="H224" si="92">F224*G224</f>
        <v>0</v>
      </c>
      <c r="I224" s="999">
        <v>1.2</v>
      </c>
      <c r="J224" s="1009">
        <f>H224*I224*Исх!$C$2</f>
        <v>0</v>
      </c>
      <c r="K224" s="1352">
        <f t="shared" si="60"/>
        <v>0</v>
      </c>
      <c r="L224" s="1989">
        <v>1200</v>
      </c>
      <c r="M224" s="980">
        <v>1000</v>
      </c>
      <c r="N224" s="28" t="s">
        <v>259</v>
      </c>
      <c r="R224" s="32" t="str">
        <f t="shared" si="62"/>
        <v>заказчика</v>
      </c>
      <c r="S224" s="28" t="s">
        <v>784</v>
      </c>
      <c r="V224" s="1298"/>
    </row>
    <row r="225" spans="1:39" hidden="1" x14ac:dyDescent="0.2">
      <c r="A225" s="50">
        <f t="shared" si="58"/>
        <v>35</v>
      </c>
      <c r="B225" s="1024" t="s">
        <v>1170</v>
      </c>
      <c r="C225" s="2113" t="s">
        <v>1818</v>
      </c>
      <c r="D225" s="66" t="s">
        <v>264</v>
      </c>
      <c r="E225" s="974" t="s">
        <v>259</v>
      </c>
      <c r="F225" s="66">
        <v>1</v>
      </c>
      <c r="G225" s="66">
        <f>IF(B225=LOOKUP($A225,Исх!B$29:B$41,Исх!C$29:C$41),LOOKUP($A225,Исх!B$29:B$41,Исх!AD$29:AD$41),0)</f>
        <v>0</v>
      </c>
      <c r="H225" s="26">
        <f t="shared" si="61"/>
        <v>0</v>
      </c>
      <c r="I225" s="1017">
        <f>L225</f>
        <v>69.58</v>
      </c>
      <c r="J225" s="1009">
        <f t="shared" ref="J225:J228" si="93">H225*I225</f>
        <v>0</v>
      </c>
      <c r="K225" s="1352">
        <f t="shared" si="60"/>
        <v>0</v>
      </c>
      <c r="L225" s="2013">
        <v>69.58</v>
      </c>
      <c r="M225" s="980">
        <v>1000</v>
      </c>
      <c r="N225" s="28" t="s">
        <v>259</v>
      </c>
      <c r="Q225" s="219"/>
      <c r="R225" s="32" t="str">
        <f t="shared" si="62"/>
        <v>заказчика</v>
      </c>
      <c r="S225" s="28" t="s">
        <v>784</v>
      </c>
      <c r="Y225" s="1297"/>
    </row>
    <row r="226" spans="1:39" hidden="1" x14ac:dyDescent="0.2">
      <c r="A226" s="50">
        <f t="shared" si="58"/>
        <v>36</v>
      </c>
      <c r="B226" s="1024" t="s">
        <v>1171</v>
      </c>
      <c r="C226" s="2113" t="s">
        <v>1818</v>
      </c>
      <c r="D226" s="66" t="s">
        <v>264</v>
      </c>
      <c r="E226" s="1023" t="s">
        <v>259</v>
      </c>
      <c r="F226" s="66">
        <v>1</v>
      </c>
      <c r="G226" s="66">
        <f>IF(B226=LOOKUP($A226,Исх!B$29:B$41,Исх!C$29:C$41),LOOKUP($A226,Исх!B$29:B$41,Исх!AD$29:AD$41),0)</f>
        <v>0</v>
      </c>
      <c r="H226" s="26">
        <f t="shared" ref="H226" si="94">F226*G226</f>
        <v>0</v>
      </c>
      <c r="I226" s="1017">
        <f t="shared" ref="I226:I232" si="95">L226</f>
        <v>67.92</v>
      </c>
      <c r="J226" s="1009">
        <f t="shared" si="93"/>
        <v>0</v>
      </c>
      <c r="K226" s="1352">
        <f t="shared" si="60"/>
        <v>0</v>
      </c>
      <c r="L226" s="2013">
        <v>67.92</v>
      </c>
      <c r="M226" s="980">
        <v>1000</v>
      </c>
      <c r="N226" s="28" t="s">
        <v>259</v>
      </c>
      <c r="Q226" s="219"/>
      <c r="R226" s="32" t="str">
        <f t="shared" si="62"/>
        <v>заказчика</v>
      </c>
      <c r="S226" s="28" t="s">
        <v>784</v>
      </c>
      <c r="Y226" s="1297"/>
    </row>
    <row r="227" spans="1:39" hidden="1" x14ac:dyDescent="0.2">
      <c r="A227" s="50">
        <f t="shared" si="58"/>
        <v>37</v>
      </c>
      <c r="B227" s="1024" t="s">
        <v>1172</v>
      </c>
      <c r="C227" s="2113" t="s">
        <v>1818</v>
      </c>
      <c r="D227" s="66" t="s">
        <v>264</v>
      </c>
      <c r="E227" s="1023" t="s">
        <v>259</v>
      </c>
      <c r="F227" s="66">
        <v>1</v>
      </c>
      <c r="G227" s="66">
        <f>IF(B227=LOOKUP($A227,Исх!B$29:B$41,Исх!C$29:C$41),LOOKUP($A227,Исх!B$29:B$41,Исх!AD$29:AD$41),0)</f>
        <v>0</v>
      </c>
      <c r="H227" s="26">
        <f t="shared" ref="H227" si="96">F227*G227</f>
        <v>0</v>
      </c>
      <c r="I227" s="1017">
        <f t="shared" si="95"/>
        <v>69.58</v>
      </c>
      <c r="J227" s="1009">
        <f t="shared" si="93"/>
        <v>0</v>
      </c>
      <c r="K227" s="1352">
        <f t="shared" si="60"/>
        <v>0</v>
      </c>
      <c r="L227" s="2013">
        <v>69.58</v>
      </c>
      <c r="M227" s="980">
        <v>1000</v>
      </c>
      <c r="N227" s="28" t="s">
        <v>259</v>
      </c>
      <c r="Q227" s="219"/>
      <c r="R227" s="32" t="str">
        <f t="shared" si="62"/>
        <v>заказчика</v>
      </c>
      <c r="S227" s="28" t="s">
        <v>784</v>
      </c>
      <c r="Y227" s="1297"/>
    </row>
    <row r="228" spans="1:39" hidden="1" x14ac:dyDescent="0.2">
      <c r="A228" s="50">
        <f t="shared" si="58"/>
        <v>38</v>
      </c>
      <c r="B228" s="1024" t="s">
        <v>1173</v>
      </c>
      <c r="C228" s="2113" t="s">
        <v>1818</v>
      </c>
      <c r="D228" s="66" t="s">
        <v>264</v>
      </c>
      <c r="E228" s="974" t="s">
        <v>259</v>
      </c>
      <c r="F228" s="66">
        <v>1</v>
      </c>
      <c r="G228" s="66">
        <f>IF(B228=LOOKUP($A228,Исх!B$29:B$41,Исх!C$29:C$41),LOOKUP($A228,Исх!B$29:B$41,Исх!AD$29:AD$41),0)</f>
        <v>0</v>
      </c>
      <c r="H228" s="26">
        <f t="shared" si="61"/>
        <v>0</v>
      </c>
      <c r="I228" s="1017">
        <f t="shared" si="95"/>
        <v>67.92</v>
      </c>
      <c r="J228" s="1009">
        <f t="shared" si="93"/>
        <v>0</v>
      </c>
      <c r="K228" s="1352">
        <f t="shared" si="60"/>
        <v>0</v>
      </c>
      <c r="L228" s="2013">
        <v>67.92</v>
      </c>
      <c r="M228" s="980">
        <v>1000</v>
      </c>
      <c r="N228" s="28" t="s">
        <v>259</v>
      </c>
      <c r="Q228" s="219"/>
      <c r="R228" s="32" t="str">
        <f t="shared" si="62"/>
        <v>заказчика</v>
      </c>
      <c r="S228" s="28" t="s">
        <v>784</v>
      </c>
      <c r="Y228" s="1297"/>
    </row>
    <row r="229" spans="1:39" hidden="1" x14ac:dyDescent="0.2">
      <c r="A229" s="50">
        <f t="shared" si="58"/>
        <v>39</v>
      </c>
      <c r="B229" s="1483" t="s">
        <v>1152</v>
      </c>
      <c r="C229" s="2113" t="s">
        <v>1818</v>
      </c>
      <c r="D229" s="66" t="s">
        <v>264</v>
      </c>
      <c r="E229" s="1482" t="s">
        <v>259</v>
      </c>
      <c r="F229" s="66">
        <v>1</v>
      </c>
      <c r="G229" s="66">
        <f>IF(B229=LOOKUP($A229,Исх!B$29:B$41,Исх!C$29:C$41),LOOKUP($A229,Исх!B$29:B$41,Исх!AD$29:AD$41),0)</f>
        <v>0</v>
      </c>
      <c r="H229" s="26">
        <f t="shared" ref="H229:H232" si="97">F229*G229</f>
        <v>0</v>
      </c>
      <c r="I229" s="1017">
        <f t="shared" si="95"/>
        <v>71.010000000000005</v>
      </c>
      <c r="J229" s="1009">
        <f t="shared" ref="J229:J232" si="98">H229*I229</f>
        <v>0</v>
      </c>
      <c r="K229" s="1352">
        <f t="shared" ref="K229:K232" si="99">IF(J229&gt;0,1,0)</f>
        <v>0</v>
      </c>
      <c r="L229" s="2075">
        <v>71.010000000000005</v>
      </c>
      <c r="M229" s="980">
        <v>1000</v>
      </c>
      <c r="N229" s="28" t="s">
        <v>259</v>
      </c>
      <c r="Q229" s="219"/>
      <c r="R229" s="32" t="str">
        <f t="shared" ref="R229:R232" si="100">IF(G229&lt;1,"заказчика","типографии")</f>
        <v>заказчика</v>
      </c>
      <c r="S229" s="28" t="s">
        <v>784</v>
      </c>
      <c r="Y229" s="1297"/>
    </row>
    <row r="230" spans="1:39" hidden="1" x14ac:dyDescent="0.2">
      <c r="A230" s="50">
        <f t="shared" si="58"/>
        <v>40</v>
      </c>
      <c r="B230" s="1483" t="s">
        <v>1174</v>
      </c>
      <c r="C230" s="2113" t="s">
        <v>1818</v>
      </c>
      <c r="D230" s="66" t="s">
        <v>264</v>
      </c>
      <c r="E230" s="1508" t="s">
        <v>259</v>
      </c>
      <c r="F230" s="66">
        <v>1</v>
      </c>
      <c r="G230" s="66">
        <f>IF(B230=LOOKUP($A230,Исх!B$29:B$41,Исх!C$29:C$41),LOOKUP($A230,Исх!B$29:B$41,Исх!AD$29:AD$41),0)</f>
        <v>0</v>
      </c>
      <c r="H230" s="26">
        <f t="shared" ref="H230" si="101">F230*G230</f>
        <v>0</v>
      </c>
      <c r="I230" s="1017">
        <f t="shared" si="95"/>
        <v>71.010000000000005</v>
      </c>
      <c r="J230" s="1009">
        <f t="shared" ref="J230" si="102">H230*I230</f>
        <v>0</v>
      </c>
      <c r="K230" s="1352">
        <f t="shared" ref="K230" si="103">IF(J230&gt;0,1,0)</f>
        <v>0</v>
      </c>
      <c r="L230" s="2075">
        <v>71.010000000000005</v>
      </c>
      <c r="M230" s="980">
        <v>1000</v>
      </c>
      <c r="N230" s="28" t="s">
        <v>259</v>
      </c>
      <c r="Q230" s="219"/>
      <c r="R230" s="32" t="str">
        <f t="shared" ref="R230" si="104">IF(G230&lt;1,"заказчика","типографии")</f>
        <v>заказчика</v>
      </c>
      <c r="S230" s="28" t="s">
        <v>784</v>
      </c>
      <c r="Y230" s="1297"/>
    </row>
    <row r="231" spans="1:39" hidden="1" x14ac:dyDescent="0.2">
      <c r="A231" s="50">
        <f t="shared" si="58"/>
        <v>41</v>
      </c>
      <c r="B231" s="1483" t="s">
        <v>1169</v>
      </c>
      <c r="C231" s="2113" t="s">
        <v>1818</v>
      </c>
      <c r="D231" s="66" t="s">
        <v>264</v>
      </c>
      <c r="E231" s="1489" t="s">
        <v>259</v>
      </c>
      <c r="F231" s="66">
        <v>1</v>
      </c>
      <c r="G231" s="66">
        <f>IF(B231=LOOKUP($A231,Исх!B$29:B$41,Исх!C$29:C$41),LOOKUP($A231,Исх!B$29:B$41,Исх!AD$29:AD$41),0)</f>
        <v>0</v>
      </c>
      <c r="H231" s="26">
        <f t="shared" ref="H231" si="105">F231*G231</f>
        <v>0</v>
      </c>
      <c r="I231" s="1017">
        <f t="shared" si="95"/>
        <v>71.010000000000005</v>
      </c>
      <c r="J231" s="1009">
        <f t="shared" ref="J231" si="106">H231*I231</f>
        <v>0</v>
      </c>
      <c r="K231" s="1352">
        <f t="shared" ref="K231" si="107">IF(J231&gt;0,1,0)</f>
        <v>0</v>
      </c>
      <c r="L231" s="2075">
        <v>71.010000000000005</v>
      </c>
      <c r="M231" s="980">
        <v>1000</v>
      </c>
      <c r="N231" s="28" t="s">
        <v>259</v>
      </c>
      <c r="Q231" s="219"/>
      <c r="R231" s="32" t="str">
        <f t="shared" ref="R231" si="108">IF(G231&lt;1,"заказчика","типографии")</f>
        <v>заказчика</v>
      </c>
      <c r="S231" s="28" t="s">
        <v>784</v>
      </c>
      <c r="Y231" s="1297"/>
    </row>
    <row r="232" spans="1:39" hidden="1" x14ac:dyDescent="0.2">
      <c r="A232" s="50">
        <f t="shared" si="58"/>
        <v>42</v>
      </c>
      <c r="B232" s="1483" t="s">
        <v>1153</v>
      </c>
      <c r="C232" s="2113" t="s">
        <v>1818</v>
      </c>
      <c r="D232" s="66" t="s">
        <v>264</v>
      </c>
      <c r="E232" s="1482" t="s">
        <v>259</v>
      </c>
      <c r="F232" s="66">
        <v>1</v>
      </c>
      <c r="G232" s="66">
        <f>IF(B232=LOOKUP($A232,Исх!B$29:B$41,Исх!C$29:C$41),LOOKUP($A232,Исх!B$29:B$41,Исх!AD$29:AD$41),0)</f>
        <v>0</v>
      </c>
      <c r="H232" s="26">
        <f t="shared" si="97"/>
        <v>0</v>
      </c>
      <c r="I232" s="1017">
        <f t="shared" si="95"/>
        <v>71.39</v>
      </c>
      <c r="J232" s="1009">
        <f t="shared" si="98"/>
        <v>0</v>
      </c>
      <c r="K232" s="1352">
        <f t="shared" si="99"/>
        <v>0</v>
      </c>
      <c r="L232" s="2075">
        <v>71.39</v>
      </c>
      <c r="M232" s="980">
        <v>1000</v>
      </c>
      <c r="N232" s="28" t="s">
        <v>259</v>
      </c>
      <c r="Q232" s="219"/>
      <c r="R232" s="32" t="str">
        <f t="shared" si="100"/>
        <v>заказчика</v>
      </c>
      <c r="S232" s="28" t="s">
        <v>784</v>
      </c>
      <c r="Y232" s="1297"/>
    </row>
    <row r="233" spans="1:39" hidden="1" x14ac:dyDescent="0.2">
      <c r="A233" s="50">
        <f t="shared" si="58"/>
        <v>43</v>
      </c>
      <c r="B233" s="1001" t="s">
        <v>807</v>
      </c>
      <c r="C233" s="2113" t="s">
        <v>1818</v>
      </c>
      <c r="D233" s="66" t="s">
        <v>264</v>
      </c>
      <c r="E233" s="978" t="s">
        <v>259</v>
      </c>
      <c r="F233" s="66">
        <v>1</v>
      </c>
      <c r="G233" s="66">
        <f>IF(B233=LOOKUP($A233,Исх!B$29:B$41,Исх!C$29:C$41),LOOKUP($A233,Исх!B$29:B$41,Исх!AD$29:AD$41),0)</f>
        <v>0</v>
      </c>
      <c r="H233" s="26">
        <f t="shared" ref="H233" si="109">F233*G233</f>
        <v>0</v>
      </c>
      <c r="I233" s="999">
        <v>0.96</v>
      </c>
      <c r="J233" s="1009">
        <f>H233*I233*Исх!$C$2</f>
        <v>0</v>
      </c>
      <c r="K233" s="1352">
        <f t="shared" si="60"/>
        <v>0</v>
      </c>
      <c r="L233" s="2019">
        <v>960</v>
      </c>
      <c r="M233" s="980">
        <v>1000</v>
      </c>
      <c r="N233" s="28" t="s">
        <v>259</v>
      </c>
      <c r="Q233" s="219"/>
      <c r="R233" s="32" t="str">
        <f t="shared" si="62"/>
        <v>заказчика</v>
      </c>
      <c r="S233" s="28" t="s">
        <v>784</v>
      </c>
      <c r="Y233" s="1297"/>
    </row>
    <row r="234" spans="1:39" hidden="1" x14ac:dyDescent="0.2">
      <c r="A234" s="50">
        <f t="shared" si="58"/>
        <v>44</v>
      </c>
      <c r="B234" s="1001" t="s">
        <v>820</v>
      </c>
      <c r="C234" s="2113" t="s">
        <v>1818</v>
      </c>
      <c r="D234" s="66" t="s">
        <v>264</v>
      </c>
      <c r="E234" s="1023" t="s">
        <v>259</v>
      </c>
      <c r="F234" s="66">
        <v>1</v>
      </c>
      <c r="G234" s="66">
        <f>IF(B234=LOOKUP($A234,Исх!B$29:B$41,Исх!C$29:C$41),LOOKUP($A234,Исх!B$29:B$41,Исх!AD$29:AD$41),0)</f>
        <v>0</v>
      </c>
      <c r="H234" s="26">
        <f t="shared" ref="H234" si="110">F234*G234</f>
        <v>0</v>
      </c>
      <c r="I234" s="999">
        <v>0.96</v>
      </c>
      <c r="J234" s="1009">
        <f>H234*I234*Исх!$C$2</f>
        <v>0</v>
      </c>
      <c r="K234" s="1352">
        <f t="shared" si="60"/>
        <v>0</v>
      </c>
      <c r="L234" s="2019">
        <v>960</v>
      </c>
      <c r="M234" s="980">
        <v>1000</v>
      </c>
      <c r="N234" s="28" t="s">
        <v>259</v>
      </c>
      <c r="Q234" s="219"/>
      <c r="R234" s="32" t="str">
        <f t="shared" si="62"/>
        <v>заказчика</v>
      </c>
      <c r="S234" s="28" t="s">
        <v>784</v>
      </c>
      <c r="Y234" s="1297"/>
    </row>
    <row r="235" spans="1:39" hidden="1" x14ac:dyDescent="0.2">
      <c r="A235" s="50">
        <f t="shared" si="58"/>
        <v>45</v>
      </c>
      <c r="B235" s="1001" t="s">
        <v>821</v>
      </c>
      <c r="C235" s="2113" t="s">
        <v>1818</v>
      </c>
      <c r="D235" s="66" t="s">
        <v>264</v>
      </c>
      <c r="E235" s="1023" t="s">
        <v>259</v>
      </c>
      <c r="F235" s="66">
        <v>1</v>
      </c>
      <c r="G235" s="66">
        <f>IF(B235=LOOKUP($A235,Исх!B$29:B$41,Исх!C$29:C$41),LOOKUP($A235,Исх!B$29:B$41,Исх!AD$29:AD$41),0)</f>
        <v>0</v>
      </c>
      <c r="H235" s="26">
        <f t="shared" ref="H235:H237" si="111">F235*G235</f>
        <v>0</v>
      </c>
      <c r="I235" s="999">
        <v>0.96</v>
      </c>
      <c r="J235" s="1009">
        <f>H235*I235*Исх!$C$2</f>
        <v>0</v>
      </c>
      <c r="K235" s="1352">
        <f t="shared" si="60"/>
        <v>0</v>
      </c>
      <c r="L235" s="2019">
        <v>960</v>
      </c>
      <c r="M235" s="980">
        <v>1000</v>
      </c>
      <c r="N235" s="28" t="s">
        <v>259</v>
      </c>
      <c r="Q235" s="219"/>
      <c r="R235" s="32" t="str">
        <f t="shared" si="62"/>
        <v>заказчика</v>
      </c>
      <c r="S235" s="28" t="s">
        <v>784</v>
      </c>
      <c r="Y235" s="1297"/>
    </row>
    <row r="236" spans="1:39" hidden="1" x14ac:dyDescent="0.2">
      <c r="A236" s="50">
        <f t="shared" si="58"/>
        <v>46</v>
      </c>
      <c r="B236" s="1001" t="s">
        <v>824</v>
      </c>
      <c r="C236" s="2113" t="s">
        <v>1818</v>
      </c>
      <c r="D236" s="66" t="s">
        <v>264</v>
      </c>
      <c r="E236" s="1028" t="s">
        <v>259</v>
      </c>
      <c r="F236" s="66">
        <v>1</v>
      </c>
      <c r="G236" s="66">
        <f>IF(B236=LOOKUP($A236,Исх!B$29:B$41,Исх!C$29:C$41),LOOKUP($A236,Исх!B$29:B$41,Исх!AD$29:AD$41),0)</f>
        <v>0</v>
      </c>
      <c r="H236" s="26">
        <f t="shared" si="111"/>
        <v>0</v>
      </c>
      <c r="I236" s="999">
        <v>0.96</v>
      </c>
      <c r="J236" s="1009">
        <f>H236*I236*Исх!$C$2</f>
        <v>0</v>
      </c>
      <c r="K236" s="1352">
        <f t="shared" si="60"/>
        <v>0</v>
      </c>
      <c r="L236" s="2019">
        <v>960</v>
      </c>
      <c r="M236" s="980">
        <v>1000</v>
      </c>
      <c r="N236" s="28" t="s">
        <v>259</v>
      </c>
      <c r="Q236" s="219"/>
      <c r="R236" s="32" t="str">
        <f t="shared" si="62"/>
        <v>заказчика</v>
      </c>
      <c r="S236" s="28" t="s">
        <v>784</v>
      </c>
      <c r="Y236" s="1297"/>
    </row>
    <row r="237" spans="1:39" hidden="1" x14ac:dyDescent="0.2">
      <c r="A237" s="50">
        <f t="shared" si="58"/>
        <v>47</v>
      </c>
      <c r="B237" s="1001" t="s">
        <v>825</v>
      </c>
      <c r="C237" s="2113" t="s">
        <v>1818</v>
      </c>
      <c r="D237" s="66" t="s">
        <v>264</v>
      </c>
      <c r="E237" s="1028" t="s">
        <v>259</v>
      </c>
      <c r="F237" s="66">
        <v>1</v>
      </c>
      <c r="G237" s="66">
        <f>IF(B237=LOOKUP($A237,Исх!B$29:B$41,Исх!C$29:C$41),LOOKUP($A237,Исх!B$29:B$41,Исх!AD$29:AD$41),0)</f>
        <v>0</v>
      </c>
      <c r="H237" s="26">
        <f t="shared" si="111"/>
        <v>0</v>
      </c>
      <c r="I237" s="999">
        <v>0.96</v>
      </c>
      <c r="J237" s="1009">
        <f>H237*I237*Исх!$C$2</f>
        <v>0</v>
      </c>
      <c r="K237" s="1352">
        <f t="shared" si="60"/>
        <v>0</v>
      </c>
      <c r="L237" s="2019">
        <v>960</v>
      </c>
      <c r="M237" s="980">
        <v>1000</v>
      </c>
      <c r="N237" s="28" t="s">
        <v>259</v>
      </c>
      <c r="Q237" s="219"/>
      <c r="R237" s="32" t="str">
        <f t="shared" si="62"/>
        <v>заказчика</v>
      </c>
      <c r="S237" s="28" t="s">
        <v>784</v>
      </c>
      <c r="Y237" s="1297"/>
    </row>
    <row r="238" spans="1:39" hidden="1" x14ac:dyDescent="0.2">
      <c r="A238" s="50">
        <f t="shared" si="58"/>
        <v>48</v>
      </c>
      <c r="B238" s="1001" t="s">
        <v>826</v>
      </c>
      <c r="C238" s="2113" t="s">
        <v>1818</v>
      </c>
      <c r="D238" s="66" t="s">
        <v>264</v>
      </c>
      <c r="E238" s="1028" t="s">
        <v>259</v>
      </c>
      <c r="F238" s="66">
        <v>1</v>
      </c>
      <c r="G238" s="66">
        <f>IF(B238=LOOKUP($A238,Исх!B$29:B$41,Исх!C$29:C$41),LOOKUP($A238,Исх!B$29:B$41,Исх!AD$29:AD$41),0)</f>
        <v>0</v>
      </c>
      <c r="H238" s="26">
        <f t="shared" ref="H238:H239" si="112">F238*G238</f>
        <v>0</v>
      </c>
      <c r="I238" s="999">
        <v>0.96</v>
      </c>
      <c r="J238" s="1009">
        <f>H238*I238*Исх!$C$2</f>
        <v>0</v>
      </c>
      <c r="K238" s="1352">
        <f t="shared" si="60"/>
        <v>0</v>
      </c>
      <c r="L238" s="2019">
        <v>960</v>
      </c>
      <c r="M238" s="980">
        <v>1000</v>
      </c>
      <c r="N238" s="28" t="s">
        <v>259</v>
      </c>
      <c r="Q238" s="219"/>
      <c r="R238" s="32" t="str">
        <f t="shared" si="62"/>
        <v>заказчика</v>
      </c>
      <c r="S238" s="28" t="s">
        <v>784</v>
      </c>
      <c r="Y238" s="1297"/>
    </row>
    <row r="239" spans="1:39" s="19" customFormat="1" ht="25.5" hidden="1" x14ac:dyDescent="0.2">
      <c r="A239" s="1833">
        <f t="shared" si="58"/>
        <v>49</v>
      </c>
      <c r="B239" s="1832" t="s">
        <v>1269</v>
      </c>
      <c r="C239" s="2113" t="s">
        <v>1817</v>
      </c>
      <c r="D239" s="1834" t="s">
        <v>264</v>
      </c>
      <c r="E239" s="600" t="s">
        <v>333</v>
      </c>
      <c r="F239" s="1834">
        <v>1</v>
      </c>
      <c r="G239" s="1834">
        <f>IF(B239=LOOKUP($A239,Исх!B$29:B$41,Исх!C$29:C$41),LOOKUP($A239,Исх!B$29:B$41,Исх!AD$29:AD$41),0)</f>
        <v>0</v>
      </c>
      <c r="H239" s="1835">
        <f t="shared" si="112"/>
        <v>0</v>
      </c>
      <c r="I239" s="1836">
        <f t="shared" ref="I239" si="113">L239+(L239*$M$190)</f>
        <v>1.86</v>
      </c>
      <c r="J239" s="1837">
        <f t="shared" ref="J239:J245" si="114">H239*I239</f>
        <v>0</v>
      </c>
      <c r="K239" s="1352">
        <f t="shared" si="60"/>
        <v>0</v>
      </c>
      <c r="L239" s="1842">
        <v>1.86</v>
      </c>
      <c r="M239" s="1838">
        <f t="shared" ref="M239" si="115">O239*P239*Q239/10000000</f>
        <v>1.6559999999999998E-2</v>
      </c>
      <c r="O239" s="19">
        <v>32</v>
      </c>
      <c r="P239" s="19">
        <v>45</v>
      </c>
      <c r="Q239" s="155">
        <v>115</v>
      </c>
      <c r="R239" s="158" t="str">
        <f>IF(G239&lt;1,"заказчика","типографии")</f>
        <v>заказчика</v>
      </c>
      <c r="S239" s="19" t="s">
        <v>784</v>
      </c>
      <c r="T239" s="1839"/>
      <c r="U239" s="918"/>
      <c r="V239" s="918"/>
      <c r="W239" s="918"/>
      <c r="X239" s="918"/>
      <c r="Y239" s="918"/>
      <c r="Z239" s="918"/>
      <c r="AA239" s="918"/>
      <c r="AB239" s="918"/>
      <c r="AC239" s="918"/>
      <c r="AD239" s="918"/>
      <c r="AE239" s="918"/>
      <c r="AF239" s="918"/>
      <c r="AG239" s="918"/>
      <c r="AH239" s="918"/>
      <c r="AI239" s="918"/>
      <c r="AJ239" s="918"/>
      <c r="AK239" s="918"/>
      <c r="AL239" s="918"/>
      <c r="AM239" s="918"/>
    </row>
    <row r="240" spans="1:39" s="19" customFormat="1" ht="25.5" hidden="1" x14ac:dyDescent="0.2">
      <c r="A240" s="1833">
        <f t="shared" si="58"/>
        <v>50</v>
      </c>
      <c r="B240" s="1832" t="s">
        <v>1270</v>
      </c>
      <c r="C240" s="2113" t="s">
        <v>1817</v>
      </c>
      <c r="D240" s="1834" t="s">
        <v>264</v>
      </c>
      <c r="E240" s="600" t="s">
        <v>333</v>
      </c>
      <c r="F240" s="1834">
        <v>1</v>
      </c>
      <c r="G240" s="1834">
        <f>IF(B240=LOOKUP($A240,Исх!B$29:B$41,Исх!C$29:C$41),LOOKUP($A240,Исх!B$29:B$41,Исх!AD$29:AD$41),0)</f>
        <v>0</v>
      </c>
      <c r="H240" s="1835">
        <f t="shared" ref="H240:H241" si="116">F240*G240</f>
        <v>0</v>
      </c>
      <c r="I240" s="1836">
        <f t="shared" ref="I240:I241" si="117">L240+(L240*$M$190)</f>
        <v>2.12</v>
      </c>
      <c r="J240" s="1837">
        <f t="shared" si="114"/>
        <v>0</v>
      </c>
      <c r="K240" s="1352">
        <f t="shared" ref="K240:K241" si="118">IF(J240&gt;0,1,0)</f>
        <v>0</v>
      </c>
      <c r="L240" s="1842">
        <v>2.12</v>
      </c>
      <c r="M240" s="1838">
        <f t="shared" ref="M240:M241" si="119">O240*P240*Q240/10000000</f>
        <v>1.8720000000000001E-2</v>
      </c>
      <c r="O240" s="19">
        <v>32</v>
      </c>
      <c r="P240" s="19">
        <v>45</v>
      </c>
      <c r="Q240" s="155">
        <v>130</v>
      </c>
      <c r="R240" s="158" t="str">
        <f t="shared" ref="R240:R241" si="120">IF(G240&lt;1,"заказчика","типографии")</f>
        <v>заказчика</v>
      </c>
      <c r="S240" s="19" t="s">
        <v>784</v>
      </c>
      <c r="T240" s="1839"/>
      <c r="U240" s="918"/>
      <c r="V240" s="918"/>
      <c r="W240" s="918"/>
      <c r="X240" s="918"/>
      <c r="Y240" s="918"/>
      <c r="Z240" s="918"/>
      <c r="AA240" s="918"/>
      <c r="AB240" s="918"/>
      <c r="AC240" s="918"/>
      <c r="AD240" s="918"/>
      <c r="AE240" s="918"/>
      <c r="AF240" s="918"/>
      <c r="AG240" s="918"/>
      <c r="AH240" s="918"/>
      <c r="AI240" s="918"/>
      <c r="AJ240" s="918"/>
      <c r="AK240" s="918"/>
      <c r="AL240" s="918"/>
      <c r="AM240" s="918"/>
    </row>
    <row r="241" spans="1:39" s="19" customFormat="1" ht="25.5" hidden="1" x14ac:dyDescent="0.2">
      <c r="A241" s="1833">
        <f t="shared" si="58"/>
        <v>51</v>
      </c>
      <c r="B241" s="1832" t="s">
        <v>1271</v>
      </c>
      <c r="C241" s="2113" t="s">
        <v>1817</v>
      </c>
      <c r="D241" s="1834" t="s">
        <v>264</v>
      </c>
      <c r="E241" s="600" t="s">
        <v>333</v>
      </c>
      <c r="F241" s="1834">
        <v>1</v>
      </c>
      <c r="G241" s="1834">
        <f>IF(B241=LOOKUP($A241,Исх!B$29:B$41,Исх!C$29:C$41),LOOKUP($A241,Исх!B$29:B$41,Исх!AD$29:AD$41),0)</f>
        <v>0</v>
      </c>
      <c r="H241" s="1835">
        <f t="shared" si="116"/>
        <v>0</v>
      </c>
      <c r="I241" s="1836">
        <f t="shared" si="117"/>
        <v>2.44</v>
      </c>
      <c r="J241" s="1837">
        <f t="shared" si="114"/>
        <v>0</v>
      </c>
      <c r="K241" s="1352">
        <f t="shared" si="118"/>
        <v>0</v>
      </c>
      <c r="L241" s="1842">
        <v>2.44</v>
      </c>
      <c r="M241" s="1838">
        <f t="shared" si="119"/>
        <v>2.1600000000000001E-2</v>
      </c>
      <c r="O241" s="19">
        <v>32</v>
      </c>
      <c r="P241" s="19">
        <v>45</v>
      </c>
      <c r="Q241" s="155">
        <v>150</v>
      </c>
      <c r="R241" s="158" t="str">
        <f t="shared" si="120"/>
        <v>заказчика</v>
      </c>
      <c r="S241" s="19" t="s">
        <v>784</v>
      </c>
      <c r="T241" s="1839"/>
      <c r="U241" s="918"/>
      <c r="V241" s="918"/>
      <c r="W241" s="918"/>
      <c r="X241" s="918"/>
      <c r="Y241" s="918"/>
      <c r="Z241" s="918"/>
      <c r="AA241" s="918"/>
      <c r="AB241" s="918"/>
      <c r="AC241" s="918"/>
      <c r="AD241" s="918"/>
      <c r="AE241" s="918"/>
      <c r="AF241" s="918"/>
      <c r="AG241" s="918"/>
      <c r="AH241" s="918"/>
      <c r="AI241" s="918"/>
      <c r="AJ241" s="918"/>
      <c r="AK241" s="918"/>
      <c r="AL241" s="918"/>
      <c r="AM241" s="918"/>
    </row>
    <row r="242" spans="1:39" s="19" customFormat="1" ht="25.5" hidden="1" x14ac:dyDescent="0.2">
      <c r="A242" s="1833">
        <f t="shared" si="58"/>
        <v>52</v>
      </c>
      <c r="B242" s="1832" t="s">
        <v>1272</v>
      </c>
      <c r="C242" s="2113" t="s">
        <v>1817</v>
      </c>
      <c r="D242" s="1834" t="s">
        <v>264</v>
      </c>
      <c r="E242" s="600" t="s">
        <v>333</v>
      </c>
      <c r="F242" s="1834">
        <v>1</v>
      </c>
      <c r="G242" s="1834">
        <f>IF(B242=LOOKUP($A242,Исх!B$29:B$41,Исх!C$29:C$41),LOOKUP($A242,Исх!B$29:B$41,Исх!AD$29:AD$41),0)</f>
        <v>0</v>
      </c>
      <c r="H242" s="1835">
        <f t="shared" ref="H242:H245" si="121">F242*G242</f>
        <v>0</v>
      </c>
      <c r="I242" s="1836">
        <f t="shared" ref="I242:I245" si="122">L242+(L242*$M$190)</f>
        <v>2.76</v>
      </c>
      <c r="J242" s="1837">
        <f t="shared" si="114"/>
        <v>0</v>
      </c>
      <c r="K242" s="1352">
        <f t="shared" ref="K242:K245" si="123">IF(J242&gt;0,1,0)</f>
        <v>0</v>
      </c>
      <c r="L242" s="1842">
        <v>2.76</v>
      </c>
      <c r="M242" s="1838">
        <f t="shared" ref="M242:M245" si="124">O242*P242*Q242/10000000</f>
        <v>2.4479999999999998E-2</v>
      </c>
      <c r="O242" s="19">
        <v>32</v>
      </c>
      <c r="P242" s="19">
        <v>45</v>
      </c>
      <c r="Q242" s="155">
        <v>170</v>
      </c>
      <c r="R242" s="158" t="str">
        <f t="shared" ref="R242:R245" si="125">IF(G242&lt;1,"заказчика","типографии")</f>
        <v>заказчика</v>
      </c>
      <c r="S242" s="19" t="s">
        <v>784</v>
      </c>
      <c r="T242" s="1839"/>
      <c r="U242" s="918"/>
      <c r="V242" s="918"/>
      <c r="W242" s="918"/>
      <c r="X242" s="918"/>
      <c r="Y242" s="918"/>
      <c r="Z242" s="918"/>
      <c r="AA242" s="918"/>
      <c r="AB242" s="918"/>
      <c r="AC242" s="918"/>
      <c r="AD242" s="918"/>
      <c r="AE242" s="918"/>
      <c r="AF242" s="918"/>
      <c r="AG242" s="918"/>
      <c r="AH242" s="918"/>
      <c r="AI242" s="918"/>
      <c r="AJ242" s="918"/>
      <c r="AK242" s="918"/>
      <c r="AL242" s="918"/>
      <c r="AM242" s="918"/>
    </row>
    <row r="243" spans="1:39" s="19" customFormat="1" ht="25.5" hidden="1" x14ac:dyDescent="0.2">
      <c r="A243" s="1833">
        <f t="shared" si="58"/>
        <v>53</v>
      </c>
      <c r="B243" s="1832" t="s">
        <v>1273</v>
      </c>
      <c r="C243" s="2113" t="s">
        <v>1817</v>
      </c>
      <c r="D243" s="1834" t="s">
        <v>264</v>
      </c>
      <c r="E243" s="600" t="s">
        <v>333</v>
      </c>
      <c r="F243" s="1834">
        <v>1</v>
      </c>
      <c r="G243" s="1834">
        <f>IF(B243=LOOKUP($A243,Исх!B$29:B$41,Исх!C$29:C$41),LOOKUP($A243,Исх!B$29:B$41,Исх!AD$29:AD$41),0)</f>
        <v>0</v>
      </c>
      <c r="H243" s="1835">
        <f t="shared" si="121"/>
        <v>0</v>
      </c>
      <c r="I243" s="1836">
        <f t="shared" si="122"/>
        <v>3.28</v>
      </c>
      <c r="J243" s="1837">
        <f t="shared" si="114"/>
        <v>0</v>
      </c>
      <c r="K243" s="1352">
        <f t="shared" si="123"/>
        <v>0</v>
      </c>
      <c r="L243" s="1842">
        <v>3.28</v>
      </c>
      <c r="M243" s="1838">
        <f t="shared" si="124"/>
        <v>2.8799999999999999E-2</v>
      </c>
      <c r="O243" s="19">
        <v>32</v>
      </c>
      <c r="P243" s="19">
        <v>45</v>
      </c>
      <c r="Q243" s="155">
        <v>200</v>
      </c>
      <c r="R243" s="158" t="str">
        <f t="shared" si="125"/>
        <v>заказчика</v>
      </c>
      <c r="S243" s="19" t="s">
        <v>784</v>
      </c>
      <c r="T243" s="1839"/>
      <c r="U243" s="918"/>
      <c r="V243" s="918"/>
      <c r="W243" s="918"/>
      <c r="X243" s="918"/>
      <c r="Y243" s="918"/>
      <c r="Z243" s="918"/>
      <c r="AA243" s="918"/>
      <c r="AB243" s="918"/>
      <c r="AC243" s="918"/>
      <c r="AD243" s="918"/>
      <c r="AE243" s="918"/>
      <c r="AF243" s="918"/>
      <c r="AG243" s="918"/>
      <c r="AH243" s="918"/>
      <c r="AI243" s="918"/>
      <c r="AJ243" s="918"/>
      <c r="AK243" s="918"/>
      <c r="AL243" s="918"/>
      <c r="AM243" s="918"/>
    </row>
    <row r="244" spans="1:39" s="19" customFormat="1" ht="25.5" hidden="1" x14ac:dyDescent="0.2">
      <c r="A244" s="1833">
        <f t="shared" si="58"/>
        <v>54</v>
      </c>
      <c r="B244" s="1832" t="s">
        <v>1274</v>
      </c>
      <c r="C244" s="2113" t="s">
        <v>1817</v>
      </c>
      <c r="D244" s="1834" t="s">
        <v>264</v>
      </c>
      <c r="E244" s="600" t="s">
        <v>333</v>
      </c>
      <c r="F244" s="1834">
        <v>1</v>
      </c>
      <c r="G244" s="1834">
        <f>IF(B244=LOOKUP($A244,Исх!B$29:B$41,Исх!C$29:C$41),LOOKUP($A244,Исх!B$29:B$41,Исх!AD$29:AD$41),0)</f>
        <v>0</v>
      </c>
      <c r="H244" s="1835">
        <f t="shared" si="121"/>
        <v>0</v>
      </c>
      <c r="I244" s="1836">
        <f t="shared" si="122"/>
        <v>4.16</v>
      </c>
      <c r="J244" s="1837">
        <f t="shared" si="114"/>
        <v>0</v>
      </c>
      <c r="K244" s="1352">
        <f t="shared" si="123"/>
        <v>0</v>
      </c>
      <c r="L244" s="1842">
        <v>4.16</v>
      </c>
      <c r="M244" s="1838">
        <f t="shared" si="124"/>
        <v>3.5999999999999997E-2</v>
      </c>
      <c r="O244" s="19">
        <v>32</v>
      </c>
      <c r="P244" s="19">
        <v>45</v>
      </c>
      <c r="Q244" s="155">
        <v>250</v>
      </c>
      <c r="R244" s="158" t="str">
        <f t="shared" si="125"/>
        <v>заказчика</v>
      </c>
      <c r="S244" s="19" t="s">
        <v>784</v>
      </c>
      <c r="T244" s="1839"/>
      <c r="U244" s="918"/>
      <c r="V244" s="918"/>
      <c r="W244" s="918"/>
      <c r="X244" s="918"/>
      <c r="Y244" s="918"/>
      <c r="Z244" s="918"/>
      <c r="AA244" s="918"/>
      <c r="AB244" s="918"/>
      <c r="AC244" s="918"/>
      <c r="AD244" s="918"/>
      <c r="AE244" s="918"/>
      <c r="AF244" s="918"/>
      <c r="AG244" s="918"/>
      <c r="AH244" s="918"/>
      <c r="AI244" s="918"/>
      <c r="AJ244" s="918"/>
      <c r="AK244" s="918"/>
      <c r="AL244" s="918"/>
      <c r="AM244" s="918"/>
    </row>
    <row r="245" spans="1:39" s="19" customFormat="1" ht="25.5" hidden="1" x14ac:dyDescent="0.2">
      <c r="A245" s="1833">
        <f t="shared" si="58"/>
        <v>55</v>
      </c>
      <c r="B245" s="1832" t="s">
        <v>1275</v>
      </c>
      <c r="C245" s="2113" t="s">
        <v>1817</v>
      </c>
      <c r="D245" s="1834" t="s">
        <v>264</v>
      </c>
      <c r="E245" s="600" t="s">
        <v>333</v>
      </c>
      <c r="F245" s="1834">
        <v>1</v>
      </c>
      <c r="G245" s="1834">
        <f>IF(B245=LOOKUP($A245,Исх!B$29:B$41,Исх!C$29:C$41),LOOKUP($A245,Исх!B$29:B$41,Исх!AD$29:AD$41),0)</f>
        <v>0</v>
      </c>
      <c r="H245" s="1835">
        <f t="shared" si="121"/>
        <v>0</v>
      </c>
      <c r="I245" s="1836">
        <f t="shared" si="122"/>
        <v>5.04</v>
      </c>
      <c r="J245" s="1837">
        <f t="shared" si="114"/>
        <v>0</v>
      </c>
      <c r="K245" s="1352">
        <f t="shared" si="123"/>
        <v>0</v>
      </c>
      <c r="L245" s="1842">
        <v>5.04</v>
      </c>
      <c r="M245" s="1838">
        <f t="shared" si="124"/>
        <v>4.3200000000000002E-2</v>
      </c>
      <c r="O245" s="19">
        <v>32</v>
      </c>
      <c r="P245" s="19">
        <v>45</v>
      </c>
      <c r="Q245" s="155">
        <v>300</v>
      </c>
      <c r="R245" s="158" t="str">
        <f t="shared" si="125"/>
        <v>заказчика</v>
      </c>
      <c r="S245" s="19" t="s">
        <v>784</v>
      </c>
      <c r="T245" s="1839"/>
      <c r="U245" s="918"/>
      <c r="V245" s="918"/>
      <c r="W245" s="918"/>
      <c r="X245" s="918"/>
      <c r="Y245" s="918"/>
      <c r="Z245" s="918"/>
      <c r="AA245" s="918"/>
      <c r="AB245" s="918"/>
      <c r="AC245" s="918"/>
      <c r="AD245" s="918"/>
      <c r="AE245" s="918"/>
      <c r="AF245" s="918"/>
      <c r="AG245" s="918"/>
      <c r="AH245" s="918"/>
      <c r="AI245" s="918"/>
      <c r="AJ245" s="918"/>
      <c r="AK245" s="918"/>
      <c r="AL245" s="918"/>
      <c r="AM245" s="918"/>
    </row>
    <row r="246" spans="1:39" hidden="1" x14ac:dyDescent="0.2">
      <c r="A246" s="1833">
        <f t="shared" si="58"/>
        <v>56</v>
      </c>
      <c r="B246" s="431" t="s">
        <v>1372</v>
      </c>
      <c r="C246" s="2113" t="s">
        <v>1818</v>
      </c>
      <c r="D246" s="66" t="s">
        <v>264</v>
      </c>
      <c r="E246" s="974" t="s">
        <v>333</v>
      </c>
      <c r="F246" s="66">
        <v>1</v>
      </c>
      <c r="G246" s="66">
        <f>IF(B246=LOOKUP($A246,Исх!B$29:B$41,Исх!C$29:C$41),LOOKUP($A246,Исх!B$29:B$41,Исх!AD$29:AD$41),0)</f>
        <v>0</v>
      </c>
      <c r="H246" s="26">
        <f t="shared" ref="H246:H263" si="126">F246*G246</f>
        <v>0</v>
      </c>
      <c r="I246" s="1000">
        <f t="shared" ref="I246:I289" si="127">L246*M246/1000</f>
        <v>0.21050736</v>
      </c>
      <c r="J246" s="1009">
        <f>H246*I246*Исх!$C$3</f>
        <v>0</v>
      </c>
      <c r="K246" s="1352">
        <f t="shared" si="60"/>
        <v>0</v>
      </c>
      <c r="L246" s="1990">
        <v>1720</v>
      </c>
      <c r="M246" s="723">
        <f t="shared" ref="M246:M300" si="128">O246*P246*Q246/10000000</f>
        <v>0.122388</v>
      </c>
      <c r="O246" s="28">
        <v>62</v>
      </c>
      <c r="P246" s="28">
        <v>94</v>
      </c>
      <c r="Q246" s="219">
        <v>210</v>
      </c>
      <c r="R246" s="32" t="str">
        <f t="shared" si="62"/>
        <v>заказчика</v>
      </c>
      <c r="S246" s="28" t="s">
        <v>686</v>
      </c>
      <c r="T246" s="1298"/>
    </row>
    <row r="247" spans="1:39" hidden="1" x14ac:dyDescent="0.2">
      <c r="A247" s="1833">
        <f t="shared" si="58"/>
        <v>57</v>
      </c>
      <c r="B247" s="431" t="s">
        <v>111</v>
      </c>
      <c r="C247" s="2113" t="s">
        <v>1818</v>
      </c>
      <c r="D247" s="66" t="s">
        <v>264</v>
      </c>
      <c r="E247" s="974" t="s">
        <v>333</v>
      </c>
      <c r="F247" s="66">
        <v>1</v>
      </c>
      <c r="G247" s="66">
        <f>IF(B247=LOOKUP($A247,Исх!B$29:B$41,Исх!C$29:C$41),LOOKUP($A247,Исх!B$29:B$41,Исх!AD$29:AD$41),0)</f>
        <v>0</v>
      </c>
      <c r="H247" s="26">
        <f t="shared" si="126"/>
        <v>0</v>
      </c>
      <c r="I247" s="1000">
        <f t="shared" si="127"/>
        <v>0.23556775999999999</v>
      </c>
      <c r="J247" s="1009">
        <f>H247*I247*Исх!$C$3</f>
        <v>0</v>
      </c>
      <c r="K247" s="1352">
        <f t="shared" si="60"/>
        <v>0</v>
      </c>
      <c r="L247" s="994">
        <v>1720</v>
      </c>
      <c r="M247" s="723">
        <f t="shared" si="128"/>
        <v>0.136958</v>
      </c>
      <c r="O247" s="28">
        <v>62</v>
      </c>
      <c r="P247" s="28">
        <v>94</v>
      </c>
      <c r="Q247" s="219">
        <v>235</v>
      </c>
      <c r="R247" s="32" t="str">
        <f t="shared" si="62"/>
        <v>заказчика</v>
      </c>
      <c r="S247" s="28" t="s">
        <v>686</v>
      </c>
      <c r="T247" s="1298"/>
    </row>
    <row r="248" spans="1:39" hidden="1" x14ac:dyDescent="0.2">
      <c r="A248" s="1833">
        <f t="shared" si="58"/>
        <v>58</v>
      </c>
      <c r="B248" s="431" t="s">
        <v>442</v>
      </c>
      <c r="C248" s="2113" t="s">
        <v>1818</v>
      </c>
      <c r="D248" s="66" t="s">
        <v>264</v>
      </c>
      <c r="E248" s="974" t="s">
        <v>333</v>
      </c>
      <c r="F248" s="66">
        <v>1</v>
      </c>
      <c r="G248" s="66">
        <f>IF(B248=LOOKUP($A248,Исх!B$29:B$41,Исх!C$29:C$41),LOOKUP($A248,Исх!B$29:B$41,Исх!AD$29:AD$41),0)</f>
        <v>0</v>
      </c>
      <c r="H248" s="26">
        <f t="shared" si="126"/>
        <v>0</v>
      </c>
      <c r="I248" s="1000">
        <f t="shared" si="127"/>
        <v>0.25060399999999999</v>
      </c>
      <c r="J248" s="1009">
        <f>H248*I248*Исх!$C$3</f>
        <v>0</v>
      </c>
      <c r="K248" s="1352">
        <f t="shared" si="60"/>
        <v>0</v>
      </c>
      <c r="L248" s="994">
        <v>1720</v>
      </c>
      <c r="M248" s="723">
        <f t="shared" si="128"/>
        <v>0.1457</v>
      </c>
      <c r="O248" s="28">
        <v>62</v>
      </c>
      <c r="P248" s="28">
        <v>94</v>
      </c>
      <c r="Q248" s="219">
        <v>250</v>
      </c>
      <c r="R248" s="32" t="str">
        <f t="shared" si="62"/>
        <v>заказчика</v>
      </c>
      <c r="S248" s="28" t="s">
        <v>686</v>
      </c>
      <c r="T248" s="1298"/>
    </row>
    <row r="249" spans="1:39" hidden="1" x14ac:dyDescent="0.2">
      <c r="A249" s="1833">
        <f t="shared" si="58"/>
        <v>59</v>
      </c>
      <c r="B249" s="431" t="s">
        <v>112</v>
      </c>
      <c r="C249" s="2113" t="s">
        <v>1818</v>
      </c>
      <c r="D249" s="66" t="s">
        <v>264</v>
      </c>
      <c r="E249" s="974" t="s">
        <v>333</v>
      </c>
      <c r="F249" s="66">
        <v>1</v>
      </c>
      <c r="G249" s="66">
        <f>IF(B249=LOOKUP($A249,Исх!B$29:B$41,Исх!C$29:C$41),LOOKUP($A249,Исх!B$29:B$41,Исх!AD$29:AD$41),0)</f>
        <v>0</v>
      </c>
      <c r="H249" s="26">
        <f t="shared" si="126"/>
        <v>0</v>
      </c>
      <c r="I249" s="1000">
        <f t="shared" si="127"/>
        <v>0.25561607999999997</v>
      </c>
      <c r="J249" s="1009">
        <f>H249*I249*Исх!$C$3</f>
        <v>0</v>
      </c>
      <c r="K249" s="1352">
        <f t="shared" si="60"/>
        <v>0</v>
      </c>
      <c r="L249" s="994">
        <v>1720</v>
      </c>
      <c r="M249" s="723">
        <f t="shared" si="128"/>
        <v>0.148614</v>
      </c>
      <c r="O249" s="28">
        <v>62</v>
      </c>
      <c r="P249" s="28">
        <v>94</v>
      </c>
      <c r="Q249" s="219">
        <v>255</v>
      </c>
      <c r="R249" s="32" t="str">
        <f t="shared" si="62"/>
        <v>заказчика</v>
      </c>
      <c r="S249" s="28" t="s">
        <v>686</v>
      </c>
      <c r="T249" s="1298"/>
    </row>
    <row r="250" spans="1:39" hidden="1" x14ac:dyDescent="0.2">
      <c r="A250" s="1833">
        <f t="shared" si="58"/>
        <v>60</v>
      </c>
      <c r="B250" s="431" t="s">
        <v>358</v>
      </c>
      <c r="C250" s="2113" t="s">
        <v>1818</v>
      </c>
      <c r="D250" s="66" t="s">
        <v>264</v>
      </c>
      <c r="E250" s="974" t="s">
        <v>333</v>
      </c>
      <c r="F250" s="66">
        <v>1</v>
      </c>
      <c r="G250" s="66">
        <f>IF(B250=LOOKUP($A250,Исх!B$29:B$41,Исх!C$29:C$41),LOOKUP($A250,Исх!B$29:B$41,Исх!AD$29:AD$41),0)</f>
        <v>0</v>
      </c>
      <c r="H250" s="26">
        <f t="shared" si="126"/>
        <v>0</v>
      </c>
      <c r="I250" s="1000">
        <f t="shared" si="127"/>
        <v>0.27566439999999998</v>
      </c>
      <c r="J250" s="1009">
        <f>H250*I250*Исх!$C$3</f>
        <v>0</v>
      </c>
      <c r="K250" s="1352">
        <f t="shared" si="60"/>
        <v>0</v>
      </c>
      <c r="L250" s="994">
        <v>1720</v>
      </c>
      <c r="M250" s="723">
        <f t="shared" si="128"/>
        <v>0.16027</v>
      </c>
      <c r="O250" s="28">
        <v>62</v>
      </c>
      <c r="P250" s="28">
        <v>94</v>
      </c>
      <c r="Q250" s="219">
        <v>275</v>
      </c>
      <c r="R250" s="32" t="str">
        <f t="shared" si="62"/>
        <v>заказчика</v>
      </c>
      <c r="S250" s="28" t="s">
        <v>686</v>
      </c>
      <c r="T250" s="1298"/>
    </row>
    <row r="251" spans="1:39" hidden="1" x14ac:dyDescent="0.2">
      <c r="A251" s="1833">
        <f t="shared" si="58"/>
        <v>61</v>
      </c>
      <c r="B251" s="431" t="s">
        <v>113</v>
      </c>
      <c r="C251" s="2113" t="s">
        <v>1818</v>
      </c>
      <c r="D251" s="66" t="s">
        <v>264</v>
      </c>
      <c r="E251" s="974" t="s">
        <v>333</v>
      </c>
      <c r="F251" s="66">
        <v>1</v>
      </c>
      <c r="G251" s="66">
        <f>IF(B251=LOOKUP($A251,Исх!B$29:B$41,Исх!C$29:C$41),LOOKUP($A251,Исх!B$29:B$41,Исх!AD$29:AD$41),0)</f>
        <v>0</v>
      </c>
      <c r="H251" s="26">
        <f t="shared" si="126"/>
        <v>0</v>
      </c>
      <c r="I251" s="1000">
        <f t="shared" si="127"/>
        <v>0.25263360000000001</v>
      </c>
      <c r="J251" s="1009">
        <f>H251*I251*Исх!$C$3</f>
        <v>0</v>
      </c>
      <c r="K251" s="1352">
        <f t="shared" si="60"/>
        <v>0</v>
      </c>
      <c r="L251" s="994">
        <v>1720</v>
      </c>
      <c r="M251" s="723">
        <f t="shared" si="128"/>
        <v>0.14688000000000001</v>
      </c>
      <c r="O251" s="28">
        <v>72</v>
      </c>
      <c r="P251" s="28">
        <v>102</v>
      </c>
      <c r="Q251" s="219">
        <v>200</v>
      </c>
      <c r="R251" s="32" t="str">
        <f t="shared" si="62"/>
        <v>заказчика</v>
      </c>
      <c r="S251" s="28" t="s">
        <v>686</v>
      </c>
      <c r="T251" s="1298"/>
    </row>
    <row r="252" spans="1:39" hidden="1" x14ac:dyDescent="0.2">
      <c r="A252" s="1833">
        <f t="shared" si="58"/>
        <v>62</v>
      </c>
      <c r="B252" s="431" t="s">
        <v>114</v>
      </c>
      <c r="C252" s="2113" t="s">
        <v>1818</v>
      </c>
      <c r="D252" s="66" t="s">
        <v>264</v>
      </c>
      <c r="E252" s="974" t="s">
        <v>333</v>
      </c>
      <c r="F252" s="66">
        <v>1</v>
      </c>
      <c r="G252" s="66">
        <f>IF(B252=LOOKUP($A252,Исх!B$29:B$41,Исх!C$29:C$41),LOOKUP($A252,Исх!B$29:B$41,Исх!AD$29:AD$41),0)</f>
        <v>0</v>
      </c>
      <c r="H252" s="26">
        <f t="shared" si="126"/>
        <v>0</v>
      </c>
      <c r="I252" s="1000">
        <f t="shared" si="127"/>
        <v>0.27789695999999997</v>
      </c>
      <c r="J252" s="1009">
        <f>H252*I252*Исх!$C$3</f>
        <v>0</v>
      </c>
      <c r="K252" s="1352">
        <f t="shared" si="60"/>
        <v>0</v>
      </c>
      <c r="L252" s="994">
        <v>1720</v>
      </c>
      <c r="M252" s="723">
        <f t="shared" si="128"/>
        <v>0.16156799999999999</v>
      </c>
      <c r="O252" s="28">
        <v>72</v>
      </c>
      <c r="P252" s="28">
        <v>102</v>
      </c>
      <c r="Q252" s="219">
        <v>220</v>
      </c>
      <c r="R252" s="32" t="str">
        <f t="shared" si="62"/>
        <v>заказчика</v>
      </c>
      <c r="S252" s="28" t="s">
        <v>686</v>
      </c>
      <c r="T252" s="1298"/>
    </row>
    <row r="253" spans="1:39" hidden="1" x14ac:dyDescent="0.2">
      <c r="A253" s="1833">
        <f t="shared" si="58"/>
        <v>63</v>
      </c>
      <c r="B253" s="431" t="s">
        <v>115</v>
      </c>
      <c r="C253" s="2113" t="s">
        <v>1818</v>
      </c>
      <c r="D253" s="66" t="s">
        <v>264</v>
      </c>
      <c r="E253" s="974" t="s">
        <v>333</v>
      </c>
      <c r="F253" s="66">
        <v>1</v>
      </c>
      <c r="G253" s="66">
        <f>IF(B253=LOOKUP($A253,Исх!B$29:B$41,Исх!C$29:C$41),LOOKUP($A253,Исх!B$29:B$41,Исх!AD$29:AD$41),0)</f>
        <v>0</v>
      </c>
      <c r="H253" s="26">
        <f t="shared" si="126"/>
        <v>0</v>
      </c>
      <c r="I253" s="1000">
        <f t="shared" si="127"/>
        <v>0.29684447999999997</v>
      </c>
      <c r="J253" s="1009">
        <f>H253*I253*Исх!$C$3</f>
        <v>0</v>
      </c>
      <c r="K253" s="1352">
        <f t="shared" si="60"/>
        <v>0</v>
      </c>
      <c r="L253" s="994">
        <v>1720</v>
      </c>
      <c r="M253" s="723">
        <f t="shared" si="128"/>
        <v>0.17258399999999999</v>
      </c>
      <c r="O253" s="28">
        <v>72</v>
      </c>
      <c r="P253" s="28">
        <v>102</v>
      </c>
      <c r="Q253" s="219">
        <v>235</v>
      </c>
      <c r="R253" s="32" t="str">
        <f t="shared" si="62"/>
        <v>заказчика</v>
      </c>
      <c r="S253" s="28" t="s">
        <v>686</v>
      </c>
      <c r="T253" s="1298"/>
    </row>
    <row r="254" spans="1:39" hidden="1" x14ac:dyDescent="0.2">
      <c r="A254" s="1833">
        <f t="shared" si="58"/>
        <v>64</v>
      </c>
      <c r="B254" s="431" t="s">
        <v>359</v>
      </c>
      <c r="C254" s="2113" t="s">
        <v>1818</v>
      </c>
      <c r="D254" s="66" t="s">
        <v>264</v>
      </c>
      <c r="E254" s="974" t="s">
        <v>333</v>
      </c>
      <c r="F254" s="66">
        <v>1</v>
      </c>
      <c r="G254" s="66">
        <f>IF(B254=LOOKUP($A254,Исх!B$29:B$41,Исх!C$29:C$41),LOOKUP($A254,Исх!B$29:B$41,Исх!AD$29:AD$41),0)</f>
        <v>0</v>
      </c>
      <c r="H254" s="26">
        <f t="shared" si="126"/>
        <v>0</v>
      </c>
      <c r="I254" s="1000">
        <f t="shared" si="127"/>
        <v>0.31579200000000002</v>
      </c>
      <c r="J254" s="1009">
        <f>H254*I254*Исх!$C$3</f>
        <v>0</v>
      </c>
      <c r="K254" s="1352">
        <f t="shared" si="60"/>
        <v>0</v>
      </c>
      <c r="L254" s="994">
        <v>1720</v>
      </c>
      <c r="M254" s="723">
        <f t="shared" si="128"/>
        <v>0.18360000000000001</v>
      </c>
      <c r="O254" s="28">
        <v>72</v>
      </c>
      <c r="P254" s="28">
        <v>102</v>
      </c>
      <c r="Q254" s="219">
        <v>250</v>
      </c>
      <c r="R254" s="32" t="str">
        <f t="shared" si="62"/>
        <v>заказчика</v>
      </c>
      <c r="S254" s="28" t="s">
        <v>686</v>
      </c>
      <c r="T254" s="1298"/>
    </row>
    <row r="255" spans="1:39" hidden="1" x14ac:dyDescent="0.2">
      <c r="A255" s="1833">
        <f t="shared" si="58"/>
        <v>65</v>
      </c>
      <c r="B255" s="431" t="s">
        <v>116</v>
      </c>
      <c r="C255" s="2113" t="s">
        <v>1818</v>
      </c>
      <c r="D255" s="66" t="s">
        <v>264</v>
      </c>
      <c r="E255" s="974" t="s">
        <v>333</v>
      </c>
      <c r="F255" s="66">
        <v>1</v>
      </c>
      <c r="G255" s="66">
        <f>IF(B255=LOOKUP($A255,Исх!B$29:B$41,Исх!C$29:C$41),LOOKUP($A255,Исх!B$29:B$41,Исх!AD$29:AD$41),0)</f>
        <v>0</v>
      </c>
      <c r="H255" s="26">
        <f t="shared" si="126"/>
        <v>0</v>
      </c>
      <c r="I255" s="1000">
        <f t="shared" si="127"/>
        <v>0.32210784000000003</v>
      </c>
      <c r="J255" s="1009">
        <f>H255*I255*Исх!$C$3</f>
        <v>0</v>
      </c>
      <c r="K255" s="1352">
        <f t="shared" si="60"/>
        <v>0</v>
      </c>
      <c r="L255" s="994">
        <v>1720</v>
      </c>
      <c r="M255" s="723">
        <f t="shared" si="128"/>
        <v>0.18727199999999999</v>
      </c>
      <c r="O255" s="28">
        <v>72</v>
      </c>
      <c r="P255" s="28">
        <v>102</v>
      </c>
      <c r="Q255" s="219">
        <v>255</v>
      </c>
      <c r="R255" s="32" t="str">
        <f t="shared" si="62"/>
        <v>заказчика</v>
      </c>
      <c r="S255" s="28" t="s">
        <v>686</v>
      </c>
      <c r="T255" s="1298"/>
    </row>
    <row r="256" spans="1:39" hidden="1" x14ac:dyDescent="0.2">
      <c r="A256" s="1833">
        <f t="shared" si="58"/>
        <v>66</v>
      </c>
      <c r="B256" s="431" t="s">
        <v>109</v>
      </c>
      <c r="C256" s="2113" t="s">
        <v>1818</v>
      </c>
      <c r="D256" s="66" t="s">
        <v>264</v>
      </c>
      <c r="E256" s="974" t="s">
        <v>333</v>
      </c>
      <c r="F256" s="66">
        <v>1</v>
      </c>
      <c r="G256" s="66">
        <f>IF(B256=LOOKUP($A256,Исх!B$29:B$41,Исх!C$29:C$41),LOOKUP($A256,Исх!B$29:B$41,Исх!AD$29:AD$41),0)</f>
        <v>0</v>
      </c>
      <c r="H256" s="26">
        <f t="shared" si="126"/>
        <v>0</v>
      </c>
      <c r="I256" s="1000">
        <f t="shared" si="127"/>
        <v>0.34737119999999999</v>
      </c>
      <c r="J256" s="1009">
        <f>H256*I256*Исх!$C$3</f>
        <v>0</v>
      </c>
      <c r="K256" s="1352">
        <f t="shared" si="60"/>
        <v>0</v>
      </c>
      <c r="L256" s="994">
        <v>1720</v>
      </c>
      <c r="M256" s="723">
        <f t="shared" si="128"/>
        <v>0.20196</v>
      </c>
      <c r="O256" s="28">
        <v>72</v>
      </c>
      <c r="P256" s="28">
        <v>102</v>
      </c>
      <c r="Q256" s="219">
        <v>275</v>
      </c>
      <c r="R256" s="32" t="str">
        <f t="shared" si="62"/>
        <v>заказчика</v>
      </c>
      <c r="S256" s="28" t="s">
        <v>686</v>
      </c>
      <c r="T256" s="1298"/>
    </row>
    <row r="257" spans="1:20" hidden="1" x14ac:dyDescent="0.2">
      <c r="A257" s="1833">
        <f t="shared" si="58"/>
        <v>67</v>
      </c>
      <c r="B257" s="431" t="s">
        <v>1373</v>
      </c>
      <c r="C257" s="2113" t="s">
        <v>1818</v>
      </c>
      <c r="D257" s="66" t="s">
        <v>264</v>
      </c>
      <c r="E257" s="974" t="s">
        <v>333</v>
      </c>
      <c r="F257" s="66">
        <v>1</v>
      </c>
      <c r="G257" s="66">
        <f>IF(B257=LOOKUP($A257,Исх!B$29:B$41,Исх!C$29:C$41),LOOKUP($A257,Исх!B$29:B$41,Исх!AD$29:AD$41),0)</f>
        <v>0</v>
      </c>
      <c r="H257" s="26">
        <f t="shared" si="126"/>
        <v>0</v>
      </c>
      <c r="I257" s="1000">
        <v>0.21</v>
      </c>
      <c r="J257" s="1009">
        <f>H257*I257*Исх!$C$3</f>
        <v>0</v>
      </c>
      <c r="K257" s="1352">
        <f t="shared" si="60"/>
        <v>0</v>
      </c>
      <c r="L257" s="1990">
        <v>1680</v>
      </c>
      <c r="M257" s="723">
        <f t="shared" si="128"/>
        <v>0.122388</v>
      </c>
      <c r="O257" s="28">
        <v>62</v>
      </c>
      <c r="P257" s="28">
        <v>94</v>
      </c>
      <c r="Q257" s="219">
        <v>210</v>
      </c>
      <c r="R257" s="32" t="str">
        <f t="shared" si="62"/>
        <v>заказчика</v>
      </c>
      <c r="S257" s="28" t="s">
        <v>686</v>
      </c>
      <c r="T257" s="1298"/>
    </row>
    <row r="258" spans="1:20" hidden="1" x14ac:dyDescent="0.2">
      <c r="A258" s="1833">
        <f t="shared" si="58"/>
        <v>68</v>
      </c>
      <c r="B258" s="431" t="s">
        <v>1374</v>
      </c>
      <c r="C258" s="2113" t="s">
        <v>1818</v>
      </c>
      <c r="D258" s="66" t="s">
        <v>264</v>
      </c>
      <c r="E258" s="974" t="s">
        <v>333</v>
      </c>
      <c r="F258" s="66">
        <v>1</v>
      </c>
      <c r="G258" s="66">
        <f>IF(B258=LOOKUP($A258,Исх!B$29:B$41,Исх!C$29:C$41),LOOKUP($A258,Исх!B$29:B$41,Исх!AD$29:AD$41),0)</f>
        <v>0</v>
      </c>
      <c r="H258" s="26">
        <f t="shared" si="126"/>
        <v>0</v>
      </c>
      <c r="I258" s="1000">
        <v>0.23</v>
      </c>
      <c r="J258" s="1009">
        <f>H258*I258*Исх!$C$3</f>
        <v>0</v>
      </c>
      <c r="K258" s="1352">
        <f t="shared" si="60"/>
        <v>0</v>
      </c>
      <c r="L258" s="1990">
        <v>1680</v>
      </c>
      <c r="M258" s="723">
        <f t="shared" si="128"/>
        <v>0.134044</v>
      </c>
      <c r="O258" s="28">
        <v>62</v>
      </c>
      <c r="P258" s="28">
        <v>94</v>
      </c>
      <c r="Q258" s="219">
        <v>230</v>
      </c>
      <c r="R258" s="32" t="str">
        <f t="shared" si="62"/>
        <v>заказчика</v>
      </c>
      <c r="S258" s="28" t="s">
        <v>686</v>
      </c>
      <c r="T258" s="1298"/>
    </row>
    <row r="259" spans="1:20" hidden="1" x14ac:dyDescent="0.2">
      <c r="A259" s="1833">
        <f t="shared" si="58"/>
        <v>69</v>
      </c>
      <c r="B259" s="431" t="s">
        <v>91</v>
      </c>
      <c r="C259" s="2113" t="s">
        <v>1818</v>
      </c>
      <c r="D259" s="66" t="s">
        <v>264</v>
      </c>
      <c r="E259" s="974" t="s">
        <v>333</v>
      </c>
      <c r="F259" s="66">
        <v>1</v>
      </c>
      <c r="G259" s="66">
        <f>IF(B259=LOOKUP($A259,Исх!B$29:B$41,Исх!C$29:C$41),LOOKUP($A259,Исх!B$29:B$41,Исх!AD$29:AD$41),0)</f>
        <v>0</v>
      </c>
      <c r="H259" s="26">
        <f t="shared" si="126"/>
        <v>0</v>
      </c>
      <c r="I259" s="1000">
        <v>0.26</v>
      </c>
      <c r="J259" s="1009">
        <f>H259*I259*Исх!$C$3</f>
        <v>0</v>
      </c>
      <c r="K259" s="1352">
        <f t="shared" si="60"/>
        <v>0</v>
      </c>
      <c r="L259" s="1990">
        <v>1760</v>
      </c>
      <c r="M259" s="723">
        <f t="shared" si="128"/>
        <v>0.1457</v>
      </c>
      <c r="O259" s="28">
        <v>62</v>
      </c>
      <c r="P259" s="28">
        <v>94</v>
      </c>
      <c r="Q259" s="219">
        <v>250</v>
      </c>
      <c r="R259" s="32" t="str">
        <f t="shared" si="62"/>
        <v>заказчика</v>
      </c>
      <c r="S259" s="28" t="s">
        <v>686</v>
      </c>
      <c r="T259" s="1298"/>
    </row>
    <row r="260" spans="1:20" hidden="1" x14ac:dyDescent="0.2">
      <c r="A260" s="1833">
        <f t="shared" si="58"/>
        <v>70</v>
      </c>
      <c r="B260" s="431" t="s">
        <v>611</v>
      </c>
      <c r="C260" s="2113" t="s">
        <v>1818</v>
      </c>
      <c r="D260" s="66" t="s">
        <v>264</v>
      </c>
      <c r="E260" s="974" t="s">
        <v>333</v>
      </c>
      <c r="F260" s="66">
        <v>1</v>
      </c>
      <c r="G260" s="66">
        <f>IF(B260=LOOKUP($A260,Исх!B$29:B$41,Исх!C$29:C$41),LOOKUP($A260,Исх!B$29:B$41,Исх!AD$29:AD$41),0)</f>
        <v>0</v>
      </c>
      <c r="H260" s="26">
        <f t="shared" si="126"/>
        <v>0</v>
      </c>
      <c r="I260" s="1000">
        <v>0.28999999999999998</v>
      </c>
      <c r="J260" s="1009">
        <f>H260*I260*Исх!$C$3</f>
        <v>0</v>
      </c>
      <c r="K260" s="1352">
        <f t="shared" si="60"/>
        <v>0</v>
      </c>
      <c r="L260" s="994">
        <v>1680</v>
      </c>
      <c r="M260" s="723">
        <f t="shared" si="128"/>
        <v>0.17484</v>
      </c>
      <c r="O260" s="28">
        <v>62</v>
      </c>
      <c r="P260" s="28">
        <v>94</v>
      </c>
      <c r="Q260" s="219">
        <v>300</v>
      </c>
      <c r="R260" s="32" t="str">
        <f t="shared" si="62"/>
        <v>заказчика</v>
      </c>
      <c r="S260" s="28" t="s">
        <v>686</v>
      </c>
      <c r="T260" s="1298"/>
    </row>
    <row r="261" spans="1:20" hidden="1" x14ac:dyDescent="0.2">
      <c r="A261" s="1833">
        <f t="shared" si="58"/>
        <v>71</v>
      </c>
      <c r="B261" s="431" t="s">
        <v>117</v>
      </c>
      <c r="C261" s="2113" t="s">
        <v>1818</v>
      </c>
      <c r="D261" s="66"/>
      <c r="E261" s="974" t="s">
        <v>333</v>
      </c>
      <c r="F261" s="66">
        <v>1</v>
      </c>
      <c r="G261" s="66">
        <f>IF(B261=LOOKUP($A261,Исх!B$29:B$41,Исх!C$29:C$41),LOOKUP($A261,Исх!B$29:B$41,Исх!AD$29:AD$41),0)</f>
        <v>0</v>
      </c>
      <c r="H261" s="26">
        <f t="shared" si="126"/>
        <v>0</v>
      </c>
      <c r="I261" s="1000">
        <v>0.25</v>
      </c>
      <c r="J261" s="1009">
        <f>H261*I261*Исх!$C$3</f>
        <v>0</v>
      </c>
      <c r="K261" s="1352">
        <f t="shared" si="60"/>
        <v>0</v>
      </c>
      <c r="L261" s="994">
        <v>1680</v>
      </c>
      <c r="M261" s="723">
        <f t="shared" si="128"/>
        <v>0.14688000000000001</v>
      </c>
      <c r="O261" s="28">
        <v>72</v>
      </c>
      <c r="P261" s="28">
        <v>102</v>
      </c>
      <c r="Q261" s="219">
        <v>200</v>
      </c>
      <c r="R261" s="32" t="str">
        <f t="shared" si="62"/>
        <v>заказчика</v>
      </c>
      <c r="S261" s="28" t="s">
        <v>686</v>
      </c>
      <c r="T261" s="1298"/>
    </row>
    <row r="262" spans="1:20" hidden="1" x14ac:dyDescent="0.2">
      <c r="A262" s="50">
        <f t="shared" si="58"/>
        <v>72</v>
      </c>
      <c r="B262" s="431" t="s">
        <v>118</v>
      </c>
      <c r="C262" s="2113" t="s">
        <v>1818</v>
      </c>
      <c r="D262" s="66" t="s">
        <v>264</v>
      </c>
      <c r="E262" s="974" t="s">
        <v>333</v>
      </c>
      <c r="F262" s="66">
        <v>1</v>
      </c>
      <c r="G262" s="66">
        <f>IF(B262=LOOKUP($A262,Исх!B$29:B$41,Исх!C$29:C$41),LOOKUP($A262,Исх!B$29:B$41,Исх!AD$29:AD$41),0)</f>
        <v>0</v>
      </c>
      <c r="H262" s="26">
        <f t="shared" si="126"/>
        <v>0</v>
      </c>
      <c r="I262" s="1000">
        <v>0.27</v>
      </c>
      <c r="J262" s="1009">
        <f>H262*I262*Исх!$C$3</f>
        <v>0</v>
      </c>
      <c r="K262" s="1352">
        <f t="shared" si="60"/>
        <v>0</v>
      </c>
      <c r="L262" s="994">
        <v>1680</v>
      </c>
      <c r="M262" s="723">
        <f t="shared" si="128"/>
        <v>0.16156799999999999</v>
      </c>
      <c r="O262" s="28">
        <v>72</v>
      </c>
      <c r="P262" s="28">
        <v>102</v>
      </c>
      <c r="Q262" s="219">
        <v>220</v>
      </c>
      <c r="R262" s="32" t="str">
        <f t="shared" si="62"/>
        <v>заказчика</v>
      </c>
      <c r="S262" s="28" t="s">
        <v>686</v>
      </c>
      <c r="T262" s="1298"/>
    </row>
    <row r="263" spans="1:20" hidden="1" x14ac:dyDescent="0.2">
      <c r="A263" s="50">
        <f t="shared" si="58"/>
        <v>73</v>
      </c>
      <c r="B263" s="431" t="s">
        <v>92</v>
      </c>
      <c r="C263" s="2113" t="s">
        <v>1818</v>
      </c>
      <c r="D263" s="66" t="s">
        <v>264</v>
      </c>
      <c r="E263" s="974" t="s">
        <v>333</v>
      </c>
      <c r="F263" s="66">
        <v>1</v>
      </c>
      <c r="G263" s="66">
        <f>IF(B263=LOOKUP($A263,Исх!B$29:B$41,Исх!C$29:C$41),LOOKUP($A263,Исх!B$29:B$41,Исх!AD$29:AD$41),0)</f>
        <v>0</v>
      </c>
      <c r="H263" s="26">
        <f t="shared" si="126"/>
        <v>0</v>
      </c>
      <c r="I263" s="1000">
        <v>0.28000000000000003</v>
      </c>
      <c r="J263" s="1009">
        <f>H263*I263*Исх!$C$3</f>
        <v>0</v>
      </c>
      <c r="K263" s="1352">
        <f t="shared" si="60"/>
        <v>0</v>
      </c>
      <c r="L263" s="994">
        <v>1680</v>
      </c>
      <c r="M263" s="723">
        <f t="shared" si="128"/>
        <v>0.16891200000000001</v>
      </c>
      <c r="O263" s="28">
        <v>72</v>
      </c>
      <c r="P263" s="28">
        <v>102</v>
      </c>
      <c r="Q263" s="219">
        <v>230</v>
      </c>
      <c r="R263" s="32" t="str">
        <f t="shared" si="62"/>
        <v>заказчика</v>
      </c>
      <c r="S263" s="28" t="s">
        <v>686</v>
      </c>
      <c r="T263" s="1298"/>
    </row>
    <row r="264" spans="1:20" hidden="1" x14ac:dyDescent="0.2">
      <c r="A264" s="50">
        <f t="shared" si="58"/>
        <v>74</v>
      </c>
      <c r="B264" s="431" t="s">
        <v>93</v>
      </c>
      <c r="C264" s="2113" t="s">
        <v>1818</v>
      </c>
      <c r="D264" s="66" t="s">
        <v>264</v>
      </c>
      <c r="E264" s="974" t="s">
        <v>333</v>
      </c>
      <c r="F264" s="66">
        <v>1</v>
      </c>
      <c r="G264" s="66">
        <f>IF(B264=LOOKUP($A264,Исх!B$29:B$41,Исх!C$29:C$41),LOOKUP($A264,Исх!B$29:B$41,Исх!AD$29:AD$41),0)</f>
        <v>0</v>
      </c>
      <c r="H264" s="26">
        <f t="shared" ref="H264:H296" si="129">F264*G264</f>
        <v>0</v>
      </c>
      <c r="I264" s="1000">
        <v>0.31</v>
      </c>
      <c r="J264" s="1009">
        <f>H264*I264*Исх!$C$3</f>
        <v>0</v>
      </c>
      <c r="K264" s="1352">
        <f t="shared" si="60"/>
        <v>0</v>
      </c>
      <c r="L264" s="994">
        <v>1680</v>
      </c>
      <c r="M264" s="723">
        <f t="shared" si="128"/>
        <v>0.18360000000000001</v>
      </c>
      <c r="O264" s="28">
        <v>72</v>
      </c>
      <c r="P264" s="28">
        <v>102</v>
      </c>
      <c r="Q264" s="219">
        <v>250</v>
      </c>
      <c r="R264" s="32" t="str">
        <f t="shared" si="62"/>
        <v>заказчика</v>
      </c>
      <c r="S264" s="28" t="s">
        <v>686</v>
      </c>
      <c r="T264" s="1298"/>
    </row>
    <row r="265" spans="1:20" hidden="1" x14ac:dyDescent="0.2">
      <c r="A265" s="50">
        <f t="shared" si="58"/>
        <v>75</v>
      </c>
      <c r="B265" s="431" t="s">
        <v>609</v>
      </c>
      <c r="C265" s="2113" t="s">
        <v>1818</v>
      </c>
      <c r="D265" s="66" t="s">
        <v>264</v>
      </c>
      <c r="E265" s="974" t="s">
        <v>333</v>
      </c>
      <c r="F265" s="66">
        <v>1</v>
      </c>
      <c r="G265" s="66">
        <f>IF(B265=LOOKUP($A265,Исх!B$29:B$41,Исх!C$29:C$41),LOOKUP($A265,Исх!B$29:B$41,Исх!AD$29:AD$41),0)</f>
        <v>0</v>
      </c>
      <c r="H265" s="26">
        <f t="shared" si="129"/>
        <v>0</v>
      </c>
      <c r="I265" s="1000">
        <v>0.34</v>
      </c>
      <c r="J265" s="1009">
        <f>H265*I265*Исх!$C$3</f>
        <v>0</v>
      </c>
      <c r="K265" s="1352">
        <f t="shared" si="60"/>
        <v>0</v>
      </c>
      <c r="L265" s="994">
        <v>1680</v>
      </c>
      <c r="M265" s="723">
        <f t="shared" si="128"/>
        <v>0.20196</v>
      </c>
      <c r="O265" s="28">
        <v>72</v>
      </c>
      <c r="P265" s="28">
        <v>102</v>
      </c>
      <c r="Q265" s="219">
        <v>275</v>
      </c>
      <c r="R265" s="32" t="str">
        <f t="shared" si="62"/>
        <v>заказчика</v>
      </c>
      <c r="S265" s="28" t="s">
        <v>686</v>
      </c>
      <c r="T265" s="1298"/>
    </row>
    <row r="266" spans="1:20" hidden="1" x14ac:dyDescent="0.2">
      <c r="A266" s="50">
        <f t="shared" si="58"/>
        <v>76</v>
      </c>
      <c r="B266" s="431" t="s">
        <v>610</v>
      </c>
      <c r="C266" s="2113" t="s">
        <v>1818</v>
      </c>
      <c r="D266" s="66" t="s">
        <v>264</v>
      </c>
      <c r="E266" s="974" t="s">
        <v>333</v>
      </c>
      <c r="F266" s="66">
        <v>1</v>
      </c>
      <c r="G266" s="66">
        <f>IF(B266=LOOKUP($A266,Исх!B$29:B$41,Исх!C$29:C$41),LOOKUP($A266,Исх!B$29:B$41,Исх!AD$29:AD$41),0)</f>
        <v>0</v>
      </c>
      <c r="H266" s="26">
        <f t="shared" si="129"/>
        <v>0</v>
      </c>
      <c r="I266" s="1000">
        <v>0.37</v>
      </c>
      <c r="J266" s="1009">
        <f>H266*I266*Исх!$C$3</f>
        <v>0</v>
      </c>
      <c r="K266" s="1352">
        <f t="shared" si="60"/>
        <v>0</v>
      </c>
      <c r="L266" s="994">
        <v>1680</v>
      </c>
      <c r="M266" s="723">
        <f t="shared" si="128"/>
        <v>0.22031999999999999</v>
      </c>
      <c r="O266" s="28">
        <v>72</v>
      </c>
      <c r="P266" s="28">
        <v>102</v>
      </c>
      <c r="Q266" s="219">
        <v>300</v>
      </c>
      <c r="R266" s="32" t="str">
        <f t="shared" si="62"/>
        <v>заказчика</v>
      </c>
      <c r="S266" s="28" t="s">
        <v>686</v>
      </c>
      <c r="T266" s="1298"/>
    </row>
    <row r="267" spans="1:20" hidden="1" x14ac:dyDescent="0.2">
      <c r="A267" s="50">
        <f t="shared" si="58"/>
        <v>77</v>
      </c>
      <c r="B267" s="431" t="s">
        <v>671</v>
      </c>
      <c r="C267" s="2113" t="s">
        <v>1818</v>
      </c>
      <c r="D267" s="66" t="s">
        <v>264</v>
      </c>
      <c r="E267" s="974" t="s">
        <v>333</v>
      </c>
      <c r="F267" s="66">
        <v>1</v>
      </c>
      <c r="G267" s="66">
        <f>IF(B267=LOOKUP($A267,Исх!B$29:B$41,Исх!C$29:C$41),LOOKUP($A267,Исх!B$29:B$41,Исх!AD$29:AD$41),0)</f>
        <v>0</v>
      </c>
      <c r="H267" s="26">
        <f t="shared" si="129"/>
        <v>0</v>
      </c>
      <c r="I267" s="1000">
        <v>0.27</v>
      </c>
      <c r="J267" s="1009">
        <f>H267*I267*Исх!$C$3</f>
        <v>0</v>
      </c>
      <c r="K267" s="1352">
        <f t="shared" si="60"/>
        <v>0</v>
      </c>
      <c r="L267" s="994">
        <v>2345</v>
      </c>
      <c r="M267" s="723">
        <f t="shared" si="128"/>
        <v>0.11656</v>
      </c>
      <c r="O267" s="28">
        <v>62</v>
      </c>
      <c r="P267" s="28">
        <v>94</v>
      </c>
      <c r="Q267" s="219">
        <v>200</v>
      </c>
      <c r="R267" s="32" t="str">
        <f t="shared" si="62"/>
        <v>заказчика</v>
      </c>
      <c r="S267" s="28" t="s">
        <v>686</v>
      </c>
      <c r="T267" s="1298"/>
    </row>
    <row r="268" spans="1:20" hidden="1" x14ac:dyDescent="0.2">
      <c r="A268" s="50">
        <f t="shared" si="58"/>
        <v>78</v>
      </c>
      <c r="B268" s="431" t="s">
        <v>672</v>
      </c>
      <c r="C268" s="2113" t="s">
        <v>1818</v>
      </c>
      <c r="D268" s="66" t="s">
        <v>264</v>
      </c>
      <c r="E268" s="974" t="s">
        <v>333</v>
      </c>
      <c r="F268" s="66">
        <v>1</v>
      </c>
      <c r="G268" s="66">
        <f>IF(B268=LOOKUP($A268,Исх!B$29:B$41,Исх!C$29:C$41),LOOKUP($A268,Исх!B$29:B$41,Исх!AD$29:AD$41),0)</f>
        <v>0</v>
      </c>
      <c r="H268" s="26">
        <f t="shared" si="129"/>
        <v>0</v>
      </c>
      <c r="I268" s="1000">
        <v>0.3</v>
      </c>
      <c r="J268" s="1009">
        <f>H268*I268*Исх!$C$3</f>
        <v>0</v>
      </c>
      <c r="K268" s="1352">
        <f t="shared" si="60"/>
        <v>0</v>
      </c>
      <c r="L268" s="994">
        <v>2345</v>
      </c>
      <c r="M268" s="723">
        <f t="shared" si="128"/>
        <v>0.128216</v>
      </c>
      <c r="O268" s="28">
        <v>62</v>
      </c>
      <c r="P268" s="28">
        <v>94</v>
      </c>
      <c r="Q268" s="219">
        <v>220</v>
      </c>
      <c r="R268" s="32" t="str">
        <f t="shared" ref="R268:R312" si="130">IF(G268&lt;1,"заказчика","типографии")</f>
        <v>заказчика</v>
      </c>
      <c r="S268" s="28" t="s">
        <v>686</v>
      </c>
      <c r="T268" s="1298"/>
    </row>
    <row r="269" spans="1:20" hidden="1" x14ac:dyDescent="0.2">
      <c r="A269" s="50">
        <f t="shared" ref="A269:A311" si="131">A268+1</f>
        <v>79</v>
      </c>
      <c r="B269" s="432" t="s">
        <v>673</v>
      </c>
      <c r="C269" s="2113" t="s">
        <v>1818</v>
      </c>
      <c r="D269" s="66" t="s">
        <v>264</v>
      </c>
      <c r="E269" s="433" t="s">
        <v>333</v>
      </c>
      <c r="F269" s="66">
        <v>1</v>
      </c>
      <c r="G269" s="66">
        <f>IF(B269=LOOKUP($A269,Исх!B$29:B$41,Исх!C$29:C$41),LOOKUP($A269,Исх!B$29:B$41,Исх!AD$29:AD$41),0)</f>
        <v>0</v>
      </c>
      <c r="H269" s="26">
        <f t="shared" si="129"/>
        <v>0</v>
      </c>
      <c r="I269" s="1000">
        <v>0.33</v>
      </c>
      <c r="J269" s="1009">
        <f>H269*I269*Исх!$C$3</f>
        <v>0</v>
      </c>
      <c r="K269" s="1352">
        <f t="shared" si="60"/>
        <v>0</v>
      </c>
      <c r="L269" s="994">
        <v>2345</v>
      </c>
      <c r="M269" s="723">
        <f t="shared" si="128"/>
        <v>0.139872</v>
      </c>
      <c r="O269" s="28">
        <v>62</v>
      </c>
      <c r="P269" s="28">
        <v>94</v>
      </c>
      <c r="Q269" s="219">
        <v>240</v>
      </c>
      <c r="R269" s="32" t="str">
        <f t="shared" si="130"/>
        <v>заказчика</v>
      </c>
      <c r="S269" s="28" t="s">
        <v>686</v>
      </c>
      <c r="T269" s="1298"/>
    </row>
    <row r="270" spans="1:20" hidden="1" x14ac:dyDescent="0.2">
      <c r="A270" s="50">
        <f t="shared" si="131"/>
        <v>80</v>
      </c>
      <c r="B270" s="431" t="s">
        <v>674</v>
      </c>
      <c r="C270" s="2113" t="s">
        <v>1818</v>
      </c>
      <c r="D270" s="66" t="s">
        <v>264</v>
      </c>
      <c r="E270" s="974" t="s">
        <v>333</v>
      </c>
      <c r="F270" s="66">
        <v>1</v>
      </c>
      <c r="G270" s="66">
        <f>IF(B270=LOOKUP($A270,Исх!B$29:B$41,Исх!C$29:C$41),LOOKUP($A270,Исх!B$29:B$41,Исх!AD$29:AD$41),0)</f>
        <v>0</v>
      </c>
      <c r="H270" s="26">
        <f t="shared" si="129"/>
        <v>0</v>
      </c>
      <c r="I270" s="1000">
        <v>0.34</v>
      </c>
      <c r="J270" s="1009">
        <f>H270*I270*Исх!$C$3</f>
        <v>0</v>
      </c>
      <c r="K270" s="1352">
        <f t="shared" si="60"/>
        <v>0</v>
      </c>
      <c r="L270" s="994">
        <v>2345</v>
      </c>
      <c r="M270" s="723">
        <f t="shared" si="128"/>
        <v>0.14688000000000001</v>
      </c>
      <c r="O270" s="28">
        <v>72</v>
      </c>
      <c r="P270" s="28">
        <v>102</v>
      </c>
      <c r="Q270" s="219">
        <v>200</v>
      </c>
      <c r="R270" s="32" t="str">
        <f t="shared" si="130"/>
        <v>заказчика</v>
      </c>
      <c r="S270" s="28" t="s">
        <v>686</v>
      </c>
      <c r="T270" s="1298"/>
    </row>
    <row r="271" spans="1:20" hidden="1" x14ac:dyDescent="0.2">
      <c r="A271" s="50">
        <f t="shared" si="131"/>
        <v>81</v>
      </c>
      <c r="B271" s="431" t="s">
        <v>675</v>
      </c>
      <c r="C271" s="2113" t="s">
        <v>1818</v>
      </c>
      <c r="D271" s="66" t="s">
        <v>264</v>
      </c>
      <c r="E271" s="974" t="s">
        <v>333</v>
      </c>
      <c r="F271" s="66">
        <v>1</v>
      </c>
      <c r="G271" s="66">
        <f>IF(B271=LOOKUP($A271,Исх!B$29:B$41,Исх!C$29:C$41),LOOKUP($A271,Исх!B$29:B$41,Исх!AD$29:AD$41),0)</f>
        <v>0</v>
      </c>
      <c r="H271" s="26">
        <f t="shared" si="129"/>
        <v>0</v>
      </c>
      <c r="I271" s="1000">
        <v>0.37</v>
      </c>
      <c r="J271" s="1009">
        <f>H271*I271*Исх!$C$3</f>
        <v>0</v>
      </c>
      <c r="K271" s="1352">
        <f t="shared" si="60"/>
        <v>0</v>
      </c>
      <c r="L271" s="994">
        <v>2345</v>
      </c>
      <c r="M271" s="723">
        <f t="shared" si="128"/>
        <v>0.15789600000000001</v>
      </c>
      <c r="O271" s="28">
        <v>72</v>
      </c>
      <c r="P271" s="28">
        <v>102</v>
      </c>
      <c r="Q271" s="219">
        <v>215</v>
      </c>
      <c r="R271" s="32" t="str">
        <f t="shared" si="130"/>
        <v>заказчика</v>
      </c>
      <c r="S271" s="28" t="s">
        <v>686</v>
      </c>
      <c r="T271" s="1298"/>
    </row>
    <row r="272" spans="1:20" hidden="1" x14ac:dyDescent="0.2">
      <c r="A272" s="50">
        <f t="shared" si="131"/>
        <v>82</v>
      </c>
      <c r="B272" s="431" t="s">
        <v>676</v>
      </c>
      <c r="C272" s="2113" t="s">
        <v>1818</v>
      </c>
      <c r="D272" s="66" t="s">
        <v>264</v>
      </c>
      <c r="E272" s="974" t="s">
        <v>333</v>
      </c>
      <c r="F272" s="66">
        <v>1</v>
      </c>
      <c r="G272" s="66">
        <f>IF(B272=LOOKUP($A272,Исх!B$29:B$41,Исх!C$29:C$41),LOOKUP($A272,Исх!B$29:B$41,Исх!AD$29:AD$41),0)</f>
        <v>0</v>
      </c>
      <c r="H272" s="26">
        <f t="shared" si="129"/>
        <v>0</v>
      </c>
      <c r="I272" s="1000">
        <v>0.41</v>
      </c>
      <c r="J272" s="1009">
        <f>H272*I272*Исх!$C$3</f>
        <v>0</v>
      </c>
      <c r="K272" s="1352">
        <f t="shared" ref="K272:K314" si="132">IF(J272&gt;0,1,0)</f>
        <v>0</v>
      </c>
      <c r="L272" s="994">
        <v>2345</v>
      </c>
      <c r="M272" s="723">
        <f t="shared" si="128"/>
        <v>0.176256</v>
      </c>
      <c r="O272" s="28">
        <v>72</v>
      </c>
      <c r="P272" s="28">
        <v>102</v>
      </c>
      <c r="Q272" s="219">
        <v>240</v>
      </c>
      <c r="R272" s="32" t="str">
        <f t="shared" si="130"/>
        <v>заказчика</v>
      </c>
      <c r="S272" s="28" t="s">
        <v>686</v>
      </c>
      <c r="T272" s="1298"/>
    </row>
    <row r="273" spans="1:20" hidden="1" x14ac:dyDescent="0.2">
      <c r="A273" s="50">
        <f t="shared" si="131"/>
        <v>83</v>
      </c>
      <c r="B273" s="431" t="s">
        <v>460</v>
      </c>
      <c r="C273" s="2113" t="s">
        <v>1818</v>
      </c>
      <c r="D273" s="66" t="s">
        <v>264</v>
      </c>
      <c r="E273" s="974" t="s">
        <v>333</v>
      </c>
      <c r="F273" s="66">
        <v>1</v>
      </c>
      <c r="G273" s="66">
        <f>IF(B273=LOOKUP($A273,Исх!B$29:B$41,Исх!C$29:C$41),LOOKUP($A273,Исх!B$29:B$41,Исх!AD$29:AD$41),0)</f>
        <v>0</v>
      </c>
      <c r="H273" s="26">
        <f t="shared" si="129"/>
        <v>0</v>
      </c>
      <c r="I273" s="999">
        <v>0.92</v>
      </c>
      <c r="J273" s="1009">
        <f>H273*I273*Исх!$C$2</f>
        <v>0</v>
      </c>
      <c r="K273" s="1352">
        <f t="shared" si="132"/>
        <v>0</v>
      </c>
      <c r="L273" s="993">
        <v>1073</v>
      </c>
      <c r="M273" s="723">
        <f t="shared" si="128"/>
        <v>0.86099999999999999</v>
      </c>
      <c r="O273" s="28">
        <v>70</v>
      </c>
      <c r="P273" s="28">
        <v>100</v>
      </c>
      <c r="Q273" s="219">
        <v>1230</v>
      </c>
      <c r="R273" s="32" t="str">
        <f t="shared" si="130"/>
        <v>заказчика</v>
      </c>
      <c r="S273" s="28" t="s">
        <v>686</v>
      </c>
      <c r="T273" s="1298"/>
    </row>
    <row r="274" spans="1:20" hidden="1" x14ac:dyDescent="0.2">
      <c r="A274" s="50">
        <f t="shared" si="131"/>
        <v>84</v>
      </c>
      <c r="B274" s="431" t="s">
        <v>119</v>
      </c>
      <c r="C274" s="2113" t="s">
        <v>1818</v>
      </c>
      <c r="D274" s="66" t="s">
        <v>264</v>
      </c>
      <c r="E274" s="974" t="s">
        <v>333</v>
      </c>
      <c r="F274" s="66">
        <v>1</v>
      </c>
      <c r="G274" s="66">
        <f>IF(B274=LOOKUP($A274,Исх!B$29:B$41,Исх!C$29:C$41),LOOKUP($A274,Исх!B$29:B$41,Исх!AD$29:AD$41),0)</f>
        <v>0</v>
      </c>
      <c r="H274" s="26">
        <f t="shared" si="129"/>
        <v>0</v>
      </c>
      <c r="I274" s="999">
        <v>0.05</v>
      </c>
      <c r="J274" s="1009">
        <f>H274*I274*Исх!$C$2</f>
        <v>0</v>
      </c>
      <c r="K274" s="1352">
        <f t="shared" si="132"/>
        <v>0</v>
      </c>
      <c r="L274" s="993">
        <v>3289</v>
      </c>
      <c r="M274" s="723">
        <f t="shared" si="128"/>
        <v>1.41642E-2</v>
      </c>
      <c r="O274" s="28">
        <v>43</v>
      </c>
      <c r="P274" s="28">
        <v>61</v>
      </c>
      <c r="Q274" s="219">
        <v>54</v>
      </c>
      <c r="R274" s="32" t="str">
        <f t="shared" si="130"/>
        <v>заказчика</v>
      </c>
      <c r="S274" s="28" t="s">
        <v>685</v>
      </c>
      <c r="T274" s="1298"/>
    </row>
    <row r="275" spans="1:20" hidden="1" x14ac:dyDescent="0.2">
      <c r="A275" s="50">
        <f t="shared" si="131"/>
        <v>85</v>
      </c>
      <c r="B275" s="431" t="s">
        <v>242</v>
      </c>
      <c r="C275" s="2113" t="s">
        <v>1818</v>
      </c>
      <c r="D275" s="296" t="s">
        <v>264</v>
      </c>
      <c r="E275" s="974" t="s">
        <v>333</v>
      </c>
      <c r="F275" s="296">
        <v>1</v>
      </c>
      <c r="G275" s="66">
        <f>IF(B275=LOOKUP($A275,Исх!B$29:B$41,Исх!C$29:C$41),LOOKUP($A275,Исх!B$29:B$41,Исх!AD$29:AD$41),0)</f>
        <v>0</v>
      </c>
      <c r="H275" s="26">
        <f t="shared" si="129"/>
        <v>0</v>
      </c>
      <c r="I275" s="999">
        <v>0.05</v>
      </c>
      <c r="J275" s="1009">
        <f>H275*I275*Исх!$C$2</f>
        <v>0</v>
      </c>
      <c r="K275" s="1352">
        <f t="shared" si="132"/>
        <v>0</v>
      </c>
      <c r="L275" s="993">
        <v>3639</v>
      </c>
      <c r="M275" s="723">
        <f t="shared" si="128"/>
        <v>1.39019E-2</v>
      </c>
      <c r="O275" s="28">
        <v>43</v>
      </c>
      <c r="P275" s="28">
        <v>61</v>
      </c>
      <c r="Q275" s="219">
        <v>53</v>
      </c>
      <c r="R275" s="32" t="str">
        <f t="shared" si="130"/>
        <v>заказчика</v>
      </c>
      <c r="S275" s="28" t="s">
        <v>685</v>
      </c>
      <c r="T275" s="1298"/>
    </row>
    <row r="276" spans="1:20" hidden="1" x14ac:dyDescent="0.2">
      <c r="A276" s="50">
        <f t="shared" si="131"/>
        <v>86</v>
      </c>
      <c r="B276" s="431" t="s">
        <v>243</v>
      </c>
      <c r="C276" s="2113" t="s">
        <v>1818</v>
      </c>
      <c r="D276" s="66" t="s">
        <v>264</v>
      </c>
      <c r="E276" s="974" t="s">
        <v>333</v>
      </c>
      <c r="F276" s="66">
        <v>1</v>
      </c>
      <c r="G276" s="66">
        <f>IF(B276=LOOKUP($A276,Исх!B$29:B$41,Исх!C$29:C$41),LOOKUP($A276,Исх!B$29:B$41,Исх!AD$29:AD$41),0)</f>
        <v>0</v>
      </c>
      <c r="H276" s="26">
        <f t="shared" si="129"/>
        <v>0</v>
      </c>
      <c r="I276" s="999">
        <v>0.04</v>
      </c>
      <c r="J276" s="1009">
        <f>H276*I276*Исх!$C$2</f>
        <v>0</v>
      </c>
      <c r="K276" s="1352">
        <f t="shared" si="132"/>
        <v>0</v>
      </c>
      <c r="L276" s="993">
        <v>2695</v>
      </c>
      <c r="M276" s="723">
        <f t="shared" si="128"/>
        <v>1.44265E-2</v>
      </c>
      <c r="O276" s="28">
        <v>43</v>
      </c>
      <c r="P276" s="28">
        <v>61</v>
      </c>
      <c r="Q276" s="219">
        <v>55</v>
      </c>
      <c r="R276" s="32" t="str">
        <f t="shared" si="130"/>
        <v>заказчика</v>
      </c>
      <c r="S276" s="28" t="s">
        <v>685</v>
      </c>
      <c r="T276" s="1298"/>
    </row>
    <row r="277" spans="1:20" hidden="1" x14ac:dyDescent="0.2">
      <c r="A277" s="50">
        <f t="shared" si="131"/>
        <v>87</v>
      </c>
      <c r="B277" s="431" t="s">
        <v>785</v>
      </c>
      <c r="C277" s="2113" t="s">
        <v>1818</v>
      </c>
      <c r="D277" s="66" t="s">
        <v>264</v>
      </c>
      <c r="E277" s="974" t="s">
        <v>333</v>
      </c>
      <c r="F277" s="66">
        <v>1</v>
      </c>
      <c r="G277" s="66">
        <f>IF(B277=LOOKUP($A277,Исх!B$29:B$41,Исх!C$29:C$41),LOOKUP($A277,Исх!B$29:B$41,Исх!AD$29:AD$41),0)</f>
        <v>0</v>
      </c>
      <c r="H277" s="26">
        <f t="shared" si="129"/>
        <v>0</v>
      </c>
      <c r="I277" s="1000">
        <v>0.73</v>
      </c>
      <c r="J277" s="1009">
        <f>H277*I277*Исх!$C$3</f>
        <v>0</v>
      </c>
      <c r="K277" s="1352">
        <f t="shared" si="132"/>
        <v>0</v>
      </c>
      <c r="L277" s="994">
        <v>7940</v>
      </c>
      <c r="M277" s="723">
        <f t="shared" si="128"/>
        <v>9.1800000000000007E-2</v>
      </c>
      <c r="O277" s="28">
        <v>72</v>
      </c>
      <c r="P277" s="28">
        <v>102</v>
      </c>
      <c r="Q277" s="219">
        <v>125</v>
      </c>
      <c r="R277" s="32" t="str">
        <f t="shared" si="130"/>
        <v>заказчика</v>
      </c>
      <c r="S277" s="28" t="s">
        <v>686</v>
      </c>
      <c r="T277" s="1298"/>
    </row>
    <row r="278" spans="1:20" hidden="1" x14ac:dyDescent="0.2">
      <c r="A278" s="50">
        <f t="shared" si="131"/>
        <v>88</v>
      </c>
      <c r="B278" s="1001" t="s">
        <v>823</v>
      </c>
      <c r="C278" s="2113" t="s">
        <v>1818</v>
      </c>
      <c r="D278" s="66" t="s">
        <v>264</v>
      </c>
      <c r="E278" s="974" t="s">
        <v>333</v>
      </c>
      <c r="F278" s="66">
        <v>1</v>
      </c>
      <c r="G278" s="66">
        <f>IF(B278=LOOKUP($A278,Исх!B$29:B$41,Исх!C$29:C$41),LOOKUP($A278,Исх!B$29:B$41,Исх!AD$29:AD$41),0)</f>
        <v>0</v>
      </c>
      <c r="H278" s="26">
        <f t="shared" si="129"/>
        <v>0</v>
      </c>
      <c r="I278" s="999">
        <v>0.59</v>
      </c>
      <c r="J278" s="1009">
        <f>H278*I278*Исх!$C$2</f>
        <v>0</v>
      </c>
      <c r="K278" s="1352">
        <f t="shared" si="132"/>
        <v>0</v>
      </c>
      <c r="L278" s="993">
        <v>6400</v>
      </c>
      <c r="M278" s="723">
        <f t="shared" si="128"/>
        <v>9.1800000000000007E-2</v>
      </c>
      <c r="O278" s="28">
        <v>72</v>
      </c>
      <c r="P278" s="28">
        <v>102</v>
      </c>
      <c r="Q278" s="219">
        <v>125</v>
      </c>
      <c r="R278" s="32" t="str">
        <f t="shared" si="130"/>
        <v>заказчика</v>
      </c>
      <c r="S278" s="28" t="s">
        <v>686</v>
      </c>
      <c r="T278" s="1298"/>
    </row>
    <row r="279" spans="1:20" hidden="1" x14ac:dyDescent="0.2">
      <c r="A279" s="50">
        <f t="shared" si="131"/>
        <v>89</v>
      </c>
      <c r="B279" s="431" t="s">
        <v>786</v>
      </c>
      <c r="C279" s="2113" t="s">
        <v>1818</v>
      </c>
      <c r="D279" s="66" t="s">
        <v>264</v>
      </c>
      <c r="E279" s="974" t="s">
        <v>333</v>
      </c>
      <c r="F279" s="66">
        <v>1</v>
      </c>
      <c r="G279" s="66">
        <f>IF(B279=LOOKUP($A279,Исх!B$29:B$41,Исх!C$29:C$41),LOOKUP($A279,Исх!B$29:B$41,Исх!AD$29:AD$41),0)</f>
        <v>0</v>
      </c>
      <c r="H279" s="26">
        <f t="shared" si="129"/>
        <v>0</v>
      </c>
      <c r="I279" s="999">
        <v>0.1</v>
      </c>
      <c r="J279" s="1009">
        <f>H279*I279*Исх!$C$2</f>
        <v>0</v>
      </c>
      <c r="K279" s="1352">
        <f t="shared" si="132"/>
        <v>0</v>
      </c>
      <c r="L279" s="1989">
        <v>2040</v>
      </c>
      <c r="M279" s="723">
        <f t="shared" si="128"/>
        <v>4.6623999999999999E-2</v>
      </c>
      <c r="O279" s="28">
        <v>62</v>
      </c>
      <c r="P279" s="28">
        <v>94</v>
      </c>
      <c r="Q279" s="219">
        <v>80</v>
      </c>
      <c r="R279" s="32" t="str">
        <f t="shared" si="130"/>
        <v>заказчика</v>
      </c>
      <c r="S279" s="28" t="s">
        <v>685</v>
      </c>
      <c r="T279" s="1298"/>
    </row>
    <row r="280" spans="1:20" hidden="1" x14ac:dyDescent="0.2">
      <c r="A280" s="50">
        <f t="shared" si="131"/>
        <v>90</v>
      </c>
      <c r="B280" s="431" t="s">
        <v>787</v>
      </c>
      <c r="C280" s="2113" t="s">
        <v>1818</v>
      </c>
      <c r="D280" s="66" t="s">
        <v>264</v>
      </c>
      <c r="E280" s="974" t="s">
        <v>333</v>
      </c>
      <c r="F280" s="66">
        <v>1</v>
      </c>
      <c r="G280" s="66">
        <f>IF(B280=LOOKUP($A280,Исх!B$29:B$41,Исх!C$29:C$41),LOOKUP($A280,Исх!B$29:B$41,Исх!AD$29:AD$41),0)</f>
        <v>0</v>
      </c>
      <c r="H280" s="26">
        <f t="shared" si="129"/>
        <v>0</v>
      </c>
      <c r="I280" s="999">
        <v>0.1</v>
      </c>
      <c r="J280" s="1009">
        <f>H280*I280*Исх!$C$2</f>
        <v>0</v>
      </c>
      <c r="K280" s="1352">
        <f t="shared" si="132"/>
        <v>0</v>
      </c>
      <c r="L280" s="1989">
        <v>2040</v>
      </c>
      <c r="M280" s="723">
        <f t="shared" si="128"/>
        <v>4.6623999999999999E-2</v>
      </c>
      <c r="O280" s="28">
        <v>62</v>
      </c>
      <c r="P280" s="28">
        <v>94</v>
      </c>
      <c r="Q280" s="219">
        <v>80</v>
      </c>
      <c r="R280" s="32" t="str">
        <f t="shared" si="130"/>
        <v>заказчика</v>
      </c>
      <c r="S280" s="28" t="s">
        <v>685</v>
      </c>
      <c r="T280" s="1298"/>
    </row>
    <row r="281" spans="1:20" hidden="1" x14ac:dyDescent="0.2">
      <c r="A281" s="50">
        <f t="shared" si="131"/>
        <v>91</v>
      </c>
      <c r="B281" s="431" t="s">
        <v>788</v>
      </c>
      <c r="C281" s="2113" t="s">
        <v>1818</v>
      </c>
      <c r="D281" s="66" t="s">
        <v>264</v>
      </c>
      <c r="E281" s="974" t="s">
        <v>333</v>
      </c>
      <c r="F281" s="66">
        <v>1</v>
      </c>
      <c r="G281" s="66">
        <f>IF(B281=LOOKUP($A281,Исх!B$29:B$41,Исх!C$29:C$41),LOOKUP($A281,Исх!B$29:B$41,Исх!AD$29:AD$41),0)</f>
        <v>0</v>
      </c>
      <c r="H281" s="26">
        <f t="shared" si="129"/>
        <v>0</v>
      </c>
      <c r="I281" s="999">
        <v>0.12</v>
      </c>
      <c r="J281" s="1009">
        <f>H281*I281*Исх!$C$2</f>
        <v>0</v>
      </c>
      <c r="K281" s="1352">
        <f t="shared" si="132"/>
        <v>0</v>
      </c>
      <c r="L281" s="1989">
        <v>2040</v>
      </c>
      <c r="M281" s="723">
        <f t="shared" si="128"/>
        <v>5.9903999999999999E-2</v>
      </c>
      <c r="O281" s="28">
        <v>72</v>
      </c>
      <c r="P281" s="28">
        <v>104</v>
      </c>
      <c r="Q281" s="219">
        <v>80</v>
      </c>
      <c r="R281" s="32" t="str">
        <f t="shared" si="130"/>
        <v>заказчика</v>
      </c>
      <c r="S281" s="28" t="s">
        <v>685</v>
      </c>
      <c r="T281" s="1298"/>
    </row>
    <row r="282" spans="1:20" hidden="1" x14ac:dyDescent="0.2">
      <c r="A282" s="50">
        <f t="shared" si="131"/>
        <v>92</v>
      </c>
      <c r="B282" s="431" t="s">
        <v>789</v>
      </c>
      <c r="C282" s="2113" t="s">
        <v>1818</v>
      </c>
      <c r="D282" s="66" t="s">
        <v>264</v>
      </c>
      <c r="E282" s="974" t="s">
        <v>333</v>
      </c>
      <c r="F282" s="66">
        <v>1</v>
      </c>
      <c r="G282" s="66">
        <f>IF(B282=LOOKUP($A282,Исх!B$29:B$41,Исх!C$29:C$41),LOOKUP($A282,Исх!B$29:B$41,Исх!AD$29:AD$41),0)</f>
        <v>0</v>
      </c>
      <c r="H282" s="26">
        <f t="shared" si="129"/>
        <v>0</v>
      </c>
      <c r="I282" s="1000">
        <v>0.31</v>
      </c>
      <c r="J282" s="1009">
        <f>H282*I282*Исх!$C$3</f>
        <v>0</v>
      </c>
      <c r="K282" s="1352">
        <f t="shared" si="132"/>
        <v>0</v>
      </c>
      <c r="L282" s="1991">
        <v>5965</v>
      </c>
      <c r="M282" s="723">
        <f t="shared" si="128"/>
        <v>5.11485E-2</v>
      </c>
      <c r="O282" s="28">
        <v>43</v>
      </c>
      <c r="P282" s="28">
        <v>61</v>
      </c>
      <c r="Q282" s="219">
        <v>195</v>
      </c>
      <c r="R282" s="32" t="str">
        <f t="shared" si="130"/>
        <v>заказчика</v>
      </c>
      <c r="S282" s="28" t="s">
        <v>685</v>
      </c>
      <c r="T282" s="1298"/>
    </row>
    <row r="283" spans="1:20" hidden="1" x14ac:dyDescent="0.2">
      <c r="A283" s="50">
        <f t="shared" si="131"/>
        <v>93</v>
      </c>
      <c r="B283" s="431" t="s">
        <v>790</v>
      </c>
      <c r="C283" s="2113" t="s">
        <v>1818</v>
      </c>
      <c r="D283" s="66"/>
      <c r="E283" s="974" t="s">
        <v>333</v>
      </c>
      <c r="F283" s="66">
        <v>1</v>
      </c>
      <c r="G283" s="66">
        <f>IF(B283=LOOKUP($A283,Исх!B$29:B$41,Исх!C$29:C$41),LOOKUP($A283,Исх!B$29:B$41,Исх!AD$29:AD$41),0)</f>
        <v>0</v>
      </c>
      <c r="H283" s="26">
        <f t="shared" si="129"/>
        <v>0</v>
      </c>
      <c r="I283" s="1000">
        <v>0.36</v>
      </c>
      <c r="J283" s="1009">
        <f>H283*I283*Исх!$C$3</f>
        <v>0</v>
      </c>
      <c r="K283" s="1352">
        <f t="shared" si="132"/>
        <v>0</v>
      </c>
      <c r="L283" s="995">
        <v>5288</v>
      </c>
      <c r="M283" s="723">
        <f t="shared" si="128"/>
        <v>6.8250000000000005E-2</v>
      </c>
      <c r="O283" s="28">
        <v>50</v>
      </c>
      <c r="P283" s="28">
        <v>70</v>
      </c>
      <c r="Q283" s="219">
        <v>195</v>
      </c>
      <c r="R283" s="32" t="str">
        <f t="shared" si="130"/>
        <v>заказчика</v>
      </c>
      <c r="S283" s="28" t="s">
        <v>685</v>
      </c>
      <c r="T283" s="1298"/>
    </row>
    <row r="284" spans="1:20" hidden="1" x14ac:dyDescent="0.2">
      <c r="A284" s="50">
        <f t="shared" si="131"/>
        <v>94</v>
      </c>
      <c r="B284" s="431" t="s">
        <v>791</v>
      </c>
      <c r="C284" s="2113" t="s">
        <v>1818</v>
      </c>
      <c r="D284" s="66" t="s">
        <v>264</v>
      </c>
      <c r="E284" s="974" t="s">
        <v>333</v>
      </c>
      <c r="F284" s="66">
        <v>1</v>
      </c>
      <c r="G284" s="66">
        <f>IF(B284=LOOKUP($A284,Исх!B$29:B$41,Исх!C$29:C$41),LOOKUP($A284,Исх!B$29:B$41,Исх!AD$29:AD$41),0)</f>
        <v>0</v>
      </c>
      <c r="H284" s="26">
        <f t="shared" si="129"/>
        <v>0</v>
      </c>
      <c r="I284" s="1000">
        <v>0.72</v>
      </c>
      <c r="J284" s="1009">
        <f>H284*I284*Исх!$C$3</f>
        <v>0</v>
      </c>
      <c r="K284" s="1352">
        <f t="shared" si="132"/>
        <v>0</v>
      </c>
      <c r="L284" s="995">
        <v>5288</v>
      </c>
      <c r="M284" s="723">
        <f t="shared" si="128"/>
        <v>0.13650000000000001</v>
      </c>
      <c r="O284" s="28">
        <v>70</v>
      </c>
      <c r="P284" s="28">
        <v>100</v>
      </c>
      <c r="Q284" s="219">
        <v>195</v>
      </c>
      <c r="R284" s="32" t="str">
        <f t="shared" si="130"/>
        <v>заказчика</v>
      </c>
      <c r="S284" s="28" t="s">
        <v>685</v>
      </c>
      <c r="T284" s="1298"/>
    </row>
    <row r="285" spans="1:20" hidden="1" x14ac:dyDescent="0.2">
      <c r="A285" s="50">
        <f t="shared" si="131"/>
        <v>95</v>
      </c>
      <c r="B285" s="431" t="s">
        <v>792</v>
      </c>
      <c r="C285" s="2113" t="s">
        <v>1818</v>
      </c>
      <c r="D285" s="66" t="s">
        <v>264</v>
      </c>
      <c r="E285" s="974" t="s">
        <v>333</v>
      </c>
      <c r="F285" s="66">
        <v>1</v>
      </c>
      <c r="G285" s="66">
        <f>IF(B285=LOOKUP($A285,Исх!B$29:B$41,Исх!C$29:C$41),LOOKUP($A285,Исх!B$29:B$41,Исх!AD$29:AD$41),0)</f>
        <v>0</v>
      </c>
      <c r="H285" s="26">
        <f t="shared" si="129"/>
        <v>0</v>
      </c>
      <c r="I285" s="1000">
        <v>0.27</v>
      </c>
      <c r="J285" s="1009">
        <f>H285*I285*Исх!$C$3</f>
        <v>0</v>
      </c>
      <c r="K285" s="1352">
        <f t="shared" si="132"/>
        <v>0</v>
      </c>
      <c r="L285" s="995">
        <v>5288</v>
      </c>
      <c r="M285" s="723">
        <f t="shared" si="128"/>
        <v>5.11485E-2</v>
      </c>
      <c r="O285" s="28">
        <v>43</v>
      </c>
      <c r="P285" s="28">
        <v>61</v>
      </c>
      <c r="Q285" s="219">
        <v>195</v>
      </c>
      <c r="R285" s="32" t="str">
        <f t="shared" si="130"/>
        <v>заказчика</v>
      </c>
      <c r="S285" s="28" t="s">
        <v>685</v>
      </c>
      <c r="T285" s="1298"/>
    </row>
    <row r="286" spans="1:20" hidden="1" x14ac:dyDescent="0.2">
      <c r="A286" s="50">
        <f t="shared" si="131"/>
        <v>96</v>
      </c>
      <c r="B286" s="431" t="s">
        <v>793</v>
      </c>
      <c r="C286" s="2113" t="s">
        <v>1818</v>
      </c>
      <c r="D286" s="66" t="s">
        <v>264</v>
      </c>
      <c r="E286" s="974" t="s">
        <v>333</v>
      </c>
      <c r="F286" s="66">
        <v>1</v>
      </c>
      <c r="G286" s="66">
        <f>IF(B286=LOOKUP($A286,Исх!B$29:B$41,Исх!C$29:C$41),LOOKUP($A286,Исх!B$29:B$41,Исх!AD$29:AD$41),0)</f>
        <v>0</v>
      </c>
      <c r="H286" s="26">
        <f t="shared" si="129"/>
        <v>0</v>
      </c>
      <c r="I286" s="1000">
        <v>0.36</v>
      </c>
      <c r="J286" s="1009">
        <f>H286*I286*Исх!$C$3</f>
        <v>0</v>
      </c>
      <c r="K286" s="1352">
        <f t="shared" si="132"/>
        <v>0</v>
      </c>
      <c r="L286" s="995">
        <v>5288</v>
      </c>
      <c r="M286" s="723">
        <f t="shared" si="128"/>
        <v>6.8250000000000005E-2</v>
      </c>
      <c r="O286" s="28">
        <v>50</v>
      </c>
      <c r="P286" s="28">
        <v>70</v>
      </c>
      <c r="Q286" s="219">
        <v>195</v>
      </c>
      <c r="R286" s="32" t="str">
        <f t="shared" si="130"/>
        <v>заказчика</v>
      </c>
      <c r="S286" s="28" t="s">
        <v>685</v>
      </c>
      <c r="T286" s="1298"/>
    </row>
    <row r="287" spans="1:20" hidden="1" x14ac:dyDescent="0.2">
      <c r="A287" s="50">
        <f t="shared" si="131"/>
        <v>97</v>
      </c>
      <c r="B287" s="431" t="s">
        <v>794</v>
      </c>
      <c r="C287" s="2113" t="s">
        <v>1818</v>
      </c>
      <c r="D287" s="66" t="s">
        <v>264</v>
      </c>
      <c r="E287" s="974" t="s">
        <v>333</v>
      </c>
      <c r="F287" s="66">
        <v>1</v>
      </c>
      <c r="G287" s="66">
        <f>IF(B287=LOOKUP($A287,Исх!B$29:B$41,Исх!C$29:C$41),LOOKUP($A287,Исх!B$29:B$41,Исх!AD$29:AD$41),0)</f>
        <v>0</v>
      </c>
      <c r="H287" s="26">
        <f t="shared" si="129"/>
        <v>0</v>
      </c>
      <c r="I287" s="1000">
        <v>0.72</v>
      </c>
      <c r="J287" s="1009">
        <f>H287*I287*Исх!$C$3</f>
        <v>0</v>
      </c>
      <c r="K287" s="1352">
        <f t="shared" si="132"/>
        <v>0</v>
      </c>
      <c r="L287" s="995">
        <v>5288</v>
      </c>
      <c r="M287" s="723">
        <f t="shared" si="128"/>
        <v>0.13650000000000001</v>
      </c>
      <c r="O287" s="28">
        <v>70</v>
      </c>
      <c r="P287" s="28">
        <v>100</v>
      </c>
      <c r="Q287" s="219">
        <v>195</v>
      </c>
      <c r="R287" s="32" t="str">
        <f t="shared" si="130"/>
        <v>заказчика</v>
      </c>
      <c r="S287" s="28" t="s">
        <v>685</v>
      </c>
      <c r="T287" s="1298"/>
    </row>
    <row r="288" spans="1:20" hidden="1" x14ac:dyDescent="0.2">
      <c r="A288" s="50">
        <f t="shared" si="131"/>
        <v>98</v>
      </c>
      <c r="B288" s="431" t="s">
        <v>1160</v>
      </c>
      <c r="C288" s="2113" t="s">
        <v>1818</v>
      </c>
      <c r="D288" s="66" t="s">
        <v>264</v>
      </c>
      <c r="E288" s="1488" t="s">
        <v>333</v>
      </c>
      <c r="F288" s="66">
        <v>1</v>
      </c>
      <c r="G288" s="66">
        <f>IF(B288=LOOKUP($A288,Исх!B$29:B$41,Исх!C$29:C$41),LOOKUP($A288,Исх!B$29:B$41,Исх!AD$29:AD$41),0)</f>
        <v>0</v>
      </c>
      <c r="H288" s="26">
        <f t="shared" ref="H288" si="133">F288*G288</f>
        <v>0</v>
      </c>
      <c r="I288" s="1000">
        <f t="shared" ref="I288" si="134">L288*M288/1000</f>
        <v>0.25526880000000002</v>
      </c>
      <c r="J288" s="1009">
        <f>H288*I288*Исх!$C$3</f>
        <v>0</v>
      </c>
      <c r="K288" s="1352">
        <f t="shared" ref="K288" si="135">IF(J288&gt;0,1,0)</f>
        <v>0</v>
      </c>
      <c r="L288" s="1991">
        <v>9330</v>
      </c>
      <c r="M288" s="723">
        <f t="shared" ref="M288" si="136">O288*P288*Q288/10000000</f>
        <v>2.7359999999999999E-2</v>
      </c>
      <c r="O288" s="28">
        <v>32</v>
      </c>
      <c r="P288" s="28">
        <v>45</v>
      </c>
      <c r="Q288" s="219">
        <v>190</v>
      </c>
      <c r="R288" s="32" t="str">
        <f t="shared" ref="R288" si="137">IF(G288&lt;1,"заказчика","типографии")</f>
        <v>заказчика</v>
      </c>
      <c r="S288" s="28" t="s">
        <v>784</v>
      </c>
      <c r="T288" s="1298"/>
    </row>
    <row r="289" spans="1:20" hidden="1" x14ac:dyDescent="0.2">
      <c r="A289" s="50">
        <f t="shared" si="131"/>
        <v>99</v>
      </c>
      <c r="B289" s="431" t="s">
        <v>120</v>
      </c>
      <c r="C289" s="2113" t="s">
        <v>1818</v>
      </c>
      <c r="D289" s="66" t="s">
        <v>264</v>
      </c>
      <c r="E289" s="974" t="s">
        <v>333</v>
      </c>
      <c r="F289" s="66">
        <v>1</v>
      </c>
      <c r="G289" s="66">
        <f>IF(B289=LOOKUP($A289,Исх!B$29:B$41,Исх!C$29:C$41),LOOKUP($A289,Исх!B$29:B$41,Исх!AD$29:AD$41),0)</f>
        <v>0</v>
      </c>
      <c r="H289" s="26">
        <f t="shared" si="129"/>
        <v>0</v>
      </c>
      <c r="I289" s="1000">
        <f t="shared" si="127"/>
        <v>1.9949999999999997</v>
      </c>
      <c r="J289" s="1009">
        <f>H289*I289*Исх!$C$3</f>
        <v>0</v>
      </c>
      <c r="K289" s="1352">
        <f t="shared" si="132"/>
        <v>0</v>
      </c>
      <c r="L289" s="1991">
        <v>11400</v>
      </c>
      <c r="M289" s="723">
        <f t="shared" si="128"/>
        <v>0.17499999999999999</v>
      </c>
      <c r="O289" s="28">
        <v>70</v>
      </c>
      <c r="P289" s="28">
        <v>100</v>
      </c>
      <c r="Q289" s="219">
        <v>250</v>
      </c>
      <c r="R289" s="32" t="str">
        <f t="shared" si="130"/>
        <v>заказчика</v>
      </c>
      <c r="S289" s="28" t="s">
        <v>686</v>
      </c>
      <c r="T289" s="1298"/>
    </row>
    <row r="290" spans="1:20" hidden="1" x14ac:dyDescent="0.2">
      <c r="A290" s="50">
        <f t="shared" si="131"/>
        <v>100</v>
      </c>
      <c r="B290" s="1001" t="s">
        <v>822</v>
      </c>
      <c r="C290" s="2113" t="s">
        <v>1818</v>
      </c>
      <c r="D290" s="66" t="s">
        <v>264</v>
      </c>
      <c r="E290" s="974" t="s">
        <v>333</v>
      </c>
      <c r="F290" s="66">
        <v>1</v>
      </c>
      <c r="G290" s="66">
        <f>IF(B290=LOOKUP($A290,Исх!B$29:B$41,Исх!C$29:C$41),LOOKUP($A290,Исх!B$29:B$41,Исх!AD$29:AD$41),0)</f>
        <v>0</v>
      </c>
      <c r="H290" s="26">
        <f t="shared" si="129"/>
        <v>0</v>
      </c>
      <c r="I290" s="999">
        <f t="shared" ref="I290:I300" si="138">L290*M290/1000</f>
        <v>1.6012500000000001</v>
      </c>
      <c r="J290" s="1009">
        <f>H290*I290*Исх!$C$2</f>
        <v>0</v>
      </c>
      <c r="K290" s="1352">
        <f t="shared" si="132"/>
        <v>0</v>
      </c>
      <c r="L290" s="1989">
        <v>9150</v>
      </c>
      <c r="M290" s="723">
        <f t="shared" si="128"/>
        <v>0.17499999999999999</v>
      </c>
      <c r="O290" s="28">
        <v>70</v>
      </c>
      <c r="P290" s="28">
        <v>100</v>
      </c>
      <c r="Q290" s="219">
        <v>250</v>
      </c>
      <c r="R290" s="32" t="str">
        <f t="shared" si="130"/>
        <v>заказчика</v>
      </c>
      <c r="S290" s="28" t="s">
        <v>686</v>
      </c>
      <c r="T290" s="1298"/>
    </row>
    <row r="291" spans="1:20" hidden="1" x14ac:dyDescent="0.2">
      <c r="A291" s="50">
        <f t="shared" si="131"/>
        <v>101</v>
      </c>
      <c r="B291" s="431" t="s">
        <v>795</v>
      </c>
      <c r="C291" s="2113" t="s">
        <v>1818</v>
      </c>
      <c r="D291" s="66" t="s">
        <v>264</v>
      </c>
      <c r="E291" s="974" t="s">
        <v>333</v>
      </c>
      <c r="F291" s="66">
        <v>1</v>
      </c>
      <c r="G291" s="66">
        <f>IF(B291=LOOKUP($A291,Исх!B$29:B$41,Исх!C$29:C$41),LOOKUP($A291,Исх!B$29:B$41,Исх!AD$29:AD$41),0)</f>
        <v>0</v>
      </c>
      <c r="H291" s="26">
        <f t="shared" si="129"/>
        <v>0</v>
      </c>
      <c r="I291" s="999">
        <f t="shared" si="138"/>
        <v>0.77700000000000002</v>
      </c>
      <c r="J291" s="1009">
        <f>H291*I291*Исх!$C$2</f>
        <v>0</v>
      </c>
      <c r="K291" s="1352">
        <f t="shared" si="132"/>
        <v>0</v>
      </c>
      <c r="L291" s="993">
        <v>4440</v>
      </c>
      <c r="M291" s="723">
        <f t="shared" si="128"/>
        <v>0.17499999999999999</v>
      </c>
      <c r="O291" s="28">
        <v>70</v>
      </c>
      <c r="P291" s="28">
        <v>100</v>
      </c>
      <c r="Q291" s="219">
        <v>250</v>
      </c>
      <c r="R291" s="32" t="str">
        <f t="shared" si="130"/>
        <v>заказчика</v>
      </c>
      <c r="S291" s="28" t="s">
        <v>686</v>
      </c>
      <c r="T291" s="1298"/>
    </row>
    <row r="292" spans="1:20" hidden="1" x14ac:dyDescent="0.2">
      <c r="A292" s="50">
        <f t="shared" si="131"/>
        <v>102</v>
      </c>
      <c r="B292" s="431" t="s">
        <v>443</v>
      </c>
      <c r="C292" s="2113" t="s">
        <v>1818</v>
      </c>
      <c r="D292" s="66" t="s">
        <v>264</v>
      </c>
      <c r="E292" s="974" t="s">
        <v>333</v>
      </c>
      <c r="F292" s="66">
        <v>1</v>
      </c>
      <c r="G292" s="66">
        <f>IF(B292=LOOKUP($A292,Исх!B$29:B$41,Исх!C$29:C$41),LOOKUP($A292,Исх!B$29:B$41,Исх!AD$29:AD$41),0)</f>
        <v>0</v>
      </c>
      <c r="H292" s="26">
        <f t="shared" si="129"/>
        <v>0</v>
      </c>
      <c r="I292" s="1000">
        <f t="shared" si="138"/>
        <v>1.8017999999999998</v>
      </c>
      <c r="J292" s="1009">
        <f>H292*I292*Исх!$C$3</f>
        <v>0</v>
      </c>
      <c r="K292" s="1352">
        <f t="shared" si="132"/>
        <v>0</v>
      </c>
      <c r="L292" s="1990">
        <v>9900</v>
      </c>
      <c r="M292" s="723">
        <f t="shared" si="128"/>
        <v>0.182</v>
      </c>
      <c r="O292" s="28">
        <v>70</v>
      </c>
      <c r="P292" s="28">
        <v>100</v>
      </c>
      <c r="Q292" s="219">
        <v>260</v>
      </c>
      <c r="R292" s="32" t="str">
        <f t="shared" si="130"/>
        <v>заказчика</v>
      </c>
      <c r="S292" s="28" t="s">
        <v>686</v>
      </c>
      <c r="T292" s="1298"/>
    </row>
    <row r="293" spans="1:20" hidden="1" x14ac:dyDescent="0.2">
      <c r="A293" s="50">
        <f t="shared" si="131"/>
        <v>103</v>
      </c>
      <c r="B293" s="431" t="s">
        <v>121</v>
      </c>
      <c r="C293" s="2113" t="s">
        <v>1818</v>
      </c>
      <c r="D293" s="66" t="s">
        <v>264</v>
      </c>
      <c r="E293" s="974" t="s">
        <v>333</v>
      </c>
      <c r="F293" s="66">
        <v>1</v>
      </c>
      <c r="G293" s="66">
        <f>IF(B293=LOOKUP($A293,Исх!B$29:B$41,Исх!C$29:C$41),LOOKUP($A293,Исх!B$29:B$41,Исх!AD$29:AD$41),0)</f>
        <v>0</v>
      </c>
      <c r="H293" s="26">
        <f t="shared" si="129"/>
        <v>0</v>
      </c>
      <c r="I293" s="1000">
        <f t="shared" si="138"/>
        <v>1.8980500000000002</v>
      </c>
      <c r="J293" s="1009">
        <f>H293*I293*Исх!$C$3</f>
        <v>0</v>
      </c>
      <c r="K293" s="1352">
        <f t="shared" si="132"/>
        <v>0</v>
      </c>
      <c r="L293" s="1990">
        <v>9350</v>
      </c>
      <c r="M293" s="723">
        <f t="shared" si="128"/>
        <v>0.20300000000000001</v>
      </c>
      <c r="O293" s="28">
        <v>70</v>
      </c>
      <c r="P293" s="28">
        <v>100</v>
      </c>
      <c r="Q293" s="219">
        <v>290</v>
      </c>
      <c r="R293" s="32" t="str">
        <f t="shared" si="130"/>
        <v>заказчика</v>
      </c>
      <c r="S293" s="28" t="s">
        <v>686</v>
      </c>
      <c r="T293" s="1298"/>
    </row>
    <row r="294" spans="1:20" hidden="1" x14ac:dyDescent="0.2">
      <c r="A294" s="50">
        <f t="shared" si="131"/>
        <v>104</v>
      </c>
      <c r="B294" s="431" t="s">
        <v>796</v>
      </c>
      <c r="C294" s="2113" t="s">
        <v>1818</v>
      </c>
      <c r="D294" s="66" t="s">
        <v>264</v>
      </c>
      <c r="E294" s="974" t="s">
        <v>333</v>
      </c>
      <c r="F294" s="66">
        <v>1</v>
      </c>
      <c r="G294" s="66">
        <f>IF(B294=LOOKUP($A294,Исх!B$29:B$41,Исх!C$29:C$41),LOOKUP($A294,Исх!B$29:B$41,Исх!AD$29:AD$41),0)</f>
        <v>0</v>
      </c>
      <c r="H294" s="26">
        <f t="shared" si="129"/>
        <v>0</v>
      </c>
      <c r="I294" s="999">
        <f t="shared" si="138"/>
        <v>0.80282880000000001</v>
      </c>
      <c r="J294" s="1009">
        <f>H294*I294*Исх!$C$2</f>
        <v>0</v>
      </c>
      <c r="K294" s="1352">
        <f t="shared" si="132"/>
        <v>0</v>
      </c>
      <c r="L294" s="1989">
        <v>6900</v>
      </c>
      <c r="M294" s="723">
        <f t="shared" si="128"/>
        <v>0.116352</v>
      </c>
      <c r="O294" s="28">
        <v>72</v>
      </c>
      <c r="P294" s="28">
        <v>101</v>
      </c>
      <c r="Q294" s="219">
        <v>160</v>
      </c>
      <c r="R294" s="32" t="str">
        <f t="shared" si="130"/>
        <v>заказчика</v>
      </c>
      <c r="S294" s="28" t="s">
        <v>686</v>
      </c>
      <c r="T294" s="1298"/>
    </row>
    <row r="295" spans="1:20" hidden="1" x14ac:dyDescent="0.2">
      <c r="A295" s="50">
        <f t="shared" si="131"/>
        <v>105</v>
      </c>
      <c r="B295" s="431" t="s">
        <v>797</v>
      </c>
      <c r="C295" s="2113" t="s">
        <v>1818</v>
      </c>
      <c r="D295" s="66" t="s">
        <v>264</v>
      </c>
      <c r="E295" s="974" t="s">
        <v>333</v>
      </c>
      <c r="F295" s="66">
        <v>1</v>
      </c>
      <c r="G295" s="66">
        <f>IF(B295=LOOKUP($A295,Исх!B$29:B$41,Исх!C$29:C$41),LOOKUP($A295,Исх!B$29:B$41,Исх!AD$29:AD$41),0)</f>
        <v>0</v>
      </c>
      <c r="H295" s="26">
        <f t="shared" si="129"/>
        <v>0</v>
      </c>
      <c r="I295" s="1000">
        <f t="shared" si="138"/>
        <v>1.30372416</v>
      </c>
      <c r="J295" s="1009">
        <f>H295*I295*Исх!$C$3</f>
        <v>0</v>
      </c>
      <c r="K295" s="1352">
        <f t="shared" si="132"/>
        <v>0</v>
      </c>
      <c r="L295" s="1991">
        <v>7470</v>
      </c>
      <c r="M295" s="723">
        <f t="shared" si="128"/>
        <v>0.17452799999999999</v>
      </c>
      <c r="O295" s="28">
        <v>72</v>
      </c>
      <c r="P295" s="28">
        <v>101</v>
      </c>
      <c r="Q295" s="219">
        <v>240</v>
      </c>
      <c r="R295" s="32" t="str">
        <f t="shared" si="130"/>
        <v>заказчика</v>
      </c>
      <c r="S295" s="28" t="s">
        <v>686</v>
      </c>
      <c r="T295" s="1298"/>
    </row>
    <row r="296" spans="1:20" hidden="1" x14ac:dyDescent="0.2">
      <c r="A296" s="50">
        <f t="shared" si="131"/>
        <v>106</v>
      </c>
      <c r="B296" s="431" t="s">
        <v>122</v>
      </c>
      <c r="C296" s="2113" t="s">
        <v>1818</v>
      </c>
      <c r="D296" s="66" t="s">
        <v>264</v>
      </c>
      <c r="E296" s="974" t="s">
        <v>333</v>
      </c>
      <c r="F296" s="66">
        <v>1</v>
      </c>
      <c r="G296" s="66">
        <f>IF(B296=LOOKUP($A296,Исх!B$29:B$41,Исх!C$29:C$41),LOOKUP($A296,Исх!B$29:B$41,Исх!AD$29:AD$41),0)</f>
        <v>0</v>
      </c>
      <c r="H296" s="26">
        <f t="shared" si="129"/>
        <v>0</v>
      </c>
      <c r="I296" s="999">
        <f t="shared" si="138"/>
        <v>0.59325000000000006</v>
      </c>
      <c r="J296" s="1009">
        <f>H296*I296*Исх!$C$2</f>
        <v>0</v>
      </c>
      <c r="K296" s="1352">
        <f t="shared" si="132"/>
        <v>0</v>
      </c>
      <c r="L296" s="993">
        <v>3390</v>
      </c>
      <c r="M296" s="723">
        <f t="shared" si="128"/>
        <v>0.17499999999999999</v>
      </c>
      <c r="O296" s="28">
        <v>70</v>
      </c>
      <c r="P296" s="28">
        <v>100</v>
      </c>
      <c r="Q296" s="219">
        <v>250</v>
      </c>
      <c r="R296" s="32" t="str">
        <f t="shared" si="130"/>
        <v>заказчика</v>
      </c>
      <c r="S296" s="28" t="s">
        <v>686</v>
      </c>
      <c r="T296" s="1298"/>
    </row>
    <row r="297" spans="1:20" hidden="1" x14ac:dyDescent="0.2">
      <c r="A297" s="50">
        <f t="shared" si="131"/>
        <v>107</v>
      </c>
      <c r="B297" s="431" t="s">
        <v>123</v>
      </c>
      <c r="C297" s="2113" t="s">
        <v>1818</v>
      </c>
      <c r="D297" s="66" t="s">
        <v>264</v>
      </c>
      <c r="E297" s="974" t="s">
        <v>333</v>
      </c>
      <c r="F297" s="66">
        <v>1</v>
      </c>
      <c r="G297" s="66">
        <f>IF(B297=LOOKUP($A297,Исх!B$29:B$41,Исх!C$29:C$41),LOOKUP($A297,Исх!B$29:B$41,Исх!AD$29:AD$41),0)</f>
        <v>0</v>
      </c>
      <c r="H297" s="26">
        <f t="shared" ref="H297:H311" si="139">F297*G297</f>
        <v>0</v>
      </c>
      <c r="I297" s="999">
        <f t="shared" si="138"/>
        <v>0.70363999999999993</v>
      </c>
      <c r="J297" s="1009">
        <f>H297*I297*Исх!$C$2</f>
        <v>0</v>
      </c>
      <c r="K297" s="1352">
        <f t="shared" si="132"/>
        <v>0</v>
      </c>
      <c r="L297" s="993">
        <v>3590</v>
      </c>
      <c r="M297" s="723">
        <f t="shared" si="128"/>
        <v>0.19600000000000001</v>
      </c>
      <c r="O297" s="28">
        <v>70</v>
      </c>
      <c r="P297" s="28">
        <v>100</v>
      </c>
      <c r="Q297" s="219">
        <v>280</v>
      </c>
      <c r="R297" s="32" t="str">
        <f t="shared" si="130"/>
        <v>заказчика</v>
      </c>
      <c r="S297" s="28" t="s">
        <v>686</v>
      </c>
      <c r="T297" s="1298"/>
    </row>
    <row r="298" spans="1:20" hidden="1" x14ac:dyDescent="0.2">
      <c r="A298" s="50">
        <f t="shared" si="131"/>
        <v>108</v>
      </c>
      <c r="B298" s="431" t="s">
        <v>124</v>
      </c>
      <c r="C298" s="2113" t="s">
        <v>1818</v>
      </c>
      <c r="D298" s="66" t="s">
        <v>264</v>
      </c>
      <c r="E298" s="974" t="s">
        <v>333</v>
      </c>
      <c r="F298" s="66">
        <v>1</v>
      </c>
      <c r="G298" s="66">
        <f>IF(B298=LOOKUP($A298,Исх!B$29:B$41,Исх!C$29:C$41),LOOKUP($A298,Исх!B$29:B$41,Исх!AD$29:AD$41),0)</f>
        <v>0</v>
      </c>
      <c r="H298" s="26">
        <f t="shared" si="139"/>
        <v>0</v>
      </c>
      <c r="I298" s="1000">
        <f t="shared" si="138"/>
        <v>0.78400000000000003</v>
      </c>
      <c r="J298" s="1009">
        <f>H298*I298*Исх!$C$3</f>
        <v>0</v>
      </c>
      <c r="K298" s="1352">
        <f t="shared" si="132"/>
        <v>0</v>
      </c>
      <c r="L298" s="994">
        <v>4000</v>
      </c>
      <c r="M298" s="723">
        <f t="shared" si="128"/>
        <v>0.19600000000000001</v>
      </c>
      <c r="O298" s="28">
        <v>70</v>
      </c>
      <c r="P298" s="28">
        <v>100</v>
      </c>
      <c r="Q298" s="219">
        <v>280</v>
      </c>
      <c r="R298" s="32" t="str">
        <f t="shared" si="130"/>
        <v>заказчика</v>
      </c>
      <c r="S298" s="28" t="s">
        <v>686</v>
      </c>
      <c r="T298" s="1298"/>
    </row>
    <row r="299" spans="1:20" hidden="1" x14ac:dyDescent="0.2">
      <c r="A299" s="50">
        <f t="shared" si="131"/>
        <v>109</v>
      </c>
      <c r="B299" s="431" t="s">
        <v>798</v>
      </c>
      <c r="C299" s="2113" t="s">
        <v>1818</v>
      </c>
      <c r="D299" s="66" t="s">
        <v>264</v>
      </c>
      <c r="E299" s="974" t="s">
        <v>333</v>
      </c>
      <c r="F299" s="66">
        <v>1</v>
      </c>
      <c r="G299" s="66">
        <f>IF(B299=LOOKUP($A299,Исх!B$29:B$41,Исх!C$29:C$41),LOOKUP($A299,Исх!B$29:B$41,Исх!AD$29:AD$41),0)</f>
        <v>0</v>
      </c>
      <c r="H299" s="26">
        <f t="shared" si="139"/>
        <v>0</v>
      </c>
      <c r="I299" s="1000">
        <f t="shared" si="138"/>
        <v>1.3034000000000001</v>
      </c>
      <c r="J299" s="1009">
        <f>H299*I299*Исх!$C$3</f>
        <v>0</v>
      </c>
      <c r="K299" s="1352">
        <f t="shared" si="132"/>
        <v>0</v>
      </c>
      <c r="L299" s="1990">
        <v>6650</v>
      </c>
      <c r="M299" s="723">
        <f t="shared" si="128"/>
        <v>0.19600000000000001</v>
      </c>
      <c r="O299" s="28">
        <v>70</v>
      </c>
      <c r="P299" s="28">
        <v>100</v>
      </c>
      <c r="Q299" s="219">
        <v>280</v>
      </c>
      <c r="R299" s="32" t="str">
        <f t="shared" si="130"/>
        <v>заказчика</v>
      </c>
      <c r="S299" s="28" t="s">
        <v>686</v>
      </c>
      <c r="T299" s="1298"/>
    </row>
    <row r="300" spans="1:20" hidden="1" x14ac:dyDescent="0.2">
      <c r="A300" s="50">
        <f t="shared" si="131"/>
        <v>110</v>
      </c>
      <c r="B300" s="431" t="s">
        <v>799</v>
      </c>
      <c r="C300" s="2113" t="s">
        <v>1818</v>
      </c>
      <c r="D300" s="66" t="s">
        <v>264</v>
      </c>
      <c r="E300" s="974" t="s">
        <v>333</v>
      </c>
      <c r="F300" s="66">
        <v>1</v>
      </c>
      <c r="G300" s="66">
        <f>IF(B300=LOOKUP($A300,Исх!B$29:B$41,Исх!C$29:C$41),LOOKUP($A300,Исх!B$29:B$41,Исх!AD$29:AD$41),0)</f>
        <v>0</v>
      </c>
      <c r="H300" s="26">
        <f t="shared" si="139"/>
        <v>0</v>
      </c>
      <c r="I300" s="1000">
        <f t="shared" si="138"/>
        <v>1.81523664</v>
      </c>
      <c r="J300" s="1009">
        <f>H300*I300*Исх!$C$3</f>
        <v>0</v>
      </c>
      <c r="K300" s="1352">
        <f t="shared" si="132"/>
        <v>0</v>
      </c>
      <c r="L300" s="994">
        <v>8915</v>
      </c>
      <c r="M300" s="723">
        <f t="shared" si="128"/>
        <v>0.20361599999999999</v>
      </c>
      <c r="O300" s="28">
        <v>72</v>
      </c>
      <c r="P300" s="28">
        <v>101</v>
      </c>
      <c r="Q300" s="219">
        <v>280</v>
      </c>
      <c r="R300" s="32" t="str">
        <f t="shared" si="130"/>
        <v>заказчика</v>
      </c>
      <c r="S300" s="28" t="s">
        <v>686</v>
      </c>
      <c r="T300" s="1298"/>
    </row>
    <row r="301" spans="1:20" hidden="1" x14ac:dyDescent="0.2">
      <c r="A301" s="50">
        <f t="shared" si="131"/>
        <v>111</v>
      </c>
      <c r="B301" s="398" t="s">
        <v>1014</v>
      </c>
      <c r="C301" s="2113" t="s">
        <v>1818</v>
      </c>
      <c r="D301" s="66" t="s">
        <v>264</v>
      </c>
      <c r="E301" s="422" t="s">
        <v>259</v>
      </c>
      <c r="F301" s="66">
        <v>1</v>
      </c>
      <c r="G301" s="66">
        <f>IF(B301=LOOKUP($A301,Исх!B$29:B$41,Исх!C$29:C$41),LOOKUP($A301,Исх!B$29:B$41,Исх!AD$29:AD$41),0)</f>
        <v>0</v>
      </c>
      <c r="H301" s="26">
        <f t="shared" si="139"/>
        <v>0</v>
      </c>
      <c r="I301" s="998">
        <f t="shared" ref="I301" si="140">L301+(L301*$M$190)</f>
        <v>89.13</v>
      </c>
      <c r="J301" s="1009">
        <f>H301*I301</f>
        <v>0</v>
      </c>
      <c r="K301" s="1352">
        <f t="shared" si="132"/>
        <v>0</v>
      </c>
      <c r="L301" s="2026">
        <v>89.13</v>
      </c>
      <c r="R301" s="32" t="str">
        <f t="shared" si="130"/>
        <v>заказчика</v>
      </c>
      <c r="S301" s="28" t="s">
        <v>686</v>
      </c>
      <c r="T301" s="1298"/>
    </row>
    <row r="302" spans="1:20" hidden="1" x14ac:dyDescent="0.2">
      <c r="A302" s="50">
        <f t="shared" si="131"/>
        <v>112</v>
      </c>
      <c r="B302" s="431" t="s">
        <v>444</v>
      </c>
      <c r="C302" s="2113" t="s">
        <v>1818</v>
      </c>
      <c r="D302" s="66" t="s">
        <v>264</v>
      </c>
      <c r="E302" s="974" t="s">
        <v>333</v>
      </c>
      <c r="F302" s="66">
        <v>1</v>
      </c>
      <c r="G302" s="66">
        <f>IF(B302=LOOKUP($A302,Исх!B$29:B$41,Исх!C$29:C$41),LOOKUP($A302,Исх!B$29:B$41,Исх!AD$29:AD$41),0)</f>
        <v>0</v>
      </c>
      <c r="H302" s="26">
        <f t="shared" si="139"/>
        <v>0</v>
      </c>
      <c r="I302" s="998">
        <v>171.96</v>
      </c>
      <c r="J302" s="1009">
        <f t="shared" ref="J302" si="141">H302*I302</f>
        <v>0</v>
      </c>
      <c r="K302" s="1352">
        <f t="shared" si="132"/>
        <v>0</v>
      </c>
      <c r="L302" s="1151">
        <v>171.96</v>
      </c>
      <c r="R302" s="32" t="str">
        <f t="shared" si="130"/>
        <v>заказчика</v>
      </c>
      <c r="S302" s="28" t="s">
        <v>686</v>
      </c>
      <c r="T302" s="1298"/>
    </row>
    <row r="303" spans="1:20" hidden="1" x14ac:dyDescent="0.2">
      <c r="A303" s="50">
        <f t="shared" si="131"/>
        <v>113</v>
      </c>
      <c r="B303" s="431" t="s">
        <v>800</v>
      </c>
      <c r="C303" s="2113" t="s">
        <v>1818</v>
      </c>
      <c r="D303" s="66" t="s">
        <v>264</v>
      </c>
      <c r="E303" s="974" t="s">
        <v>333</v>
      </c>
      <c r="F303" s="66">
        <v>1</v>
      </c>
      <c r="G303" s="66">
        <f>IF(B303=LOOKUP($A303,Исх!B$29:B$41,Исх!C$29:C$41),LOOKUP($A303,Исх!B$29:B$41,Исх!AD$29:AD$41),0)</f>
        <v>0</v>
      </c>
      <c r="H303" s="26">
        <f t="shared" si="139"/>
        <v>0</v>
      </c>
      <c r="I303" s="1000">
        <v>1.2</v>
      </c>
      <c r="J303" s="1009">
        <f>H303*I303*Исх!$C$3</f>
        <v>0</v>
      </c>
      <c r="K303" s="1352">
        <f t="shared" si="132"/>
        <v>0</v>
      </c>
      <c r="L303" s="1990">
        <v>14340</v>
      </c>
      <c r="M303" s="723">
        <f t="shared" ref="M303:M306" si="142">O303*P303*Q303/10000000</f>
        <v>8.4000000000000005E-2</v>
      </c>
      <c r="O303" s="28">
        <v>70</v>
      </c>
      <c r="P303" s="28">
        <v>100</v>
      </c>
      <c r="Q303" s="28">
        <v>120</v>
      </c>
      <c r="R303" s="32" t="str">
        <f t="shared" si="130"/>
        <v>заказчика</v>
      </c>
      <c r="S303" s="28" t="s">
        <v>686</v>
      </c>
      <c r="T303" s="1298"/>
    </row>
    <row r="304" spans="1:20" hidden="1" x14ac:dyDescent="0.2">
      <c r="A304" s="50">
        <f t="shared" si="131"/>
        <v>114</v>
      </c>
      <c r="B304" s="431" t="s">
        <v>801</v>
      </c>
      <c r="C304" s="2113" t="s">
        <v>1818</v>
      </c>
      <c r="D304" s="66" t="s">
        <v>264</v>
      </c>
      <c r="E304" s="974" t="s">
        <v>333</v>
      </c>
      <c r="F304" s="66">
        <v>1</v>
      </c>
      <c r="G304" s="66">
        <f>IF(B304=LOOKUP($A304,Исх!B$29:B$41,Исх!C$29:C$41),LOOKUP($A304,Исх!B$29:B$41,Исх!AD$29:AD$41),0)</f>
        <v>0</v>
      </c>
      <c r="H304" s="26">
        <f t="shared" si="139"/>
        <v>0</v>
      </c>
      <c r="I304" s="1000">
        <v>1.4</v>
      </c>
      <c r="J304" s="1009">
        <f>H304*I304*Исх!$C$3</f>
        <v>0</v>
      </c>
      <c r="K304" s="1352">
        <f t="shared" si="132"/>
        <v>0</v>
      </c>
      <c r="L304" s="1990">
        <v>12750</v>
      </c>
      <c r="M304" s="723">
        <f t="shared" si="142"/>
        <v>0.11015999999999999</v>
      </c>
      <c r="O304" s="28">
        <v>72</v>
      </c>
      <c r="P304" s="28">
        <v>102</v>
      </c>
      <c r="Q304" s="28">
        <v>150</v>
      </c>
      <c r="R304" s="32" t="str">
        <f t="shared" si="130"/>
        <v>заказчика</v>
      </c>
      <c r="S304" s="28" t="s">
        <v>686</v>
      </c>
      <c r="T304" s="1298"/>
    </row>
    <row r="305" spans="1:20" hidden="1" x14ac:dyDescent="0.2">
      <c r="A305" s="50">
        <f t="shared" si="131"/>
        <v>115</v>
      </c>
      <c r="B305" s="431" t="s">
        <v>802</v>
      </c>
      <c r="C305" s="2113" t="s">
        <v>1818</v>
      </c>
      <c r="D305" s="66" t="s">
        <v>264</v>
      </c>
      <c r="E305" s="974" t="s">
        <v>333</v>
      </c>
      <c r="F305" s="66">
        <v>1</v>
      </c>
      <c r="G305" s="66">
        <f>IF(B305=LOOKUP($A305,Исх!B$29:B$41,Исх!C$29:C$41),LOOKUP($A305,Исх!B$29:B$41,Исх!AD$29:AD$41),0)</f>
        <v>0</v>
      </c>
      <c r="H305" s="26">
        <f t="shared" si="139"/>
        <v>0</v>
      </c>
      <c r="I305" s="1000">
        <v>2.5</v>
      </c>
      <c r="J305" s="1009">
        <f>H305*I305*Исх!$C$3</f>
        <v>0</v>
      </c>
      <c r="K305" s="1352">
        <f t="shared" si="132"/>
        <v>0</v>
      </c>
      <c r="L305" s="1990">
        <v>13600</v>
      </c>
      <c r="M305" s="723">
        <f t="shared" si="142"/>
        <v>0.18360000000000001</v>
      </c>
      <c r="O305" s="28">
        <v>72</v>
      </c>
      <c r="P305" s="28">
        <v>102</v>
      </c>
      <c r="Q305" s="28">
        <v>250</v>
      </c>
      <c r="R305" s="32" t="str">
        <f t="shared" si="130"/>
        <v>заказчика</v>
      </c>
      <c r="S305" s="28" t="s">
        <v>686</v>
      </c>
      <c r="T305" s="1298"/>
    </row>
    <row r="306" spans="1:20" hidden="1" x14ac:dyDescent="0.2">
      <c r="A306" s="50">
        <f t="shared" si="131"/>
        <v>116</v>
      </c>
      <c r="B306" s="431" t="s">
        <v>803</v>
      </c>
      <c r="C306" s="2113" t="s">
        <v>1818</v>
      </c>
      <c r="D306" s="66"/>
      <c r="E306" s="974" t="s">
        <v>333</v>
      </c>
      <c r="F306" s="66">
        <v>1</v>
      </c>
      <c r="G306" s="66">
        <f>IF(B306=LOOKUP($A306,Исх!B$29:B$41,Исх!C$29:C$41),LOOKUP($A306,Исх!B$29:B$41,Исх!AD$29:AD$41),0)</f>
        <v>0</v>
      </c>
      <c r="H306" s="26">
        <f t="shared" si="139"/>
        <v>0</v>
      </c>
      <c r="I306" s="1000">
        <v>4</v>
      </c>
      <c r="J306" s="1009">
        <f>H306*I306*Исх!$C$3</f>
        <v>0</v>
      </c>
      <c r="K306" s="1352">
        <f t="shared" si="132"/>
        <v>0</v>
      </c>
      <c r="L306" s="1990">
        <v>15120</v>
      </c>
      <c r="M306" s="723">
        <f t="shared" si="142"/>
        <v>0.26438400000000001</v>
      </c>
      <c r="O306" s="28">
        <v>72</v>
      </c>
      <c r="P306" s="28">
        <v>102</v>
      </c>
      <c r="Q306" s="28">
        <v>360</v>
      </c>
      <c r="R306" s="32" t="str">
        <f t="shared" si="130"/>
        <v>заказчика</v>
      </c>
      <c r="S306" s="28" t="s">
        <v>686</v>
      </c>
      <c r="T306" s="1298"/>
    </row>
    <row r="307" spans="1:20" hidden="1" x14ac:dyDescent="0.2">
      <c r="A307" s="50">
        <f t="shared" si="131"/>
        <v>117</v>
      </c>
      <c r="B307" s="997" t="s">
        <v>804</v>
      </c>
      <c r="C307" s="2113" t="s">
        <v>1818</v>
      </c>
      <c r="D307" s="434"/>
      <c r="E307" s="974" t="s">
        <v>259</v>
      </c>
      <c r="F307" s="66">
        <v>1</v>
      </c>
      <c r="G307" s="66">
        <f>IF(B307=LOOKUP($A307,Исх!B$29:B$41,Исх!C$29:C$41),LOOKUP($A307,Исх!B$29:B$41,Исх!AD$29:AD$41),0)</f>
        <v>0</v>
      </c>
      <c r="H307" s="26">
        <f t="shared" si="139"/>
        <v>0</v>
      </c>
      <c r="I307" s="998">
        <v>72.599999999999994</v>
      </c>
      <c r="J307" s="1009">
        <f t="shared" ref="J307:J311" si="143">H307*I307</f>
        <v>0</v>
      </c>
      <c r="K307" s="1352">
        <f t="shared" si="132"/>
        <v>0</v>
      </c>
      <c r="L307" s="2012">
        <v>62</v>
      </c>
      <c r="R307" s="32" t="str">
        <f t="shared" si="130"/>
        <v>заказчика</v>
      </c>
      <c r="S307" s="754" t="s">
        <v>679</v>
      </c>
      <c r="T307" s="1340" t="s">
        <v>684</v>
      </c>
    </row>
    <row r="308" spans="1:20" hidden="1" x14ac:dyDescent="0.2">
      <c r="A308" s="50">
        <f t="shared" si="131"/>
        <v>118</v>
      </c>
      <c r="B308" s="997" t="s">
        <v>677</v>
      </c>
      <c r="C308" s="2113" t="s">
        <v>1818</v>
      </c>
      <c r="D308" s="434"/>
      <c r="E308" s="974" t="s">
        <v>333</v>
      </c>
      <c r="F308" s="66">
        <v>1</v>
      </c>
      <c r="G308" s="66">
        <f>IF(B308=LOOKUP($A308,Исх!B$29:B$41,Исх!C$29:C$41),LOOKUP($A308,Исх!B$29:B$41,Исх!AD$29:AD$41),0)</f>
        <v>0</v>
      </c>
      <c r="H308" s="26">
        <f t="shared" si="139"/>
        <v>0</v>
      </c>
      <c r="I308" s="1018">
        <v>0</v>
      </c>
      <c r="J308" s="1009">
        <f>H308*I308*Исх!$C$2</f>
        <v>0</v>
      </c>
      <c r="K308" s="1352">
        <f t="shared" si="132"/>
        <v>0</v>
      </c>
      <c r="L308" s="972"/>
      <c r="R308" s="32" t="str">
        <f t="shared" si="130"/>
        <v>заказчика</v>
      </c>
      <c r="S308" s="1341" t="e">
        <f>VLOOKUP(LEFT(B308,5)&amp;"*",$T$307:$T$311,1,0)</f>
        <v>#N/A</v>
      </c>
      <c r="T308" s="1340" t="s">
        <v>784</v>
      </c>
    </row>
    <row r="309" spans="1:20" hidden="1" x14ac:dyDescent="0.2">
      <c r="A309" s="50">
        <f t="shared" si="131"/>
        <v>119</v>
      </c>
      <c r="B309" s="997" t="s">
        <v>677</v>
      </c>
      <c r="C309" s="2113" t="s">
        <v>1818</v>
      </c>
      <c r="D309" s="434"/>
      <c r="E309" s="974" t="s">
        <v>333</v>
      </c>
      <c r="F309" s="66">
        <v>1</v>
      </c>
      <c r="G309" s="66">
        <f>IF(B309=LOOKUP($A309,Исх!B$29:B$41,Исх!C$29:C$41),LOOKUP($A309,Исх!B$29:B$41,Исх!AD$29:AD$41),0)</f>
        <v>0</v>
      </c>
      <c r="H309" s="26">
        <f t="shared" si="139"/>
        <v>0</v>
      </c>
      <c r="I309" s="1019">
        <v>0</v>
      </c>
      <c r="J309" s="1009">
        <f>H309*I309*Исх!$C$3</f>
        <v>0</v>
      </c>
      <c r="K309" s="1352">
        <f t="shared" si="132"/>
        <v>0</v>
      </c>
      <c r="L309" s="972"/>
      <c r="R309" s="32" t="str">
        <f t="shared" si="130"/>
        <v>заказчика</v>
      </c>
      <c r="S309" s="1341" t="e">
        <f>VLOOKUP(LEFT(B309,5)&amp;"*",$T$307:$T$311,1,0)</f>
        <v>#N/A</v>
      </c>
      <c r="T309" s="1340" t="s">
        <v>679</v>
      </c>
    </row>
    <row r="310" spans="1:20" hidden="1" x14ac:dyDescent="0.2">
      <c r="A310" s="50">
        <f t="shared" si="131"/>
        <v>120</v>
      </c>
      <c r="B310" s="997" t="s">
        <v>677</v>
      </c>
      <c r="C310" s="2113" t="s">
        <v>1818</v>
      </c>
      <c r="D310" s="434"/>
      <c r="E310" s="974" t="s">
        <v>333</v>
      </c>
      <c r="F310" s="66">
        <v>1</v>
      </c>
      <c r="G310" s="66">
        <f>IF(B310=LOOKUP($A310,Исх!B$29:B$41,Исх!C$29:C$41),LOOKUP($A310,Исх!B$29:B$41,Исх!AD$29:AD$41),0)</f>
        <v>0</v>
      </c>
      <c r="H310" s="26">
        <f t="shared" si="139"/>
        <v>0</v>
      </c>
      <c r="I310" s="985">
        <v>0</v>
      </c>
      <c r="J310" s="1009">
        <f t="shared" si="143"/>
        <v>0</v>
      </c>
      <c r="K310" s="1352">
        <f t="shared" si="132"/>
        <v>0</v>
      </c>
      <c r="L310" s="972"/>
      <c r="R310" s="32" t="str">
        <f t="shared" si="130"/>
        <v>заказчика</v>
      </c>
      <c r="S310" s="1341" t="e">
        <f>VLOOKUP(LEFT(B310,5)&amp;"*",$T$307:$T$311,1,0)</f>
        <v>#N/A</v>
      </c>
      <c r="T310" s="1340" t="s">
        <v>685</v>
      </c>
    </row>
    <row r="311" spans="1:20" hidden="1" x14ac:dyDescent="0.2">
      <c r="A311" s="50">
        <f t="shared" si="131"/>
        <v>121</v>
      </c>
      <c r="B311" s="997" t="s">
        <v>677</v>
      </c>
      <c r="C311" s="2113" t="s">
        <v>1818</v>
      </c>
      <c r="D311" s="434"/>
      <c r="E311" s="974" t="s">
        <v>333</v>
      </c>
      <c r="F311" s="66">
        <v>1</v>
      </c>
      <c r="G311" s="66">
        <f>IF(B311=LOOKUP($A311,Исх!B$29:B$41,Исх!C$29:C$41),LOOKUP($A311,Исх!B$29:B$41,Исх!AD$29:AD$41),0)</f>
        <v>0</v>
      </c>
      <c r="H311" s="26">
        <f t="shared" si="139"/>
        <v>0</v>
      </c>
      <c r="I311" s="985">
        <v>0</v>
      </c>
      <c r="J311" s="1009">
        <f t="shared" si="143"/>
        <v>0</v>
      </c>
      <c r="K311" s="1352">
        <f t="shared" si="132"/>
        <v>0</v>
      </c>
      <c r="L311" s="972"/>
      <c r="R311" s="32" t="str">
        <f t="shared" si="130"/>
        <v>заказчика</v>
      </c>
      <c r="S311" s="1341" t="e">
        <f>VLOOKUP(LEFT(B311,5)&amp;"*",$T$307:$T$311,1,0)</f>
        <v>#N/A</v>
      </c>
      <c r="T311" s="1340" t="s">
        <v>686</v>
      </c>
    </row>
    <row r="312" spans="1:20" hidden="1" x14ac:dyDescent="0.2">
      <c r="A312" s="50">
        <v>1000</v>
      </c>
      <c r="B312" s="747" t="s">
        <v>432</v>
      </c>
      <c r="C312" s="2113"/>
      <c r="D312" s="26" t="str">
        <f>LOOKUP($C312,Исх!$B$13:$B$25,Исх!$C$13:$C$25)</f>
        <v xml:space="preserve"> </v>
      </c>
      <c r="E312" s="748" t="s">
        <v>433</v>
      </c>
      <c r="F312" s="66"/>
      <c r="G312" s="458"/>
      <c r="H312" s="26"/>
      <c r="I312" s="171"/>
      <c r="J312" s="1009"/>
      <c r="K312" s="1352">
        <f t="shared" si="132"/>
        <v>0</v>
      </c>
      <c r="L312" s="367"/>
      <c r="R312" s="32" t="str">
        <f t="shared" si="130"/>
        <v>заказчика</v>
      </c>
      <c r="S312" s="754"/>
    </row>
    <row r="313" spans="1:20" x14ac:dyDescent="0.2">
      <c r="A313" s="293"/>
      <c r="B313" s="425" t="s">
        <v>189</v>
      </c>
      <c r="C313" s="2096"/>
      <c r="D313" s="405"/>
      <c r="E313" s="404"/>
      <c r="F313" s="406"/>
      <c r="G313" s="457">
        <f ca="1">SUM(G190:G312)</f>
        <v>705.97642500000006</v>
      </c>
      <c r="H313" s="445"/>
      <c r="I313" s="455"/>
      <c r="J313" s="1014">
        <f ca="1">SUM(J191:J312)</f>
        <v>23906.126691562502</v>
      </c>
      <c r="K313" s="1352">
        <f t="shared" ca="1" si="132"/>
        <v>1</v>
      </c>
      <c r="L313" s="279"/>
    </row>
    <row r="314" spans="1:20" ht="15" x14ac:dyDescent="0.25">
      <c r="A314" s="294"/>
      <c r="B314" s="435" t="s">
        <v>194</v>
      </c>
      <c r="C314" s="2114"/>
      <c r="D314" s="437"/>
      <c r="E314" s="436"/>
      <c r="F314" s="438"/>
      <c r="G314" s="439"/>
      <c r="H314" s="438"/>
      <c r="I314" s="440"/>
      <c r="J314" s="1015">
        <f ca="1">J69+J102+J189+J313</f>
        <v>34618.377442724501</v>
      </c>
      <c r="K314" s="1352">
        <f t="shared" ca="1" si="132"/>
        <v>1</v>
      </c>
      <c r="L314" s="279"/>
    </row>
    <row r="315" spans="1:20" x14ac:dyDescent="0.2">
      <c r="L315" s="240"/>
    </row>
    <row r="316" spans="1:20" x14ac:dyDescent="0.2">
      <c r="L316" s="240"/>
    </row>
    <row r="317" spans="1:20" x14ac:dyDescent="0.2">
      <c r="D317" s="441"/>
      <c r="E317" s="28"/>
      <c r="F317" s="441"/>
      <c r="G317" s="28"/>
      <c r="H317" s="441"/>
      <c r="I317" s="28"/>
      <c r="J317" s="441"/>
      <c r="K317" s="28"/>
      <c r="L317" s="441"/>
      <c r="M317" s="28"/>
      <c r="N317" s="441"/>
      <c r="P317" s="441"/>
      <c r="R317" s="441"/>
      <c r="T317" s="441"/>
    </row>
    <row r="318" spans="1:20" x14ac:dyDescent="0.2">
      <c r="L318" s="28"/>
    </row>
  </sheetData>
  <sheetProtection algorithmName="SHA-512" hashValue="el9ixKnbJSDTeJECHjnUB3J8k0rhnHHcrNWibUllczvyte/Y26/tdQ7G5zknijYa+ND66troCr1YarfY1FoI5w==" saltValue="0AJTDY01hQIfuY6VtspjxQ==" spinCount="100000" sheet="1" objects="1" scenarios="1" formatCells="0" formatColumns="0"/>
  <customSheetViews>
    <customSheetView guid="{DFC1AA5A-BB58-4864-A1E0-C1D77A337997}" hiddenRows="1" showRuler="0">
      <pane xSplit="1" ySplit="2" topLeftCell="B135" activePane="bottomRight" state="frozen"/>
      <selection pane="bottomRight" activeCell="G143" sqref="G143"/>
      <pageMargins left="0.59055118110236227" right="0.39370078740157483" top="0.98425196850393704" bottom="0.98425196850393704" header="0.51181102362204722" footer="0.51181102362204722"/>
      <pageSetup paperSize="9" scale="85" orientation="portrait" r:id="rId1"/>
      <headerFooter alignWithMargins="0"/>
    </customSheetView>
  </customSheetViews>
  <mergeCells count="7">
    <mergeCell ref="Z19:AA19"/>
    <mergeCell ref="W137:X137"/>
    <mergeCell ref="V121:V122"/>
    <mergeCell ref="W121:X121"/>
    <mergeCell ref="W135:X135"/>
    <mergeCell ref="W136:X136"/>
    <mergeCell ref="Y121:Z121"/>
  </mergeCells>
  <phoneticPr fontId="0" type="noConversion"/>
  <conditionalFormatting sqref="B58:B59 B70:B82 B312 B63:B68 B172:B197 B96:B168 B233:B238 B229 B205:B224 B86:B89 B91 B93:B94 B289:B307 B246:B287">
    <cfRule type="expression" dxfId="463" priority="511" stopIfTrue="1">
      <formula>$G58+$J58</formula>
    </cfRule>
  </conditionalFormatting>
  <conditionalFormatting sqref="B265:B266">
    <cfRule type="expression" dxfId="462" priority="512" stopIfTrue="1">
      <formula>$G262+$J262</formula>
    </cfRule>
  </conditionalFormatting>
  <conditionalFormatting sqref="B210:B211">
    <cfRule type="expression" dxfId="461" priority="510" stopIfTrue="1">
      <formula>$G210+$J210</formula>
    </cfRule>
  </conditionalFormatting>
  <conditionalFormatting sqref="B210:B211">
    <cfRule type="expression" dxfId="460" priority="509" stopIfTrue="1">
      <formula>$G210+$J210</formula>
    </cfRule>
  </conditionalFormatting>
  <conditionalFormatting sqref="B207">
    <cfRule type="expression" dxfId="459" priority="508" stopIfTrue="1">
      <formula>$G207+$J207</formula>
    </cfRule>
  </conditionalFormatting>
  <conditionalFormatting sqref="B207">
    <cfRule type="expression" dxfId="458" priority="507" stopIfTrue="1">
      <formula>$G207+$J207</formula>
    </cfRule>
  </conditionalFormatting>
  <conditionalFormatting sqref="B207">
    <cfRule type="expression" dxfId="457" priority="506" stopIfTrue="1">
      <formula>$G207+$J207</formula>
    </cfRule>
  </conditionalFormatting>
  <conditionalFormatting sqref="B207">
    <cfRule type="expression" dxfId="456" priority="505" stopIfTrue="1">
      <formula>$G207+$J207</formula>
    </cfRule>
  </conditionalFormatting>
  <conditionalFormatting sqref="B91 B93:B94">
    <cfRule type="expression" dxfId="455" priority="504" stopIfTrue="1">
      <formula>$G91+$J91</formula>
    </cfRule>
  </conditionalFormatting>
  <conditionalFormatting sqref="B210:B211">
    <cfRule type="expression" dxfId="454" priority="503" stopIfTrue="1">
      <formula>$G210+$J210</formula>
    </cfRule>
  </conditionalFormatting>
  <conditionalFormatting sqref="B210:B211">
    <cfRule type="expression" dxfId="453" priority="502" stopIfTrue="1">
      <formula>$G210+$J210</formula>
    </cfRule>
  </conditionalFormatting>
  <conditionalFormatting sqref="B123">
    <cfRule type="expression" dxfId="452" priority="501" stopIfTrue="1">
      <formula>$G123+$J123</formula>
    </cfRule>
  </conditionalFormatting>
  <conditionalFormatting sqref="B265:B266">
    <cfRule type="expression" dxfId="451" priority="499" stopIfTrue="1">
      <formula>$G262+$J262</formula>
    </cfRule>
  </conditionalFormatting>
  <conditionalFormatting sqref="B210:B211">
    <cfRule type="expression" dxfId="450" priority="498" stopIfTrue="1">
      <formula>$G210+$J210</formula>
    </cfRule>
  </conditionalFormatting>
  <conditionalFormatting sqref="B210:B211">
    <cfRule type="expression" dxfId="449" priority="497" stopIfTrue="1">
      <formula>$G210+$J210</formula>
    </cfRule>
  </conditionalFormatting>
  <conditionalFormatting sqref="B210:B211">
    <cfRule type="expression" dxfId="448" priority="496" stopIfTrue="1">
      <formula>$G210+$J210</formula>
    </cfRule>
  </conditionalFormatting>
  <conditionalFormatting sqref="B210:B211">
    <cfRule type="expression" dxfId="447" priority="495" stopIfTrue="1">
      <formula>$G210+$J210</formula>
    </cfRule>
  </conditionalFormatting>
  <conditionalFormatting sqref="B269">
    <cfRule type="expression" dxfId="446" priority="514" stopIfTrue="1">
      <formula>$G265+$J265</formula>
    </cfRule>
  </conditionalFormatting>
  <conditionalFormatting sqref="B266">
    <cfRule type="expression" dxfId="445" priority="494" stopIfTrue="1">
      <formula>$G266+$J266</formula>
    </cfRule>
  </conditionalFormatting>
  <conditionalFormatting sqref="B266">
    <cfRule type="expression" dxfId="444" priority="493" stopIfTrue="1">
      <formula>$G266+$J266</formula>
    </cfRule>
  </conditionalFormatting>
  <conditionalFormatting sqref="B135:B153">
    <cfRule type="expression" dxfId="443" priority="489" stopIfTrue="1">
      <formula>$G135+$J135</formula>
    </cfRule>
  </conditionalFormatting>
  <conditionalFormatting sqref="B122">
    <cfRule type="expression" dxfId="442" priority="488" stopIfTrue="1">
      <formula>$G122+$J122</formula>
    </cfRule>
  </conditionalFormatting>
  <conditionalFormatting sqref="B128">
    <cfRule type="expression" dxfId="441" priority="487" stopIfTrue="1">
      <formula>$G128+$J128</formula>
    </cfRule>
  </conditionalFormatting>
  <conditionalFormatting sqref="B121">
    <cfRule type="expression" dxfId="440" priority="486" stopIfTrue="1">
      <formula>$G121+$J121</formula>
    </cfRule>
  </conditionalFormatting>
  <conditionalFormatting sqref="B130">
    <cfRule type="expression" dxfId="439" priority="485" stopIfTrue="1">
      <formula>$G130+$J130</formula>
    </cfRule>
  </conditionalFormatting>
  <conditionalFormatting sqref="B129">
    <cfRule type="expression" dxfId="438" priority="484" stopIfTrue="1">
      <formula>$G129+$J129</formula>
    </cfRule>
  </conditionalFormatting>
  <conditionalFormatting sqref="B131">
    <cfRule type="expression" dxfId="437" priority="483" stopIfTrue="1">
      <formula>$G131+$J131</formula>
    </cfRule>
  </conditionalFormatting>
  <conditionalFormatting sqref="B273:B278">
    <cfRule type="expression" dxfId="436" priority="482" stopIfTrue="1">
      <formula>$G273+$J273</formula>
    </cfRule>
  </conditionalFormatting>
  <conditionalFormatting sqref="B273:B278">
    <cfRule type="expression" dxfId="435" priority="481" stopIfTrue="1">
      <formula>$G273+$J273</formula>
    </cfRule>
  </conditionalFormatting>
  <conditionalFormatting sqref="B273:B278">
    <cfRule type="expression" dxfId="434" priority="480" stopIfTrue="1">
      <formula>$G273+$J273</formula>
    </cfRule>
  </conditionalFormatting>
  <conditionalFormatting sqref="B273:B278">
    <cfRule type="expression" dxfId="433" priority="479" stopIfTrue="1">
      <formula>$G273+$J273</formula>
    </cfRule>
  </conditionalFormatting>
  <conditionalFormatting sqref="B273:B278">
    <cfRule type="expression" dxfId="432" priority="478" stopIfTrue="1">
      <formula>$G273+$J273</formula>
    </cfRule>
  </conditionalFormatting>
  <conditionalFormatting sqref="B273:B278">
    <cfRule type="expression" dxfId="431" priority="477" stopIfTrue="1">
      <formula>$G273+$J273</formula>
    </cfRule>
  </conditionalFormatting>
  <conditionalFormatting sqref="B283">
    <cfRule type="expression" dxfId="430" priority="476" stopIfTrue="1">
      <formula>$G283+$J283</formula>
    </cfRule>
  </conditionalFormatting>
  <conditionalFormatting sqref="B283">
    <cfRule type="expression" dxfId="429" priority="475" stopIfTrue="1">
      <formula>$G283+$J283</formula>
    </cfRule>
  </conditionalFormatting>
  <conditionalFormatting sqref="B283">
    <cfRule type="expression" dxfId="428" priority="474" stopIfTrue="1">
      <formula>$G283+$J283</formula>
    </cfRule>
  </conditionalFormatting>
  <conditionalFormatting sqref="B283">
    <cfRule type="expression" dxfId="427" priority="467" stopIfTrue="1">
      <formula>$G283+$J283</formula>
    </cfRule>
  </conditionalFormatting>
  <conditionalFormatting sqref="B283">
    <cfRule type="expression" dxfId="426" priority="466" stopIfTrue="1">
      <formula>$G283+$J283</formula>
    </cfRule>
  </conditionalFormatting>
  <conditionalFormatting sqref="B283">
    <cfRule type="expression" dxfId="425" priority="465" stopIfTrue="1">
      <formula>$G283+$J283</formula>
    </cfRule>
  </conditionalFormatting>
  <conditionalFormatting sqref="B63:B67 B20:B23 B31:B57">
    <cfRule type="expression" dxfId="424" priority="461" stopIfTrue="1">
      <formula>#REF!+$G20</formula>
    </cfRule>
  </conditionalFormatting>
  <conditionalFormatting sqref="B63:B67">
    <cfRule type="expression" dxfId="423" priority="460" stopIfTrue="1">
      <formula>$G63+$J63</formula>
    </cfRule>
  </conditionalFormatting>
  <conditionalFormatting sqref="B63:B66">
    <cfRule type="expression" dxfId="422" priority="459" stopIfTrue="1">
      <formula>#REF!+$G63</formula>
    </cfRule>
  </conditionalFormatting>
  <conditionalFormatting sqref="B67">
    <cfRule type="expression" dxfId="421" priority="458" stopIfTrue="1">
      <formula>#REF!+$G67</formula>
    </cfRule>
  </conditionalFormatting>
  <conditionalFormatting sqref="B63">
    <cfRule type="expression" dxfId="420" priority="457" stopIfTrue="1">
      <formula>$G63+$J63</formula>
    </cfRule>
  </conditionalFormatting>
  <conditionalFormatting sqref="B63">
    <cfRule type="expression" dxfId="419" priority="456" stopIfTrue="1">
      <formula>#REF!+$G63</formula>
    </cfRule>
  </conditionalFormatting>
  <conditionalFormatting sqref="B73">
    <cfRule type="expression" dxfId="418" priority="455" stopIfTrue="1">
      <formula>$G73+$J73</formula>
    </cfRule>
  </conditionalFormatting>
  <conditionalFormatting sqref="B259:B260">
    <cfRule type="expression" dxfId="417" priority="454" stopIfTrue="1">
      <formula>$G257+$J257</formula>
    </cfRule>
  </conditionalFormatting>
  <conditionalFormatting sqref="B259:B260">
    <cfRule type="expression" dxfId="416" priority="453" stopIfTrue="1">
      <formula>$G257+$J257</formula>
    </cfRule>
  </conditionalFormatting>
  <conditionalFormatting sqref="B263">
    <cfRule type="expression" dxfId="415" priority="452" stopIfTrue="1">
      <formula>$G259+$J259</formula>
    </cfRule>
  </conditionalFormatting>
  <conditionalFormatting sqref="B260">
    <cfRule type="expression" dxfId="414" priority="451" stopIfTrue="1">
      <formula>$G260+$J260</formula>
    </cfRule>
  </conditionalFormatting>
  <conditionalFormatting sqref="B260">
    <cfRule type="expression" dxfId="413" priority="450" stopIfTrue="1">
      <formula>$G260+$J260</formula>
    </cfRule>
  </conditionalFormatting>
  <conditionalFormatting sqref="B267:B272">
    <cfRule type="expression" dxfId="412" priority="449" stopIfTrue="1">
      <formula>$G267+$J267</formula>
    </cfRule>
  </conditionalFormatting>
  <conditionalFormatting sqref="B267:B272">
    <cfRule type="expression" dxfId="411" priority="448" stopIfTrue="1">
      <formula>$G267+$J267</formula>
    </cfRule>
  </conditionalFormatting>
  <conditionalFormatting sqref="B267:B272">
    <cfRule type="expression" dxfId="410" priority="447" stopIfTrue="1">
      <formula>$G267+$J267</formula>
    </cfRule>
  </conditionalFormatting>
  <conditionalFormatting sqref="B267:B272">
    <cfRule type="expression" dxfId="409" priority="446" stopIfTrue="1">
      <formula>$G267+$J267</formula>
    </cfRule>
  </conditionalFormatting>
  <conditionalFormatting sqref="B267:B272">
    <cfRule type="expression" dxfId="408" priority="445" stopIfTrue="1">
      <formula>$G267+$J267</formula>
    </cfRule>
  </conditionalFormatting>
  <conditionalFormatting sqref="B267:B272">
    <cfRule type="expression" dxfId="407" priority="444" stopIfTrue="1">
      <formula>$G267+$J267</formula>
    </cfRule>
  </conditionalFormatting>
  <conditionalFormatting sqref="B277">
    <cfRule type="expression" dxfId="406" priority="443" stopIfTrue="1">
      <formula>$G277+$J277</formula>
    </cfRule>
  </conditionalFormatting>
  <conditionalFormatting sqref="B277">
    <cfRule type="expression" dxfId="405" priority="442" stopIfTrue="1">
      <formula>$G277+$J277</formula>
    </cfRule>
  </conditionalFormatting>
  <conditionalFormatting sqref="B277">
    <cfRule type="expression" dxfId="404" priority="441" stopIfTrue="1">
      <formula>$G277+$J277</formula>
    </cfRule>
  </conditionalFormatting>
  <conditionalFormatting sqref="B277">
    <cfRule type="expression" dxfId="403" priority="440" stopIfTrue="1">
      <formula>$G277+$J277</formula>
    </cfRule>
  </conditionalFormatting>
  <conditionalFormatting sqref="B277">
    <cfRule type="expression" dxfId="402" priority="439" stopIfTrue="1">
      <formula>$G277+$J277</formula>
    </cfRule>
  </conditionalFormatting>
  <conditionalFormatting sqref="B277">
    <cfRule type="expression" dxfId="401" priority="438" stopIfTrue="1">
      <formula>$G277+$J277</formula>
    </cfRule>
  </conditionalFormatting>
  <conditionalFormatting sqref="B307">
    <cfRule type="expression" dxfId="400" priority="437" stopIfTrue="1">
      <formula>$G307+$J307</formula>
    </cfRule>
  </conditionalFormatting>
  <conditionalFormatting sqref="B307">
    <cfRule type="expression" dxfId="399" priority="436" stopIfTrue="1">
      <formula>$G307+$J307</formula>
    </cfRule>
  </conditionalFormatting>
  <conditionalFormatting sqref="B307">
    <cfRule type="expression" dxfId="398" priority="435" stopIfTrue="1">
      <formula>$G307+$J307</formula>
    </cfRule>
  </conditionalFormatting>
  <conditionalFormatting sqref="B7:C7 B312:C312 B19:C21 B68:C83 B187:C192 B96:C121 B233:B238 B229 B205:B224 B14:C15 B86:C89 C84 B91:C91 B93:C94 B289:B307 B246:B287 B31:B59 B22:B23 B63:B67 C22:C67 B122:B168 B172:B186 C122:C186 B193:B197 C193:C311">
    <cfRule type="expression" dxfId="397" priority="433" stopIfTrue="1">
      <formula>$G7&gt;0</formula>
    </cfRule>
  </conditionalFormatting>
  <conditionalFormatting sqref="B15">
    <cfRule type="expression" dxfId="396" priority="432" stopIfTrue="1">
      <formula>#REF!+$G15</formula>
    </cfRule>
  </conditionalFormatting>
  <conditionalFormatting sqref="B58:B59 B63:B67">
    <cfRule type="expression" dxfId="395" priority="431" stopIfTrue="1">
      <formula>$G58+$J58</formula>
    </cfRule>
  </conditionalFormatting>
  <conditionalFormatting sqref="B63:B67">
    <cfRule type="expression" dxfId="394" priority="429" stopIfTrue="1">
      <formula>#REF!+$G63</formula>
    </cfRule>
  </conditionalFormatting>
  <conditionalFormatting sqref="B63:B67">
    <cfRule type="expression" dxfId="393" priority="428" stopIfTrue="1">
      <formula>$G63+$J63</formula>
    </cfRule>
  </conditionalFormatting>
  <conditionalFormatting sqref="B63:B66">
    <cfRule type="expression" dxfId="392" priority="427" stopIfTrue="1">
      <formula>#REF!+$G63</formula>
    </cfRule>
  </conditionalFormatting>
  <conditionalFormatting sqref="B67">
    <cfRule type="expression" dxfId="391" priority="426" stopIfTrue="1">
      <formula>#REF!+$G67</formula>
    </cfRule>
  </conditionalFormatting>
  <conditionalFormatting sqref="B63">
    <cfRule type="expression" dxfId="390" priority="425" stopIfTrue="1">
      <formula>$G63+$J63</formula>
    </cfRule>
  </conditionalFormatting>
  <conditionalFormatting sqref="B63">
    <cfRule type="expression" dxfId="389" priority="424" stopIfTrue="1">
      <formula>#REF!+$G63</formula>
    </cfRule>
  </conditionalFormatting>
  <conditionalFormatting sqref="B96:B101 B86:B89 B91 B93:B94">
    <cfRule type="expression" dxfId="388" priority="423" stopIfTrue="1">
      <formula>$G86+$J86</formula>
    </cfRule>
  </conditionalFormatting>
  <conditionalFormatting sqref="B91 B93:B94">
    <cfRule type="expression" dxfId="387" priority="422" stopIfTrue="1">
      <formula>$G91+$J91</formula>
    </cfRule>
  </conditionalFormatting>
  <conditionalFormatting sqref="B123">
    <cfRule type="expression" dxfId="386" priority="420" stopIfTrue="1">
      <formula>$G123+$J123</formula>
    </cfRule>
  </conditionalFormatting>
  <conditionalFormatting sqref="B135:B153">
    <cfRule type="expression" dxfId="385" priority="418" stopIfTrue="1">
      <formula>$G135+$J135</formula>
    </cfRule>
  </conditionalFormatting>
  <conditionalFormatting sqref="B122">
    <cfRule type="expression" dxfId="384" priority="417" stopIfTrue="1">
      <formula>$G122+$J122</formula>
    </cfRule>
  </conditionalFormatting>
  <conditionalFormatting sqref="B128">
    <cfRule type="expression" dxfId="383" priority="416" stopIfTrue="1">
      <formula>$G128+$J128</formula>
    </cfRule>
  </conditionalFormatting>
  <conditionalFormatting sqref="B121">
    <cfRule type="expression" dxfId="382" priority="415" stopIfTrue="1">
      <formula>$G121+$J121</formula>
    </cfRule>
  </conditionalFormatting>
  <conditionalFormatting sqref="B130">
    <cfRule type="expression" dxfId="381" priority="414" stopIfTrue="1">
      <formula>$G130+$J130</formula>
    </cfRule>
  </conditionalFormatting>
  <conditionalFormatting sqref="B129">
    <cfRule type="expression" dxfId="380" priority="413" stopIfTrue="1">
      <formula>$G129+$J129</formula>
    </cfRule>
  </conditionalFormatting>
  <conditionalFormatting sqref="B131">
    <cfRule type="expression" dxfId="379" priority="412" stopIfTrue="1">
      <formula>$G131+$J131</formula>
    </cfRule>
  </conditionalFormatting>
  <conditionalFormatting sqref="B191:B197 B233:B238 B205:B224">
    <cfRule type="expression" dxfId="378" priority="411" stopIfTrue="1">
      <formula>$G191+$J191</formula>
    </cfRule>
  </conditionalFormatting>
  <conditionalFormatting sqref="B210:B211">
    <cfRule type="expression" dxfId="377" priority="410" stopIfTrue="1">
      <formula>$G210+$J210</formula>
    </cfRule>
  </conditionalFormatting>
  <conditionalFormatting sqref="B210:B211">
    <cfRule type="expression" dxfId="376" priority="409" stopIfTrue="1">
      <formula>$G210+$J210</formula>
    </cfRule>
  </conditionalFormatting>
  <conditionalFormatting sqref="B207">
    <cfRule type="expression" dxfId="375" priority="408" stopIfTrue="1">
      <formula>$G207+$J207</formula>
    </cfRule>
  </conditionalFormatting>
  <conditionalFormatting sqref="B207">
    <cfRule type="expression" dxfId="374" priority="407" stopIfTrue="1">
      <formula>$G207+$J207</formula>
    </cfRule>
  </conditionalFormatting>
  <conditionalFormatting sqref="B207">
    <cfRule type="expression" dxfId="373" priority="406" stopIfTrue="1">
      <formula>$G207+$J207</formula>
    </cfRule>
  </conditionalFormatting>
  <conditionalFormatting sqref="B207">
    <cfRule type="expression" dxfId="372" priority="405" stopIfTrue="1">
      <formula>$G207+$J207</formula>
    </cfRule>
  </conditionalFormatting>
  <conditionalFormatting sqref="B210:B211">
    <cfRule type="expression" dxfId="371" priority="404" stopIfTrue="1">
      <formula>$G210+$J210</formula>
    </cfRule>
  </conditionalFormatting>
  <conditionalFormatting sqref="B210:B211">
    <cfRule type="expression" dxfId="370" priority="403" stopIfTrue="1">
      <formula>$G210+$J210</formula>
    </cfRule>
  </conditionalFormatting>
  <conditionalFormatting sqref="B210:B211">
    <cfRule type="expression" dxfId="369" priority="402" stopIfTrue="1">
      <formula>$G210+$J210</formula>
    </cfRule>
  </conditionalFormatting>
  <conditionalFormatting sqref="B210:B211">
    <cfRule type="expression" dxfId="368" priority="401" stopIfTrue="1">
      <formula>$G210+$J210</formula>
    </cfRule>
  </conditionalFormatting>
  <conditionalFormatting sqref="B210:B211">
    <cfRule type="expression" dxfId="367" priority="400" stopIfTrue="1">
      <formula>$G210+$J210</formula>
    </cfRule>
  </conditionalFormatting>
  <conditionalFormatting sqref="B210:B211">
    <cfRule type="expression" dxfId="366" priority="399" stopIfTrue="1">
      <formula>$G210+$J210</formula>
    </cfRule>
  </conditionalFormatting>
  <conditionalFormatting sqref="B219:B221">
    <cfRule type="expression" dxfId="365" priority="398" stopIfTrue="1">
      <formula>$G219+$J219</formula>
    </cfRule>
  </conditionalFormatting>
  <conditionalFormatting sqref="B222:B224">
    <cfRule type="expression" dxfId="364" priority="397" stopIfTrue="1">
      <formula>$G222+$J222</formula>
    </cfRule>
  </conditionalFormatting>
  <conditionalFormatting sqref="B277:B278">
    <cfRule type="expression" dxfId="363" priority="364" stopIfTrue="1">
      <formula>$G277+$J277</formula>
    </cfRule>
  </conditionalFormatting>
  <conditionalFormatting sqref="B233:B238">
    <cfRule type="expression" dxfId="362" priority="395" stopIfTrue="1">
      <formula>$G233+$J233</formula>
    </cfRule>
  </conditionalFormatting>
  <conditionalFormatting sqref="B265:B266">
    <cfRule type="expression" dxfId="361" priority="393" stopIfTrue="1">
      <formula>$G262+$J262</formula>
    </cfRule>
  </conditionalFormatting>
  <conditionalFormatting sqref="B265:B266">
    <cfRule type="expression" dxfId="360" priority="392" stopIfTrue="1">
      <formula>$G262+$J262</formula>
    </cfRule>
  </conditionalFormatting>
  <conditionalFormatting sqref="B269">
    <cfRule type="expression" dxfId="359" priority="391" stopIfTrue="1">
      <formula>$G265+$J265</formula>
    </cfRule>
  </conditionalFormatting>
  <conditionalFormatting sqref="B266">
    <cfRule type="expression" dxfId="358" priority="390" stopIfTrue="1">
      <formula>$G266+$J266</formula>
    </cfRule>
  </conditionalFormatting>
  <conditionalFormatting sqref="B266">
    <cfRule type="expression" dxfId="357" priority="389" stopIfTrue="1">
      <formula>$G266+$J266</formula>
    </cfRule>
  </conditionalFormatting>
  <conditionalFormatting sqref="B273:B279">
    <cfRule type="expression" dxfId="356" priority="388" stopIfTrue="1">
      <formula>$G273+$J273</formula>
    </cfRule>
  </conditionalFormatting>
  <conditionalFormatting sqref="B273:B279">
    <cfRule type="expression" dxfId="355" priority="387" stopIfTrue="1">
      <formula>$G273+$J273</formula>
    </cfRule>
  </conditionalFormatting>
  <conditionalFormatting sqref="B273:B279">
    <cfRule type="expression" dxfId="354" priority="386" stopIfTrue="1">
      <formula>$G273+$J273</formula>
    </cfRule>
  </conditionalFormatting>
  <conditionalFormatting sqref="B273:B279">
    <cfRule type="expression" dxfId="353" priority="385" stopIfTrue="1">
      <formula>$G273+$J273</formula>
    </cfRule>
  </conditionalFormatting>
  <conditionalFormatting sqref="B273:B279">
    <cfRule type="expression" dxfId="352" priority="384" stopIfTrue="1">
      <formula>$G273+$J273</formula>
    </cfRule>
  </conditionalFormatting>
  <conditionalFormatting sqref="B273:B279">
    <cfRule type="expression" dxfId="351" priority="383" stopIfTrue="1">
      <formula>$G273+$J273</formula>
    </cfRule>
  </conditionalFormatting>
  <conditionalFormatting sqref="B282">
    <cfRule type="expression" dxfId="350" priority="382" stopIfTrue="1">
      <formula>$G282+$J282</formula>
    </cfRule>
  </conditionalFormatting>
  <conditionalFormatting sqref="B282">
    <cfRule type="expression" dxfId="349" priority="381" stopIfTrue="1">
      <formula>$G282+$J282</formula>
    </cfRule>
  </conditionalFormatting>
  <conditionalFormatting sqref="B282">
    <cfRule type="expression" dxfId="348" priority="380" stopIfTrue="1">
      <formula>$G282+$J282</formula>
    </cfRule>
  </conditionalFormatting>
  <conditionalFormatting sqref="B282">
    <cfRule type="expression" dxfId="347" priority="379" stopIfTrue="1">
      <formula>$G282+$J282</formula>
    </cfRule>
  </conditionalFormatting>
  <conditionalFormatting sqref="B282">
    <cfRule type="expression" dxfId="346" priority="378" stopIfTrue="1">
      <formula>$G282+$J282</formula>
    </cfRule>
  </conditionalFormatting>
  <conditionalFormatting sqref="B282">
    <cfRule type="expression" dxfId="345" priority="377" stopIfTrue="1">
      <formula>$G282+$J282</formula>
    </cfRule>
  </conditionalFormatting>
  <conditionalFormatting sqref="B259:B260">
    <cfRule type="expression" dxfId="344" priority="376" stopIfTrue="1">
      <formula>$G257+$J257</formula>
    </cfRule>
  </conditionalFormatting>
  <conditionalFormatting sqref="B259:B260">
    <cfRule type="expression" dxfId="343" priority="375" stopIfTrue="1">
      <formula>$G257+$J257</formula>
    </cfRule>
  </conditionalFormatting>
  <conditionalFormatting sqref="B263">
    <cfRule type="expression" dxfId="342" priority="374" stopIfTrue="1">
      <formula>$G259+$J259</formula>
    </cfRule>
  </conditionalFormatting>
  <conditionalFormatting sqref="B260">
    <cfRule type="expression" dxfId="341" priority="373" stopIfTrue="1">
      <formula>$G260+$J260</formula>
    </cfRule>
  </conditionalFormatting>
  <conditionalFormatting sqref="B260">
    <cfRule type="expression" dxfId="340" priority="372" stopIfTrue="1">
      <formula>$G260+$J260</formula>
    </cfRule>
  </conditionalFormatting>
  <conditionalFormatting sqref="B267:B272">
    <cfRule type="expression" dxfId="339" priority="371" stopIfTrue="1">
      <formula>$G267+$J267</formula>
    </cfRule>
  </conditionalFormatting>
  <conditionalFormatting sqref="B267:B272">
    <cfRule type="expression" dxfId="338" priority="370" stopIfTrue="1">
      <formula>$G267+$J267</formula>
    </cfRule>
  </conditionalFormatting>
  <conditionalFormatting sqref="B267:B272">
    <cfRule type="expression" dxfId="337" priority="369" stopIfTrue="1">
      <formula>$G267+$J267</formula>
    </cfRule>
  </conditionalFormatting>
  <conditionalFormatting sqref="B267:B272">
    <cfRule type="expression" dxfId="336" priority="368" stopIfTrue="1">
      <formula>$G267+$J267</formula>
    </cfRule>
  </conditionalFormatting>
  <conditionalFormatting sqref="B267:B272">
    <cfRule type="expression" dxfId="335" priority="367" stopIfTrue="1">
      <formula>$G267+$J267</formula>
    </cfRule>
  </conditionalFormatting>
  <conditionalFormatting sqref="B267:B272">
    <cfRule type="expression" dxfId="334" priority="366" stopIfTrue="1">
      <formula>$G267+$J267</formula>
    </cfRule>
  </conditionalFormatting>
  <conditionalFormatting sqref="B277:B278">
    <cfRule type="expression" dxfId="333" priority="365" stopIfTrue="1">
      <formula>$G277+$J277</formula>
    </cfRule>
  </conditionalFormatting>
  <conditionalFormatting sqref="B277:B278">
    <cfRule type="expression" dxfId="332" priority="363" stopIfTrue="1">
      <formula>$G277+$J277</formula>
    </cfRule>
  </conditionalFormatting>
  <conditionalFormatting sqref="B277:B278">
    <cfRule type="expression" dxfId="331" priority="362" stopIfTrue="1">
      <formula>$G277+$J277</formula>
    </cfRule>
  </conditionalFormatting>
  <conditionalFormatting sqref="B277:B278">
    <cfRule type="expression" dxfId="330" priority="361" stopIfTrue="1">
      <formula>$G277+$J277</formula>
    </cfRule>
  </conditionalFormatting>
  <conditionalFormatting sqref="B277:B278">
    <cfRule type="expression" dxfId="329" priority="360" stopIfTrue="1">
      <formula>$G277+$J277</formula>
    </cfRule>
  </conditionalFormatting>
  <conditionalFormatting sqref="B307">
    <cfRule type="expression" dxfId="328" priority="359" stopIfTrue="1">
      <formula>$G307+$J307</formula>
    </cfRule>
  </conditionalFormatting>
  <conditionalFormatting sqref="B307">
    <cfRule type="expression" dxfId="327" priority="358" stopIfTrue="1">
      <formula>$G307+$J307</formula>
    </cfRule>
  </conditionalFormatting>
  <conditionalFormatting sqref="B307">
    <cfRule type="expression" dxfId="326" priority="357" stopIfTrue="1">
      <formula>$G307+$J307</formula>
    </cfRule>
  </conditionalFormatting>
  <conditionalFormatting sqref="B213:B215">
    <cfRule type="expression" dxfId="325" priority="355" stopIfTrue="1">
      <formula>$G213+$J213</formula>
    </cfRule>
  </conditionalFormatting>
  <conditionalFormatting sqref="B216:B218">
    <cfRule type="expression" dxfId="324" priority="354" stopIfTrue="1">
      <formula>$G216+$J216</formula>
    </cfRule>
  </conditionalFormatting>
  <conditionalFormatting sqref="B213:B224">
    <cfRule type="expression" dxfId="323" priority="353" stopIfTrue="1">
      <formula>$G213+$J213</formula>
    </cfRule>
  </conditionalFormatting>
  <conditionalFormatting sqref="B219:B221">
    <cfRule type="expression" dxfId="322" priority="352" stopIfTrue="1">
      <formula>$G219+$J219</formula>
    </cfRule>
  </conditionalFormatting>
  <conditionalFormatting sqref="B222:B224">
    <cfRule type="expression" dxfId="321" priority="351" stopIfTrue="1">
      <formula>$G222+$J222</formula>
    </cfRule>
  </conditionalFormatting>
  <conditionalFormatting sqref="B236:B238">
    <cfRule type="expression" dxfId="320" priority="318" stopIfTrue="1">
      <formula>$G236+$J236</formula>
    </cfRule>
  </conditionalFormatting>
  <conditionalFormatting sqref="B213:B215">
    <cfRule type="expression" dxfId="319" priority="348" stopIfTrue="1">
      <formula>$G213+$J213</formula>
    </cfRule>
  </conditionalFormatting>
  <conditionalFormatting sqref="B216:B218">
    <cfRule type="expression" dxfId="318" priority="347" stopIfTrue="1">
      <formula>$G216+$J216</formula>
    </cfRule>
  </conditionalFormatting>
  <conditionalFormatting sqref="B213:B224">
    <cfRule type="expression" dxfId="317" priority="346" stopIfTrue="1">
      <formula>$G213+$J213</formula>
    </cfRule>
  </conditionalFormatting>
  <conditionalFormatting sqref="B213:B224">
    <cfRule type="expression" dxfId="316" priority="345" stopIfTrue="1">
      <formula>$G213+$J213</formula>
    </cfRule>
  </conditionalFormatting>
  <conditionalFormatting sqref="B219:B221">
    <cfRule type="expression" dxfId="315" priority="344" stopIfTrue="1">
      <formula>$G219+$J219</formula>
    </cfRule>
  </conditionalFormatting>
  <conditionalFormatting sqref="B222:B224">
    <cfRule type="expression" dxfId="314" priority="343" stopIfTrue="1">
      <formula>$G222+$J222</formula>
    </cfRule>
  </conditionalFormatting>
  <conditionalFormatting sqref="B213:B215">
    <cfRule type="expression" dxfId="313" priority="340" stopIfTrue="1">
      <formula>$G213+$J213</formula>
    </cfRule>
  </conditionalFormatting>
  <conditionalFormatting sqref="B216:B218">
    <cfRule type="expression" dxfId="312" priority="339" stopIfTrue="1">
      <formula>$G216+$J216</formula>
    </cfRule>
  </conditionalFormatting>
  <conditionalFormatting sqref="B213:B215">
    <cfRule type="expression" dxfId="311" priority="338" stopIfTrue="1">
      <formula>$G213+$J213</formula>
    </cfRule>
  </conditionalFormatting>
  <conditionalFormatting sqref="B213:B215">
    <cfRule type="expression" dxfId="310" priority="337" stopIfTrue="1">
      <formula>$G213+$J213</formula>
    </cfRule>
  </conditionalFormatting>
  <conditionalFormatting sqref="B213:B215">
    <cfRule type="expression" dxfId="309" priority="336" stopIfTrue="1">
      <formula>$G213+$J213</formula>
    </cfRule>
  </conditionalFormatting>
  <conditionalFormatting sqref="B216:B218">
    <cfRule type="expression" dxfId="308" priority="335" stopIfTrue="1">
      <formula>$G216+$J216</formula>
    </cfRule>
  </conditionalFormatting>
  <conditionalFormatting sqref="B216:B218">
    <cfRule type="expression" dxfId="307" priority="334" stopIfTrue="1">
      <formula>$G216+$J216</formula>
    </cfRule>
  </conditionalFormatting>
  <conditionalFormatting sqref="B216:B218">
    <cfRule type="expression" dxfId="306" priority="333" stopIfTrue="1">
      <formula>$G216+$J216</formula>
    </cfRule>
  </conditionalFormatting>
  <conditionalFormatting sqref="B219:B221">
    <cfRule type="expression" dxfId="305" priority="332" stopIfTrue="1">
      <formula>$G219+$J219</formula>
    </cfRule>
  </conditionalFormatting>
  <conditionalFormatting sqref="B219:B221">
    <cfRule type="expression" dxfId="304" priority="331" stopIfTrue="1">
      <formula>$G219+$J219</formula>
    </cfRule>
  </conditionalFormatting>
  <conditionalFormatting sqref="B219:B221">
    <cfRule type="expression" dxfId="303" priority="330" stopIfTrue="1">
      <formula>$G219+$J219</formula>
    </cfRule>
  </conditionalFormatting>
  <conditionalFormatting sqref="B222:B224">
    <cfRule type="expression" dxfId="302" priority="329" stopIfTrue="1">
      <formula>$G222+$J222</formula>
    </cfRule>
  </conditionalFormatting>
  <conditionalFormatting sqref="B222:B224">
    <cfRule type="expression" dxfId="301" priority="328" stopIfTrue="1">
      <formula>$G222+$J222</formula>
    </cfRule>
  </conditionalFormatting>
  <conditionalFormatting sqref="B222:B224">
    <cfRule type="expression" dxfId="300" priority="327" stopIfTrue="1">
      <formula>$G222+$J222</formula>
    </cfRule>
  </conditionalFormatting>
  <conditionalFormatting sqref="B63">
    <cfRule type="expression" dxfId="299" priority="293" stopIfTrue="1">
      <formula>$G63+$J63</formula>
    </cfRule>
  </conditionalFormatting>
  <conditionalFormatting sqref="B236:B238">
    <cfRule type="expression" dxfId="298" priority="320" stopIfTrue="1">
      <formula>$G236+$J236</formula>
    </cfRule>
  </conditionalFormatting>
  <conditionalFormatting sqref="B236:B238">
    <cfRule type="expression" dxfId="297" priority="319" stopIfTrue="1">
      <formula>$G236+$J236</formula>
    </cfRule>
  </conditionalFormatting>
  <conditionalFormatting sqref="B236:B238">
    <cfRule type="expression" dxfId="296" priority="317" stopIfTrue="1">
      <formula>$G236+$J236</formula>
    </cfRule>
  </conditionalFormatting>
  <conditionalFormatting sqref="B236:B238">
    <cfRule type="expression" dxfId="295" priority="316" stopIfTrue="1">
      <formula>$G236+$J236</formula>
    </cfRule>
  </conditionalFormatting>
  <conditionalFormatting sqref="B236:B238">
    <cfRule type="expression" dxfId="294" priority="315" stopIfTrue="1">
      <formula>$G236+$J236</formula>
    </cfRule>
  </conditionalFormatting>
  <conditionalFormatting sqref="B236:B238">
    <cfRule type="expression" dxfId="293" priority="314" stopIfTrue="1">
      <formula>$G236+$J236</formula>
    </cfRule>
  </conditionalFormatting>
  <conditionalFormatting sqref="B236:B238">
    <cfRule type="expression" dxfId="292" priority="313" stopIfTrue="1">
      <formula>$G236+$J236</formula>
    </cfRule>
  </conditionalFormatting>
  <conditionalFormatting sqref="B236:B238">
    <cfRule type="expression" dxfId="291" priority="312" stopIfTrue="1">
      <formula>$G236+$J236</formula>
    </cfRule>
  </conditionalFormatting>
  <conditionalFormatting sqref="B63:B66">
    <cfRule type="expression" dxfId="290" priority="309" stopIfTrue="1">
      <formula>$G63&gt;0</formula>
    </cfRule>
  </conditionalFormatting>
  <conditionalFormatting sqref="B63:B66">
    <cfRule type="expression" dxfId="289" priority="308" stopIfTrue="1">
      <formula>#REF!+$G63</formula>
    </cfRule>
  </conditionalFormatting>
  <conditionalFormatting sqref="B63:B66">
    <cfRule type="expression" dxfId="288" priority="307" stopIfTrue="1">
      <formula>$G63+$J63</formula>
    </cfRule>
  </conditionalFormatting>
  <conditionalFormatting sqref="B63:B66">
    <cfRule type="expression" dxfId="287" priority="306" stopIfTrue="1">
      <formula>#REF!+$G63</formula>
    </cfRule>
  </conditionalFormatting>
  <conditionalFormatting sqref="B63">
    <cfRule type="expression" dxfId="286" priority="305" stopIfTrue="1">
      <formula>$G63+$J63</formula>
    </cfRule>
  </conditionalFormatting>
  <conditionalFormatting sqref="B63">
    <cfRule type="expression" dxfId="285" priority="304" stopIfTrue="1">
      <formula>#REF!+$G63</formula>
    </cfRule>
  </conditionalFormatting>
  <conditionalFormatting sqref="B63">
    <cfRule type="expression" dxfId="284" priority="303" stopIfTrue="1">
      <formula>$G63+$J63</formula>
    </cfRule>
  </conditionalFormatting>
  <conditionalFormatting sqref="B63">
    <cfRule type="expression" dxfId="283" priority="302" stopIfTrue="1">
      <formula>#REF!+$G63</formula>
    </cfRule>
  </conditionalFormatting>
  <conditionalFormatting sqref="B63">
    <cfRule type="expression" dxfId="282" priority="301" stopIfTrue="1">
      <formula>$G63+$J63</formula>
    </cfRule>
  </conditionalFormatting>
  <conditionalFormatting sqref="B63">
    <cfRule type="expression" dxfId="281" priority="300" stopIfTrue="1">
      <formula>#REF!+$G63</formula>
    </cfRule>
  </conditionalFormatting>
  <conditionalFormatting sqref="B63">
    <cfRule type="expression" dxfId="280" priority="299" stopIfTrue="1">
      <formula>$G63+$J63</formula>
    </cfRule>
  </conditionalFormatting>
  <conditionalFormatting sqref="B63">
    <cfRule type="expression" dxfId="279" priority="298" stopIfTrue="1">
      <formula>#REF!+$G63</formula>
    </cfRule>
  </conditionalFormatting>
  <conditionalFormatting sqref="B63">
    <cfRule type="expression" dxfId="278" priority="297" stopIfTrue="1">
      <formula>$G63+$J63</formula>
    </cfRule>
  </conditionalFormatting>
  <conditionalFormatting sqref="B63">
    <cfRule type="expression" dxfId="277" priority="296" stopIfTrue="1">
      <formula>#REF!+$G63</formula>
    </cfRule>
  </conditionalFormatting>
  <conditionalFormatting sqref="B63">
    <cfRule type="expression" dxfId="276" priority="295" stopIfTrue="1">
      <formula>$G63+$J63</formula>
    </cfRule>
  </conditionalFormatting>
  <conditionalFormatting sqref="B63">
    <cfRule type="expression" dxfId="275" priority="294" stopIfTrue="1">
      <formula>#REF!+$G63</formula>
    </cfRule>
  </conditionalFormatting>
  <conditionalFormatting sqref="B63">
    <cfRule type="expression" dxfId="274" priority="292" stopIfTrue="1">
      <formula>#REF!+$G63</formula>
    </cfRule>
  </conditionalFormatting>
  <conditionalFormatting sqref="B146:B152">
    <cfRule type="expression" dxfId="273" priority="291" stopIfTrue="1">
      <formula>$G146&gt;0</formula>
    </cfRule>
  </conditionalFormatting>
  <conditionalFormatting sqref="B146:B152">
    <cfRule type="expression" dxfId="272" priority="290" stopIfTrue="1">
      <formula>$G146+$J146</formula>
    </cfRule>
  </conditionalFormatting>
  <conditionalFormatting sqref="B148:B152">
    <cfRule type="expression" dxfId="271" priority="289" stopIfTrue="1">
      <formula>$G148&gt;0</formula>
    </cfRule>
  </conditionalFormatting>
  <conditionalFormatting sqref="B148:B152">
    <cfRule type="expression" dxfId="270" priority="288" stopIfTrue="1">
      <formula>$G148+$J148</formula>
    </cfRule>
  </conditionalFormatting>
  <conditionalFormatting sqref="B151:B152">
    <cfRule type="expression" dxfId="269" priority="287" stopIfTrue="1">
      <formula>$G151&gt;0</formula>
    </cfRule>
  </conditionalFormatting>
  <conditionalFormatting sqref="B151:B152">
    <cfRule type="expression" dxfId="268" priority="286" stopIfTrue="1">
      <formula>$G151+$J151</formula>
    </cfRule>
  </conditionalFormatting>
  <conditionalFormatting sqref="B135:B147">
    <cfRule type="expression" dxfId="267" priority="285" stopIfTrue="1">
      <formula>$G135&gt;0</formula>
    </cfRule>
  </conditionalFormatting>
  <conditionalFormatting sqref="B135:B147">
    <cfRule type="expression" dxfId="266" priority="284" stopIfTrue="1">
      <formula>$G135+$J135</formula>
    </cfRule>
  </conditionalFormatting>
  <conditionalFormatting sqref="B308:B311">
    <cfRule type="expression" dxfId="265" priority="283" stopIfTrue="1">
      <formula>$G308&gt;0</formula>
    </cfRule>
  </conditionalFormatting>
  <conditionalFormatting sqref="B308:B311">
    <cfRule type="expression" dxfId="264" priority="282" stopIfTrue="1">
      <formula>$G308+$J308</formula>
    </cfRule>
  </conditionalFormatting>
  <conditionalFormatting sqref="B308:B311">
    <cfRule type="expression" dxfId="263" priority="281" stopIfTrue="1">
      <formula>$G308+$J308</formula>
    </cfRule>
  </conditionalFormatting>
  <conditionalFormatting sqref="B308:B311">
    <cfRule type="expression" dxfId="262" priority="280" stopIfTrue="1">
      <formula>$G308+$J308</formula>
    </cfRule>
  </conditionalFormatting>
  <conditionalFormatting sqref="B16:C16">
    <cfRule type="expression" dxfId="261" priority="279" stopIfTrue="1">
      <formula>$G16&gt;0</formula>
    </cfRule>
  </conditionalFormatting>
  <conditionalFormatting sqref="B16">
    <cfRule type="expression" dxfId="260" priority="278" stopIfTrue="1">
      <formula>#REF!+$G16</formula>
    </cfRule>
  </conditionalFormatting>
  <conditionalFormatting sqref="B29">
    <cfRule type="expression" dxfId="259" priority="240" stopIfTrue="1">
      <formula>$G29&gt;0</formula>
    </cfRule>
  </conditionalFormatting>
  <conditionalFormatting sqref="B26">
    <cfRule type="expression" dxfId="258" priority="256" stopIfTrue="1">
      <formula>#REF!+$G26</formula>
    </cfRule>
  </conditionalFormatting>
  <conditionalFormatting sqref="B24">
    <cfRule type="expression" dxfId="257" priority="264" stopIfTrue="1">
      <formula>$G24&gt;0</formula>
    </cfRule>
  </conditionalFormatting>
  <conditionalFormatting sqref="B24">
    <cfRule type="expression" dxfId="256" priority="263" stopIfTrue="1">
      <formula>#REF!+$G24</formula>
    </cfRule>
  </conditionalFormatting>
  <conditionalFormatting sqref="B24">
    <cfRule type="expression" dxfId="255" priority="262" stopIfTrue="1">
      <formula>#REF!+$G24</formula>
    </cfRule>
  </conditionalFormatting>
  <conditionalFormatting sqref="B25">
    <cfRule type="expression" dxfId="254" priority="261" stopIfTrue="1">
      <formula>$G25&gt;0</formula>
    </cfRule>
  </conditionalFormatting>
  <conditionalFormatting sqref="B25">
    <cfRule type="expression" dxfId="253" priority="260" stopIfTrue="1">
      <formula>#REF!+$G25</formula>
    </cfRule>
  </conditionalFormatting>
  <conditionalFormatting sqref="B25">
    <cfRule type="expression" dxfId="252" priority="259" stopIfTrue="1">
      <formula>#REF!+$G25</formula>
    </cfRule>
  </conditionalFormatting>
  <conditionalFormatting sqref="B26">
    <cfRule type="expression" dxfId="251" priority="258" stopIfTrue="1">
      <formula>$G26&gt;0</formula>
    </cfRule>
  </conditionalFormatting>
  <conditionalFormatting sqref="B26">
    <cfRule type="expression" dxfId="250" priority="257" stopIfTrue="1">
      <formula>#REF!+$G26</formula>
    </cfRule>
  </conditionalFormatting>
  <conditionalFormatting sqref="B27">
    <cfRule type="expression" dxfId="249" priority="246" stopIfTrue="1">
      <formula>$G27&gt;0</formula>
    </cfRule>
  </conditionalFormatting>
  <conditionalFormatting sqref="B27">
    <cfRule type="expression" dxfId="248" priority="245" stopIfTrue="1">
      <formula>#REF!+$G27</formula>
    </cfRule>
  </conditionalFormatting>
  <conditionalFormatting sqref="B27">
    <cfRule type="expression" dxfId="247" priority="244" stopIfTrue="1">
      <formula>#REF!+$G27</formula>
    </cfRule>
  </conditionalFormatting>
  <conditionalFormatting sqref="B28">
    <cfRule type="expression" dxfId="246" priority="243" stopIfTrue="1">
      <formula>$G28&gt;0</formula>
    </cfRule>
  </conditionalFormatting>
  <conditionalFormatting sqref="B28">
    <cfRule type="expression" dxfId="245" priority="242" stopIfTrue="1">
      <formula>#REF!+$G28</formula>
    </cfRule>
  </conditionalFormatting>
  <conditionalFormatting sqref="B28">
    <cfRule type="expression" dxfId="244" priority="241" stopIfTrue="1">
      <formula>#REF!+$G28</formula>
    </cfRule>
  </conditionalFormatting>
  <conditionalFormatting sqref="B30">
    <cfRule type="expression" dxfId="243" priority="234" stopIfTrue="1">
      <formula>$G30&gt;0</formula>
    </cfRule>
  </conditionalFormatting>
  <conditionalFormatting sqref="B29">
    <cfRule type="expression" dxfId="242" priority="239" stopIfTrue="1">
      <formula>#REF!+$G29</formula>
    </cfRule>
  </conditionalFormatting>
  <conditionalFormatting sqref="B29">
    <cfRule type="expression" dxfId="241" priority="238" stopIfTrue="1">
      <formula>#REF!+$G29</formula>
    </cfRule>
  </conditionalFormatting>
  <conditionalFormatting sqref="B30">
    <cfRule type="expression" dxfId="240" priority="233" stopIfTrue="1">
      <formula>#REF!+$G30</formula>
    </cfRule>
  </conditionalFormatting>
  <conditionalFormatting sqref="B30">
    <cfRule type="expression" dxfId="239" priority="232" stopIfTrue="1">
      <formula>#REF!+$G30</formula>
    </cfRule>
  </conditionalFormatting>
  <conditionalFormatting sqref="Z19">
    <cfRule type="expression" dxfId="238" priority="231" stopIfTrue="1">
      <formula>$G19&gt;0</formula>
    </cfRule>
  </conditionalFormatting>
  <conditionalFormatting sqref="Z19">
    <cfRule type="expression" dxfId="237" priority="230" stopIfTrue="1">
      <formula>#REF!+$G19</formula>
    </cfRule>
  </conditionalFormatting>
  <conditionalFormatting sqref="Z19">
    <cfRule type="expression" dxfId="236" priority="229" stopIfTrue="1">
      <formula>#REF!+$G19</formula>
    </cfRule>
  </conditionalFormatting>
  <conditionalFormatting sqref="B17">
    <cfRule type="expression" dxfId="235" priority="228" stopIfTrue="1">
      <formula>$G17&gt;0</formula>
    </cfRule>
  </conditionalFormatting>
  <conditionalFormatting sqref="B17">
    <cfRule type="expression" dxfId="234" priority="227" stopIfTrue="1">
      <formula>#REF!+$G17</formula>
    </cfRule>
  </conditionalFormatting>
  <conditionalFormatting sqref="B17">
    <cfRule type="expression" dxfId="233" priority="226" stopIfTrue="1">
      <formula>#REF!+$G17</formula>
    </cfRule>
  </conditionalFormatting>
  <conditionalFormatting sqref="B18">
    <cfRule type="expression" dxfId="232" priority="225" stopIfTrue="1">
      <formula>$G18&gt;0</formula>
    </cfRule>
  </conditionalFormatting>
  <conditionalFormatting sqref="B18">
    <cfRule type="expression" dxfId="231" priority="224" stopIfTrue="1">
      <formula>#REF!+$G18</formula>
    </cfRule>
  </conditionalFormatting>
  <conditionalFormatting sqref="B18">
    <cfRule type="expression" dxfId="230" priority="223" stopIfTrue="1">
      <formula>#REF!+$G18</formula>
    </cfRule>
  </conditionalFormatting>
  <conditionalFormatting sqref="B61">
    <cfRule type="expression" dxfId="229" priority="216" stopIfTrue="1">
      <formula>$G61&gt;0</formula>
    </cfRule>
  </conditionalFormatting>
  <conditionalFormatting sqref="B61">
    <cfRule type="expression" dxfId="228" priority="215" stopIfTrue="1">
      <formula>$G61+$J61</formula>
    </cfRule>
  </conditionalFormatting>
  <conditionalFormatting sqref="B62">
    <cfRule type="expression" dxfId="227" priority="214" stopIfTrue="1">
      <formula>$G62&gt;0</formula>
    </cfRule>
  </conditionalFormatting>
  <conditionalFormatting sqref="B62">
    <cfRule type="expression" dxfId="226" priority="213" stopIfTrue="1">
      <formula>$G62+$J62</formula>
    </cfRule>
  </conditionalFormatting>
  <conditionalFormatting sqref="B62">
    <cfRule type="expression" dxfId="225" priority="212" stopIfTrue="1">
      <formula>$G62+$J62</formula>
    </cfRule>
  </conditionalFormatting>
  <conditionalFormatting sqref="B60">
    <cfRule type="expression" dxfId="224" priority="211" stopIfTrue="1">
      <formula>$G60&gt;0</formula>
    </cfRule>
  </conditionalFormatting>
  <conditionalFormatting sqref="B60">
    <cfRule type="expression" dxfId="223" priority="210" stopIfTrue="1">
      <formula>$G60+$J60</formula>
    </cfRule>
  </conditionalFormatting>
  <conditionalFormatting sqref="B60">
    <cfRule type="expression" dxfId="222" priority="209" stopIfTrue="1">
      <formula>$G60+$J60</formula>
    </cfRule>
  </conditionalFormatting>
  <conditionalFormatting sqref="B169:B171">
    <cfRule type="expression" dxfId="221" priority="204" stopIfTrue="1">
      <formula>$G169&gt;0</formula>
    </cfRule>
  </conditionalFormatting>
  <conditionalFormatting sqref="B169:B171">
    <cfRule type="expression" dxfId="220" priority="203" stopIfTrue="1">
      <formula>$G169+$J169</formula>
    </cfRule>
  </conditionalFormatting>
  <conditionalFormatting sqref="B95">
    <cfRule type="expression" dxfId="219" priority="197" stopIfTrue="1">
      <formula>$G95&gt;0</formula>
    </cfRule>
  </conditionalFormatting>
  <conditionalFormatting sqref="B232">
    <cfRule type="expression" dxfId="218" priority="166" stopIfTrue="1">
      <formula>$G232+$J232</formula>
    </cfRule>
  </conditionalFormatting>
  <conditionalFormatting sqref="B232">
    <cfRule type="expression" dxfId="217" priority="164" stopIfTrue="1">
      <formula>$G232+$J232</formula>
    </cfRule>
  </conditionalFormatting>
  <conditionalFormatting sqref="B232">
    <cfRule type="expression" dxfId="216" priority="163" stopIfTrue="1">
      <formula>$G232+$J232</formula>
    </cfRule>
  </conditionalFormatting>
  <conditionalFormatting sqref="B232">
    <cfRule type="expression" dxfId="215" priority="162" stopIfTrue="1">
      <formula>$G232+$J232</formula>
    </cfRule>
  </conditionalFormatting>
  <conditionalFormatting sqref="B232">
    <cfRule type="expression" dxfId="214" priority="161" stopIfTrue="1">
      <formula>$G232+$J232</formula>
    </cfRule>
  </conditionalFormatting>
  <conditionalFormatting sqref="B232">
    <cfRule type="expression" dxfId="213" priority="160" stopIfTrue="1">
      <formula>$G232+$J232</formula>
    </cfRule>
  </conditionalFormatting>
  <conditionalFormatting sqref="B232">
    <cfRule type="expression" dxfId="212" priority="159" stopIfTrue="1">
      <formula>$G232+$J232</formula>
    </cfRule>
  </conditionalFormatting>
  <conditionalFormatting sqref="B232">
    <cfRule type="expression" dxfId="211" priority="158" stopIfTrue="1">
      <formula>$G232+$J232</formula>
    </cfRule>
  </conditionalFormatting>
  <conditionalFormatting sqref="B232">
    <cfRule type="expression" dxfId="210" priority="157" stopIfTrue="1">
      <formula>$G232+$J232</formula>
    </cfRule>
  </conditionalFormatting>
  <conditionalFormatting sqref="B232">
    <cfRule type="expression" dxfId="209" priority="156" stopIfTrue="1">
      <formula>$G232+$J232</formula>
    </cfRule>
  </conditionalFormatting>
  <conditionalFormatting sqref="B232">
    <cfRule type="expression" dxfId="208" priority="155" stopIfTrue="1">
      <formula>$G232+$J232</formula>
    </cfRule>
  </conditionalFormatting>
  <conditionalFormatting sqref="B232">
    <cfRule type="expression" dxfId="207" priority="154" stopIfTrue="1">
      <formula>$G232+$J232</formula>
    </cfRule>
  </conditionalFormatting>
  <conditionalFormatting sqref="B232">
    <cfRule type="expression" dxfId="206" priority="153" stopIfTrue="1">
      <formula>$G232+$J232</formula>
    </cfRule>
  </conditionalFormatting>
  <conditionalFormatting sqref="B232">
    <cfRule type="expression" dxfId="205" priority="152" stopIfTrue="1">
      <formula>$G232+$J232</formula>
    </cfRule>
  </conditionalFormatting>
  <conditionalFormatting sqref="B232">
    <cfRule type="expression" dxfId="204" priority="151" stopIfTrue="1">
      <formula>$G232+$J232</formula>
    </cfRule>
  </conditionalFormatting>
  <conditionalFormatting sqref="B232">
    <cfRule type="expression" dxfId="203" priority="150" stopIfTrue="1">
      <formula>$G232+$J232</formula>
    </cfRule>
  </conditionalFormatting>
  <conditionalFormatting sqref="B232">
    <cfRule type="expression" dxfId="202" priority="149" stopIfTrue="1">
      <formula>$G232+$J232</formula>
    </cfRule>
  </conditionalFormatting>
  <conditionalFormatting sqref="B232">
    <cfRule type="expression" dxfId="201" priority="178" stopIfTrue="1">
      <formula>$G232&gt;0</formula>
    </cfRule>
  </conditionalFormatting>
  <conditionalFormatting sqref="B232">
    <cfRule type="expression" dxfId="200" priority="177" stopIfTrue="1">
      <formula>$G232+$J232</formula>
    </cfRule>
  </conditionalFormatting>
  <conditionalFormatting sqref="B232">
    <cfRule type="expression" dxfId="199" priority="176" stopIfTrue="1">
      <formula>$G232+$J232</formula>
    </cfRule>
  </conditionalFormatting>
  <conditionalFormatting sqref="B232">
    <cfRule type="expression" dxfId="198" priority="175" stopIfTrue="1">
      <formula>$G232+$J232</formula>
    </cfRule>
  </conditionalFormatting>
  <conditionalFormatting sqref="B232">
    <cfRule type="expression" dxfId="197" priority="174" stopIfTrue="1">
      <formula>$G232+$J232</formula>
    </cfRule>
  </conditionalFormatting>
  <conditionalFormatting sqref="B232">
    <cfRule type="expression" dxfId="196" priority="173" stopIfTrue="1">
      <formula>$G232+$J232</formula>
    </cfRule>
  </conditionalFormatting>
  <conditionalFormatting sqref="B232">
    <cfRule type="expression" dxfId="195" priority="172" stopIfTrue="1">
      <formula>$G232+$J232</formula>
    </cfRule>
  </conditionalFormatting>
  <conditionalFormatting sqref="B232">
    <cfRule type="expression" dxfId="194" priority="171" stopIfTrue="1">
      <formula>$G232+$J232</formula>
    </cfRule>
  </conditionalFormatting>
  <conditionalFormatting sqref="B232">
    <cfRule type="expression" dxfId="193" priority="170" stopIfTrue="1">
      <formula>$G232+$J232</formula>
    </cfRule>
  </conditionalFormatting>
  <conditionalFormatting sqref="B232">
    <cfRule type="expression" dxfId="192" priority="169" stopIfTrue="1">
      <formula>$G232+$J232</formula>
    </cfRule>
  </conditionalFormatting>
  <conditionalFormatting sqref="B232">
    <cfRule type="expression" dxfId="191" priority="168" stopIfTrue="1">
      <formula>$G232+$J232</formula>
    </cfRule>
  </conditionalFormatting>
  <conditionalFormatting sqref="B232">
    <cfRule type="expression" dxfId="190" priority="167" stopIfTrue="1">
      <formula>$G232+$J232</formula>
    </cfRule>
  </conditionalFormatting>
  <conditionalFormatting sqref="B232">
    <cfRule type="expression" dxfId="189" priority="165" stopIfTrue="1">
      <formula>$G232+$J232</formula>
    </cfRule>
  </conditionalFormatting>
  <conditionalFormatting sqref="B288">
    <cfRule type="expression" dxfId="188" priority="145" stopIfTrue="1">
      <formula>$G288&gt;0</formula>
    </cfRule>
  </conditionalFormatting>
  <conditionalFormatting sqref="B231">
    <cfRule type="expression" dxfId="187" priority="135" stopIfTrue="1">
      <formula>$G231+$J231</formula>
    </cfRule>
  </conditionalFormatting>
  <conditionalFormatting sqref="B231">
    <cfRule type="expression" dxfId="186" priority="134" stopIfTrue="1">
      <formula>$G231+$J231</formula>
    </cfRule>
  </conditionalFormatting>
  <conditionalFormatting sqref="B231">
    <cfRule type="expression" dxfId="185" priority="133" stopIfTrue="1">
      <formula>$G231+$J231</formula>
    </cfRule>
  </conditionalFormatting>
  <conditionalFormatting sqref="B231">
    <cfRule type="expression" dxfId="184" priority="132" stopIfTrue="1">
      <formula>$G231+$J231</formula>
    </cfRule>
  </conditionalFormatting>
  <conditionalFormatting sqref="B231">
    <cfRule type="expression" dxfId="183" priority="131" stopIfTrue="1">
      <formula>$G231+$J231</formula>
    </cfRule>
  </conditionalFormatting>
  <conditionalFormatting sqref="B231">
    <cfRule type="expression" dxfId="182" priority="130" stopIfTrue="1">
      <formula>$G231+$J231</formula>
    </cfRule>
  </conditionalFormatting>
  <conditionalFormatting sqref="B231">
    <cfRule type="expression" dxfId="181" priority="129" stopIfTrue="1">
      <formula>$G231+$J231</formula>
    </cfRule>
  </conditionalFormatting>
  <conditionalFormatting sqref="B231">
    <cfRule type="expression" dxfId="180" priority="128" stopIfTrue="1">
      <formula>$G231+$J231</formula>
    </cfRule>
  </conditionalFormatting>
  <conditionalFormatting sqref="B231">
    <cfRule type="expression" dxfId="179" priority="127" stopIfTrue="1">
      <formula>$G231+$J231</formula>
    </cfRule>
  </conditionalFormatting>
  <conditionalFormatting sqref="B231">
    <cfRule type="expression" dxfId="178" priority="126" stopIfTrue="1">
      <formula>$G231+$J231</formula>
    </cfRule>
  </conditionalFormatting>
  <conditionalFormatting sqref="B231">
    <cfRule type="expression" dxfId="177" priority="144" stopIfTrue="1">
      <formula>$G231&gt;0</formula>
    </cfRule>
  </conditionalFormatting>
  <conditionalFormatting sqref="B231">
    <cfRule type="expression" dxfId="176" priority="143" stopIfTrue="1">
      <formula>$G231+$J231</formula>
    </cfRule>
  </conditionalFormatting>
  <conditionalFormatting sqref="B231">
    <cfRule type="expression" dxfId="175" priority="142" stopIfTrue="1">
      <formula>$G231+$J231</formula>
    </cfRule>
  </conditionalFormatting>
  <conditionalFormatting sqref="B231">
    <cfRule type="expression" dxfId="174" priority="141" stopIfTrue="1">
      <formula>$G231+$J231</formula>
    </cfRule>
  </conditionalFormatting>
  <conditionalFormatting sqref="B231">
    <cfRule type="expression" dxfId="173" priority="140" stopIfTrue="1">
      <formula>$G231+$J231</formula>
    </cfRule>
  </conditionalFormatting>
  <conditionalFormatting sqref="B231">
    <cfRule type="expression" dxfId="172" priority="139" stopIfTrue="1">
      <formula>$G231+$J231</formula>
    </cfRule>
  </conditionalFormatting>
  <conditionalFormatting sqref="B231">
    <cfRule type="expression" dxfId="171" priority="138" stopIfTrue="1">
      <formula>$G231+$J231</formula>
    </cfRule>
  </conditionalFormatting>
  <conditionalFormatting sqref="B231">
    <cfRule type="expression" dxfId="170" priority="137" stopIfTrue="1">
      <formula>$G231+$J231</formula>
    </cfRule>
  </conditionalFormatting>
  <conditionalFormatting sqref="B231">
    <cfRule type="expression" dxfId="169" priority="136" stopIfTrue="1">
      <formula>$G231+$J231</formula>
    </cfRule>
  </conditionalFormatting>
  <conditionalFormatting sqref="B225:B226">
    <cfRule type="expression" dxfId="168" priority="125" stopIfTrue="1">
      <formula>$G225&gt;0</formula>
    </cfRule>
  </conditionalFormatting>
  <conditionalFormatting sqref="B225:B226">
    <cfRule type="expression" dxfId="167" priority="124" stopIfTrue="1">
      <formula>$G225+$J225</formula>
    </cfRule>
  </conditionalFormatting>
  <conditionalFormatting sqref="B225:B226">
    <cfRule type="expression" dxfId="166" priority="123" stopIfTrue="1">
      <formula>$G225+$J225</formula>
    </cfRule>
  </conditionalFormatting>
  <conditionalFormatting sqref="B225:B226">
    <cfRule type="expression" dxfId="165" priority="122" stopIfTrue="1">
      <formula>$G225+$J225</formula>
    </cfRule>
  </conditionalFormatting>
  <conditionalFormatting sqref="B225:B226">
    <cfRule type="expression" dxfId="164" priority="121" stopIfTrue="1">
      <formula>$G225+$J225</formula>
    </cfRule>
  </conditionalFormatting>
  <conditionalFormatting sqref="B225:B226">
    <cfRule type="expression" dxfId="163" priority="120" stopIfTrue="1">
      <formula>$G225+$J225</formula>
    </cfRule>
  </conditionalFormatting>
  <conditionalFormatting sqref="B225:B226">
    <cfRule type="expression" dxfId="162" priority="119" stopIfTrue="1">
      <formula>$G225+$J225</formula>
    </cfRule>
  </conditionalFormatting>
  <conditionalFormatting sqref="B225:B226">
    <cfRule type="expression" dxfId="161" priority="118" stopIfTrue="1">
      <formula>$G225+$J225</formula>
    </cfRule>
  </conditionalFormatting>
  <conditionalFormatting sqref="B225:B226">
    <cfRule type="expression" dxfId="160" priority="117" stopIfTrue="1">
      <formula>$G225+$J225</formula>
    </cfRule>
  </conditionalFormatting>
  <conditionalFormatting sqref="B225:B226">
    <cfRule type="expression" dxfId="159" priority="116" stopIfTrue="1">
      <formula>$G225+$J225</formula>
    </cfRule>
  </conditionalFormatting>
  <conditionalFormatting sqref="B225:B226">
    <cfRule type="expression" dxfId="158" priority="115" stopIfTrue="1">
      <formula>$G225+$J225</formula>
    </cfRule>
  </conditionalFormatting>
  <conditionalFormatting sqref="B225:B226">
    <cfRule type="expression" dxfId="157" priority="114" stopIfTrue="1">
      <formula>$G225+$J225</formula>
    </cfRule>
  </conditionalFormatting>
  <conditionalFormatting sqref="B225:B226">
    <cfRule type="expression" dxfId="156" priority="113" stopIfTrue="1">
      <formula>$G225+$J225</formula>
    </cfRule>
  </conditionalFormatting>
  <conditionalFormatting sqref="B227:B228">
    <cfRule type="expression" dxfId="155" priority="112" stopIfTrue="1">
      <formula>$G227&gt;0</formula>
    </cfRule>
  </conditionalFormatting>
  <conditionalFormatting sqref="B227:B228">
    <cfRule type="expression" dxfId="154" priority="111" stopIfTrue="1">
      <formula>$G227+$J227</formula>
    </cfRule>
  </conditionalFormatting>
  <conditionalFormatting sqref="B227:B228">
    <cfRule type="expression" dxfId="153" priority="110" stopIfTrue="1">
      <formula>$G227+$J227</formula>
    </cfRule>
  </conditionalFormatting>
  <conditionalFormatting sqref="B227:B228">
    <cfRule type="expression" dxfId="152" priority="109" stopIfTrue="1">
      <formula>$G227+$J227</formula>
    </cfRule>
  </conditionalFormatting>
  <conditionalFormatting sqref="B227:B228">
    <cfRule type="expression" dxfId="151" priority="108" stopIfTrue="1">
      <formula>$G227+$J227</formula>
    </cfRule>
  </conditionalFormatting>
  <conditionalFormatting sqref="B227:B228">
    <cfRule type="expression" dxfId="150" priority="107" stopIfTrue="1">
      <formula>$G227+$J227</formula>
    </cfRule>
  </conditionalFormatting>
  <conditionalFormatting sqref="B227:B228">
    <cfRule type="expression" dxfId="149" priority="106" stopIfTrue="1">
      <formula>$G227+$J227</formula>
    </cfRule>
  </conditionalFormatting>
  <conditionalFormatting sqref="B227:B228">
    <cfRule type="expression" dxfId="148" priority="105" stopIfTrue="1">
      <formula>$G227+$J227</formula>
    </cfRule>
  </conditionalFormatting>
  <conditionalFormatting sqref="B227:B228">
    <cfRule type="expression" dxfId="147" priority="104" stopIfTrue="1">
      <formula>$G227+$J227</formula>
    </cfRule>
  </conditionalFormatting>
  <conditionalFormatting sqref="B227:B228">
    <cfRule type="expression" dxfId="146" priority="103" stopIfTrue="1">
      <formula>$G227+$J227</formula>
    </cfRule>
  </conditionalFormatting>
  <conditionalFormatting sqref="B227:B228">
    <cfRule type="expression" dxfId="145" priority="102" stopIfTrue="1">
      <formula>$G227+$J227</formula>
    </cfRule>
  </conditionalFormatting>
  <conditionalFormatting sqref="B227:B228">
    <cfRule type="expression" dxfId="144" priority="101" stopIfTrue="1">
      <formula>$G227+$J227</formula>
    </cfRule>
  </conditionalFormatting>
  <conditionalFormatting sqref="B227:B228">
    <cfRule type="expression" dxfId="143" priority="100" stopIfTrue="1">
      <formula>$G227+$J227</formula>
    </cfRule>
  </conditionalFormatting>
  <conditionalFormatting sqref="B227:B228">
    <cfRule type="expression" dxfId="142" priority="99" stopIfTrue="1">
      <formula>$G227+$J227</formula>
    </cfRule>
  </conditionalFormatting>
  <conditionalFormatting sqref="B227:B228">
    <cfRule type="expression" dxfId="141" priority="98" stopIfTrue="1">
      <formula>$G227+$J227</formula>
    </cfRule>
  </conditionalFormatting>
  <conditionalFormatting sqref="B227:B228">
    <cfRule type="expression" dxfId="140" priority="97" stopIfTrue="1">
      <formula>$G227+$J227</formula>
    </cfRule>
  </conditionalFormatting>
  <conditionalFormatting sqref="B227:B228">
    <cfRule type="expression" dxfId="139" priority="96" stopIfTrue="1">
      <formula>$G227+$J227</formula>
    </cfRule>
  </conditionalFormatting>
  <conditionalFormatting sqref="B227:B228">
    <cfRule type="expression" dxfId="138" priority="95" stopIfTrue="1">
      <formula>$G227+$J227</formula>
    </cfRule>
  </conditionalFormatting>
  <conditionalFormatting sqref="B227:B228">
    <cfRule type="expression" dxfId="137" priority="94" stopIfTrue="1">
      <formula>$G227+$J227</formula>
    </cfRule>
  </conditionalFormatting>
  <conditionalFormatting sqref="B230">
    <cfRule type="expression" dxfId="136" priority="93" stopIfTrue="1">
      <formula>$G230+$J230</formula>
    </cfRule>
  </conditionalFormatting>
  <conditionalFormatting sqref="B230">
    <cfRule type="expression" dxfId="135" priority="92" stopIfTrue="1">
      <formula>$G230&gt;0</formula>
    </cfRule>
  </conditionalFormatting>
  <conditionalFormatting sqref="B202">
    <cfRule type="expression" dxfId="134" priority="82" stopIfTrue="1">
      <formula>$G202&gt;0</formula>
    </cfRule>
  </conditionalFormatting>
  <conditionalFormatting sqref="B202">
    <cfRule type="expression" dxfId="133" priority="81" stopIfTrue="1">
      <formula>$G202+$J202</formula>
    </cfRule>
  </conditionalFormatting>
  <conditionalFormatting sqref="B202">
    <cfRule type="expression" dxfId="132" priority="80" stopIfTrue="1">
      <formula>$G202+$J202</formula>
    </cfRule>
  </conditionalFormatting>
  <conditionalFormatting sqref="B203">
    <cfRule type="expression" dxfId="131" priority="79" stopIfTrue="1">
      <formula>$G203&gt;0</formula>
    </cfRule>
  </conditionalFormatting>
  <conditionalFormatting sqref="B203">
    <cfRule type="expression" dxfId="130" priority="78" stopIfTrue="1">
      <formula>$G203+$J203</formula>
    </cfRule>
  </conditionalFormatting>
  <conditionalFormatting sqref="B203">
    <cfRule type="expression" dxfId="129" priority="77" stopIfTrue="1">
      <formula>$G203+$J203</formula>
    </cfRule>
  </conditionalFormatting>
  <conditionalFormatting sqref="B204">
    <cfRule type="expression" dxfId="128" priority="76" stopIfTrue="1">
      <formula>$G204&gt;0</formula>
    </cfRule>
  </conditionalFormatting>
  <conditionalFormatting sqref="B204">
    <cfRule type="expression" dxfId="127" priority="75" stopIfTrue="1">
      <formula>$G204+$J204</formula>
    </cfRule>
  </conditionalFormatting>
  <conditionalFormatting sqref="B204">
    <cfRule type="expression" dxfId="126" priority="74" stopIfTrue="1">
      <formula>$G204+$J204</formula>
    </cfRule>
  </conditionalFormatting>
  <conditionalFormatting sqref="B5:B6">
    <cfRule type="expression" dxfId="125" priority="73" stopIfTrue="1">
      <formula>$G5&gt;0</formula>
    </cfRule>
  </conditionalFormatting>
  <conditionalFormatting sqref="B6">
    <cfRule type="expression" dxfId="124" priority="72" stopIfTrue="1">
      <formula>#REF!+$G6</formula>
    </cfRule>
  </conditionalFormatting>
  <conditionalFormatting sqref="B6">
    <cfRule type="expression" dxfId="123" priority="71" stopIfTrue="1">
      <formula>#REF!+$G6</formula>
    </cfRule>
  </conditionalFormatting>
  <conditionalFormatting sqref="B8:B10">
    <cfRule type="expression" dxfId="122" priority="70" stopIfTrue="1">
      <formula>$G8&gt;0</formula>
    </cfRule>
  </conditionalFormatting>
  <conditionalFormatting sqref="B8:B10">
    <cfRule type="expression" dxfId="121" priority="69" stopIfTrue="1">
      <formula>#REF!+$G8</formula>
    </cfRule>
  </conditionalFormatting>
  <conditionalFormatting sqref="B11:B13">
    <cfRule type="expression" dxfId="120" priority="68" stopIfTrue="1">
      <formula>$G11&gt;0</formula>
    </cfRule>
  </conditionalFormatting>
  <conditionalFormatting sqref="B11:B13">
    <cfRule type="expression" dxfId="119" priority="67" stopIfTrue="1">
      <formula>#REF!+$G11</formula>
    </cfRule>
  </conditionalFormatting>
  <conditionalFormatting sqref="B90">
    <cfRule type="expression" dxfId="118" priority="61" stopIfTrue="1">
      <formula>$G90+$J90</formula>
    </cfRule>
  </conditionalFormatting>
  <conditionalFormatting sqref="C85">
    <cfRule type="expression" dxfId="117" priority="65" stopIfTrue="1">
      <formula>$G85&gt;0</formula>
    </cfRule>
  </conditionalFormatting>
  <conditionalFormatting sqref="B90">
    <cfRule type="expression" dxfId="116" priority="59" stopIfTrue="1">
      <formula>$G90+$J90</formula>
    </cfRule>
  </conditionalFormatting>
  <conditionalFormatting sqref="B84">
    <cfRule type="expression" dxfId="115" priority="63" stopIfTrue="1">
      <formula>$G84&gt;0</formula>
    </cfRule>
  </conditionalFormatting>
  <conditionalFormatting sqref="B85">
    <cfRule type="expression" dxfId="114" priority="62" stopIfTrue="1">
      <formula>$G85&gt;0</formula>
    </cfRule>
  </conditionalFormatting>
  <conditionalFormatting sqref="B90:C90">
    <cfRule type="expression" dxfId="113" priority="60" stopIfTrue="1">
      <formula>$G90&gt;0</formula>
    </cfRule>
  </conditionalFormatting>
  <conditionalFormatting sqref="B92">
    <cfRule type="expression" dxfId="112" priority="54" stopIfTrue="1">
      <formula>$G92+$J92</formula>
    </cfRule>
  </conditionalFormatting>
  <conditionalFormatting sqref="B92">
    <cfRule type="expression" dxfId="111" priority="58" stopIfTrue="1">
      <formula>$G92+$J92</formula>
    </cfRule>
  </conditionalFormatting>
  <conditionalFormatting sqref="B92">
    <cfRule type="expression" dxfId="110" priority="57" stopIfTrue="1">
      <formula>$G92+$J92</formula>
    </cfRule>
  </conditionalFormatting>
  <conditionalFormatting sqref="B92:C92">
    <cfRule type="expression" dxfId="109" priority="56" stopIfTrue="1">
      <formula>$G92&gt;0</formula>
    </cfRule>
  </conditionalFormatting>
  <conditionalFormatting sqref="B92">
    <cfRule type="expression" dxfId="108" priority="55" stopIfTrue="1">
      <formula>$G92+$J92</formula>
    </cfRule>
  </conditionalFormatting>
  <conditionalFormatting sqref="B239">
    <cfRule type="expression" dxfId="107" priority="26" stopIfTrue="1">
      <formula>$G239&gt;0</formula>
    </cfRule>
  </conditionalFormatting>
  <conditionalFormatting sqref="B239">
    <cfRule type="expression" dxfId="106" priority="25" stopIfTrue="1">
      <formula>$G239&gt;0</formula>
    </cfRule>
  </conditionalFormatting>
  <conditionalFormatting sqref="B240">
    <cfRule type="expression" dxfId="105" priority="24" stopIfTrue="1">
      <formula>$G240&gt;0</formula>
    </cfRule>
  </conditionalFormatting>
  <conditionalFormatting sqref="B240">
    <cfRule type="expression" dxfId="104" priority="23" stopIfTrue="1">
      <formula>$G240&gt;0</formula>
    </cfRule>
  </conditionalFormatting>
  <conditionalFormatting sqref="B241">
    <cfRule type="expression" dxfId="103" priority="21" stopIfTrue="1">
      <formula>$G241&gt;0</formula>
    </cfRule>
  </conditionalFormatting>
  <conditionalFormatting sqref="B241">
    <cfRule type="expression" dxfId="102" priority="22" stopIfTrue="1">
      <formula>$G241&gt;0</formula>
    </cfRule>
  </conditionalFormatting>
  <conditionalFormatting sqref="B242">
    <cfRule type="expression" dxfId="101" priority="20" stopIfTrue="1">
      <formula>$G242&gt;0</formula>
    </cfRule>
  </conditionalFormatting>
  <conditionalFormatting sqref="B242">
    <cfRule type="expression" dxfId="100" priority="19" stopIfTrue="1">
      <formula>$G242&gt;0</formula>
    </cfRule>
  </conditionalFormatting>
  <conditionalFormatting sqref="B243">
    <cfRule type="expression" dxfId="99" priority="18" stopIfTrue="1">
      <formula>$G243&gt;0</formula>
    </cfRule>
  </conditionalFormatting>
  <conditionalFormatting sqref="B243">
    <cfRule type="expression" dxfId="98" priority="17" stopIfTrue="1">
      <formula>$G243&gt;0</formula>
    </cfRule>
  </conditionalFormatting>
  <conditionalFormatting sqref="B244">
    <cfRule type="expression" dxfId="97" priority="16" stopIfTrue="1">
      <formula>$G244&gt;0</formula>
    </cfRule>
  </conditionalFormatting>
  <conditionalFormatting sqref="B244">
    <cfRule type="expression" dxfId="96" priority="15" stopIfTrue="1">
      <formula>$G244&gt;0</formula>
    </cfRule>
  </conditionalFormatting>
  <conditionalFormatting sqref="B245">
    <cfRule type="expression" dxfId="95" priority="13" stopIfTrue="1">
      <formula>$G245&gt;0</formula>
    </cfRule>
  </conditionalFormatting>
  <conditionalFormatting sqref="B245">
    <cfRule type="expression" dxfId="94" priority="14" stopIfTrue="1">
      <formula>$G245&gt;0</formula>
    </cfRule>
  </conditionalFormatting>
  <conditionalFormatting sqref="B198:B199">
    <cfRule type="expression" dxfId="93" priority="9" stopIfTrue="1">
      <formula>$G198&gt;0</formula>
    </cfRule>
  </conditionalFormatting>
  <conditionalFormatting sqref="B198:B199">
    <cfRule type="expression" dxfId="92" priority="8" stopIfTrue="1">
      <formula>$G198+$J198</formula>
    </cfRule>
  </conditionalFormatting>
  <conditionalFormatting sqref="B198:B199">
    <cfRule type="expression" dxfId="91" priority="7" stopIfTrue="1">
      <formula>$G198+$J198</formula>
    </cfRule>
  </conditionalFormatting>
  <conditionalFormatting sqref="B200:B201">
    <cfRule type="expression" dxfId="90" priority="6" stopIfTrue="1">
      <formula>$G200&gt;0</formula>
    </cfRule>
  </conditionalFormatting>
  <conditionalFormatting sqref="B200:B201">
    <cfRule type="expression" dxfId="89" priority="5" stopIfTrue="1">
      <formula>$G200+$J200</formula>
    </cfRule>
  </conditionalFormatting>
  <conditionalFormatting sqref="B200:B201">
    <cfRule type="expression" dxfId="88" priority="4" stopIfTrue="1">
      <formula>$G200+$J200</formula>
    </cfRule>
  </conditionalFormatting>
  <conditionalFormatting sqref="C5:C6">
    <cfRule type="expression" dxfId="87" priority="3" stopIfTrue="1">
      <formula>$G5&gt;0</formula>
    </cfRule>
  </conditionalFormatting>
  <conditionalFormatting sqref="C8:C10">
    <cfRule type="expression" dxfId="86" priority="2" stopIfTrue="1">
      <formula>$G8&gt;0</formula>
    </cfRule>
  </conditionalFormatting>
  <conditionalFormatting sqref="C11:C13">
    <cfRule type="expression" dxfId="85" priority="1" stopIfTrue="1">
      <formula>$G11&gt;0</formula>
    </cfRule>
  </conditionalFormatting>
  <pageMargins left="0.59055118110236227" right="0.39370078740157483" top="0.98425196850393704" bottom="0.98425196850393704" header="0.51181102362204722" footer="0.51181102362204722"/>
  <pageSetup paperSize="9" scale="16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Развернуть_материалы">
                <anchor moveWithCells="1" sizeWithCells="1">
                  <from>
                    <xdr:col>1</xdr:col>
                    <xdr:colOff>1847850</xdr:colOff>
                    <xdr:row>1</xdr:row>
                    <xdr:rowOff>19050</xdr:rowOff>
                  </from>
                  <to>
                    <xdr:col>1</xdr:col>
                    <xdr:colOff>2971800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СКРЫТЬ_Mat_Мат">
                <anchor moveWithCells="1" sizeWithCells="1">
                  <from>
                    <xdr:col>1</xdr:col>
                    <xdr:colOff>342900</xdr:colOff>
                    <xdr:row>1</xdr:row>
                    <xdr:rowOff>38100</xdr:rowOff>
                  </from>
                  <to>
                    <xdr:col>1</xdr:col>
                    <xdr:colOff>1581150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PriceImport">
                <anchor moveWithCells="1" sizeWithCells="1">
                  <from>
                    <xdr:col>54</xdr:col>
                    <xdr:colOff>85725</xdr:colOff>
                    <xdr:row>0</xdr:row>
                    <xdr:rowOff>123825</xdr:rowOff>
                  </from>
                  <to>
                    <xdr:col>57</xdr:col>
                    <xdr:colOff>209550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 fitToPage="1"/>
  </sheetPr>
  <dimension ref="A1:AG855"/>
  <sheetViews>
    <sheetView topLeftCell="B1" zoomScale="85" zoomScaleNormal="85" workbookViewId="0">
      <pane ySplit="2" topLeftCell="A3" activePane="bottomLeft" state="frozen"/>
      <selection pane="bottomLeft" activeCell="H2" sqref="H2"/>
    </sheetView>
  </sheetViews>
  <sheetFormatPr defaultColWidth="10.7109375" defaultRowHeight="12.75" outlineLevelRow="4" x14ac:dyDescent="0.2"/>
  <cols>
    <col min="1" max="1" width="7.85546875" style="544" hidden="1" customWidth="1"/>
    <col min="2" max="2" width="52.85546875" style="491" customWidth="1"/>
    <col min="3" max="3" width="14.85546875" style="491" customWidth="1"/>
    <col min="4" max="4" width="4.42578125" style="512" customWidth="1"/>
    <col min="5" max="5" width="13.42578125" style="491" hidden="1" customWidth="1"/>
    <col min="6" max="6" width="11.42578125" style="512" bestFit="1" customWidth="1"/>
    <col min="7" max="7" width="9.140625" style="2186" customWidth="1"/>
    <col min="8" max="8" width="9.140625" style="541" customWidth="1"/>
    <col min="9" max="9" width="12.42578125" style="1438" customWidth="1"/>
    <col min="10" max="11" width="9.140625" style="491" customWidth="1"/>
    <col min="12" max="12" width="9.140625" style="542" customWidth="1"/>
    <col min="13" max="13" width="10.28515625" style="491" customWidth="1"/>
    <col min="14" max="16" width="9.140625" style="491" customWidth="1"/>
    <col min="17" max="17" width="10.28515625" style="543" customWidth="1"/>
    <col min="18" max="19" width="9.140625" style="491" customWidth="1"/>
    <col min="20" max="20" width="10.28515625" style="491" customWidth="1"/>
    <col min="21" max="21" width="9.140625" style="2028" hidden="1" customWidth="1"/>
    <col min="22" max="22" width="9.140625" style="491" hidden="1" customWidth="1"/>
    <col min="23" max="23" width="4.7109375" style="491" hidden="1" customWidth="1"/>
    <col min="24" max="24" width="5.28515625" style="491" hidden="1" customWidth="1"/>
    <col min="25" max="25" width="41" style="491" hidden="1" customWidth="1"/>
    <col min="26" max="28" width="9.140625" style="491" hidden="1" customWidth="1"/>
    <col min="29" max="29" width="3.42578125" style="491" customWidth="1"/>
    <col min="30" max="30" width="9.140625" style="491" customWidth="1"/>
    <col min="31" max="31" width="12.140625" style="491" customWidth="1"/>
    <col min="32" max="32" width="3.28515625" style="491" customWidth="1"/>
    <col min="33" max="33" width="19.140625" style="2118" bestFit="1" customWidth="1"/>
    <col min="34" max="253" width="9.140625" style="491" customWidth="1"/>
    <col min="254" max="254" width="11.7109375" style="491" customWidth="1"/>
    <col min="255" max="255" width="85" style="491" customWidth="1"/>
    <col min="256" max="256" width="10.7109375" style="491"/>
    <col min="257" max="257" width="9.5703125" style="491" bestFit="1" customWidth="1"/>
    <col min="258" max="258" width="52.85546875" style="491" customWidth="1"/>
    <col min="259" max="259" width="13" style="491" customWidth="1"/>
    <col min="260" max="260" width="10.7109375" style="491" customWidth="1"/>
    <col min="261" max="261" width="13.42578125" style="491" customWidth="1"/>
    <col min="262" max="262" width="11.42578125" style="491" bestFit="1" customWidth="1"/>
    <col min="263" max="268" width="9.140625" style="491" customWidth="1"/>
    <col min="269" max="269" width="10.28515625" style="491" customWidth="1"/>
    <col min="270" max="272" width="9.140625" style="491" customWidth="1"/>
    <col min="273" max="273" width="10.28515625" style="491" customWidth="1"/>
    <col min="274" max="275" width="9.140625" style="491" customWidth="1"/>
    <col min="276" max="276" width="10.28515625" style="491" customWidth="1"/>
    <col min="277" max="509" width="9.140625" style="491" customWidth="1"/>
    <col min="510" max="510" width="11.7109375" style="491" customWidth="1"/>
    <col min="511" max="511" width="85" style="491" customWidth="1"/>
    <col min="512" max="512" width="10.7109375" style="491"/>
    <col min="513" max="513" width="9.5703125" style="491" bestFit="1" customWidth="1"/>
    <col min="514" max="514" width="52.85546875" style="491" customWidth="1"/>
    <col min="515" max="515" width="13" style="491" customWidth="1"/>
    <col min="516" max="516" width="10.7109375" style="491" customWidth="1"/>
    <col min="517" max="517" width="13.42578125" style="491" customWidth="1"/>
    <col min="518" max="518" width="11.42578125" style="491" bestFit="1" customWidth="1"/>
    <col min="519" max="524" width="9.140625" style="491" customWidth="1"/>
    <col min="525" max="525" width="10.28515625" style="491" customWidth="1"/>
    <col min="526" max="528" width="9.140625" style="491" customWidth="1"/>
    <col min="529" max="529" width="10.28515625" style="491" customWidth="1"/>
    <col min="530" max="531" width="9.140625" style="491" customWidth="1"/>
    <col min="532" max="532" width="10.28515625" style="491" customWidth="1"/>
    <col min="533" max="765" width="9.140625" style="491" customWidth="1"/>
    <col min="766" max="766" width="11.7109375" style="491" customWidth="1"/>
    <col min="767" max="767" width="85" style="491" customWidth="1"/>
    <col min="768" max="768" width="10.7109375" style="491"/>
    <col min="769" max="769" width="9.5703125" style="491" bestFit="1" customWidth="1"/>
    <col min="770" max="770" width="52.85546875" style="491" customWidth="1"/>
    <col min="771" max="771" width="13" style="491" customWidth="1"/>
    <col min="772" max="772" width="10.7109375" style="491" customWidth="1"/>
    <col min="773" max="773" width="13.42578125" style="491" customWidth="1"/>
    <col min="774" max="774" width="11.42578125" style="491" bestFit="1" customWidth="1"/>
    <col min="775" max="780" width="9.140625" style="491" customWidth="1"/>
    <col min="781" max="781" width="10.28515625" style="491" customWidth="1"/>
    <col min="782" max="784" width="9.140625" style="491" customWidth="1"/>
    <col min="785" max="785" width="10.28515625" style="491" customWidth="1"/>
    <col min="786" max="787" width="9.140625" style="491" customWidth="1"/>
    <col min="788" max="788" width="10.28515625" style="491" customWidth="1"/>
    <col min="789" max="1021" width="9.140625" style="491" customWidth="1"/>
    <col min="1022" max="1022" width="11.7109375" style="491" customWidth="1"/>
    <col min="1023" max="1023" width="85" style="491" customWidth="1"/>
    <col min="1024" max="1024" width="10.7109375" style="491"/>
    <col min="1025" max="1025" width="9.5703125" style="491" bestFit="1" customWidth="1"/>
    <col min="1026" max="1026" width="52.85546875" style="491" customWidth="1"/>
    <col min="1027" max="1027" width="13" style="491" customWidth="1"/>
    <col min="1028" max="1028" width="10.7109375" style="491" customWidth="1"/>
    <col min="1029" max="1029" width="13.42578125" style="491" customWidth="1"/>
    <col min="1030" max="1030" width="11.42578125" style="491" bestFit="1" customWidth="1"/>
    <col min="1031" max="1036" width="9.140625" style="491" customWidth="1"/>
    <col min="1037" max="1037" width="10.28515625" style="491" customWidth="1"/>
    <col min="1038" max="1040" width="9.140625" style="491" customWidth="1"/>
    <col min="1041" max="1041" width="10.28515625" style="491" customWidth="1"/>
    <col min="1042" max="1043" width="9.140625" style="491" customWidth="1"/>
    <col min="1044" max="1044" width="10.28515625" style="491" customWidth="1"/>
    <col min="1045" max="1277" width="9.140625" style="491" customWidth="1"/>
    <col min="1278" max="1278" width="11.7109375" style="491" customWidth="1"/>
    <col min="1279" max="1279" width="85" style="491" customWidth="1"/>
    <col min="1280" max="1280" width="10.7109375" style="491"/>
    <col min="1281" max="1281" width="9.5703125" style="491" bestFit="1" customWidth="1"/>
    <col min="1282" max="1282" width="52.85546875" style="491" customWidth="1"/>
    <col min="1283" max="1283" width="13" style="491" customWidth="1"/>
    <col min="1284" max="1284" width="10.7109375" style="491" customWidth="1"/>
    <col min="1285" max="1285" width="13.42578125" style="491" customWidth="1"/>
    <col min="1286" max="1286" width="11.42578125" style="491" bestFit="1" customWidth="1"/>
    <col min="1287" max="1292" width="9.140625" style="491" customWidth="1"/>
    <col min="1293" max="1293" width="10.28515625" style="491" customWidth="1"/>
    <col min="1294" max="1296" width="9.140625" style="491" customWidth="1"/>
    <col min="1297" max="1297" width="10.28515625" style="491" customWidth="1"/>
    <col min="1298" max="1299" width="9.140625" style="491" customWidth="1"/>
    <col min="1300" max="1300" width="10.28515625" style="491" customWidth="1"/>
    <col min="1301" max="1533" width="9.140625" style="491" customWidth="1"/>
    <col min="1534" max="1534" width="11.7109375" style="491" customWidth="1"/>
    <col min="1535" max="1535" width="85" style="491" customWidth="1"/>
    <col min="1536" max="1536" width="10.7109375" style="491"/>
    <col min="1537" max="1537" width="9.5703125" style="491" bestFit="1" customWidth="1"/>
    <col min="1538" max="1538" width="52.85546875" style="491" customWidth="1"/>
    <col min="1539" max="1539" width="13" style="491" customWidth="1"/>
    <col min="1540" max="1540" width="10.7109375" style="491" customWidth="1"/>
    <col min="1541" max="1541" width="13.42578125" style="491" customWidth="1"/>
    <col min="1542" max="1542" width="11.42578125" style="491" bestFit="1" customWidth="1"/>
    <col min="1543" max="1548" width="9.140625" style="491" customWidth="1"/>
    <col min="1549" max="1549" width="10.28515625" style="491" customWidth="1"/>
    <col min="1550" max="1552" width="9.140625" style="491" customWidth="1"/>
    <col min="1553" max="1553" width="10.28515625" style="491" customWidth="1"/>
    <col min="1554" max="1555" width="9.140625" style="491" customWidth="1"/>
    <col min="1556" max="1556" width="10.28515625" style="491" customWidth="1"/>
    <col min="1557" max="1789" width="9.140625" style="491" customWidth="1"/>
    <col min="1790" max="1790" width="11.7109375" style="491" customWidth="1"/>
    <col min="1791" max="1791" width="85" style="491" customWidth="1"/>
    <col min="1792" max="1792" width="10.7109375" style="491"/>
    <col min="1793" max="1793" width="9.5703125" style="491" bestFit="1" customWidth="1"/>
    <col min="1794" max="1794" width="52.85546875" style="491" customWidth="1"/>
    <col min="1795" max="1795" width="13" style="491" customWidth="1"/>
    <col min="1796" max="1796" width="10.7109375" style="491" customWidth="1"/>
    <col min="1797" max="1797" width="13.42578125" style="491" customWidth="1"/>
    <col min="1798" max="1798" width="11.42578125" style="491" bestFit="1" customWidth="1"/>
    <col min="1799" max="1804" width="9.140625" style="491" customWidth="1"/>
    <col min="1805" max="1805" width="10.28515625" style="491" customWidth="1"/>
    <col min="1806" max="1808" width="9.140625" style="491" customWidth="1"/>
    <col min="1809" max="1809" width="10.28515625" style="491" customWidth="1"/>
    <col min="1810" max="1811" width="9.140625" style="491" customWidth="1"/>
    <col min="1812" max="1812" width="10.28515625" style="491" customWidth="1"/>
    <col min="1813" max="2045" width="9.140625" style="491" customWidth="1"/>
    <col min="2046" max="2046" width="11.7109375" style="491" customWidth="1"/>
    <col min="2047" max="2047" width="85" style="491" customWidth="1"/>
    <col min="2048" max="2048" width="10.7109375" style="491"/>
    <col min="2049" max="2049" width="9.5703125" style="491" bestFit="1" customWidth="1"/>
    <col min="2050" max="2050" width="52.85546875" style="491" customWidth="1"/>
    <col min="2051" max="2051" width="13" style="491" customWidth="1"/>
    <col min="2052" max="2052" width="10.7109375" style="491" customWidth="1"/>
    <col min="2053" max="2053" width="13.42578125" style="491" customWidth="1"/>
    <col min="2054" max="2054" width="11.42578125" style="491" bestFit="1" customWidth="1"/>
    <col min="2055" max="2060" width="9.140625" style="491" customWidth="1"/>
    <col min="2061" max="2061" width="10.28515625" style="491" customWidth="1"/>
    <col min="2062" max="2064" width="9.140625" style="491" customWidth="1"/>
    <col min="2065" max="2065" width="10.28515625" style="491" customWidth="1"/>
    <col min="2066" max="2067" width="9.140625" style="491" customWidth="1"/>
    <col min="2068" max="2068" width="10.28515625" style="491" customWidth="1"/>
    <col min="2069" max="2301" width="9.140625" style="491" customWidth="1"/>
    <col min="2302" max="2302" width="11.7109375" style="491" customWidth="1"/>
    <col min="2303" max="2303" width="85" style="491" customWidth="1"/>
    <col min="2304" max="2304" width="10.7109375" style="491"/>
    <col min="2305" max="2305" width="9.5703125" style="491" bestFit="1" customWidth="1"/>
    <col min="2306" max="2306" width="52.85546875" style="491" customWidth="1"/>
    <col min="2307" max="2307" width="13" style="491" customWidth="1"/>
    <col min="2308" max="2308" width="10.7109375" style="491" customWidth="1"/>
    <col min="2309" max="2309" width="13.42578125" style="491" customWidth="1"/>
    <col min="2310" max="2310" width="11.42578125" style="491" bestFit="1" customWidth="1"/>
    <col min="2311" max="2316" width="9.140625" style="491" customWidth="1"/>
    <col min="2317" max="2317" width="10.28515625" style="491" customWidth="1"/>
    <col min="2318" max="2320" width="9.140625" style="491" customWidth="1"/>
    <col min="2321" max="2321" width="10.28515625" style="491" customWidth="1"/>
    <col min="2322" max="2323" width="9.140625" style="491" customWidth="1"/>
    <col min="2324" max="2324" width="10.28515625" style="491" customWidth="1"/>
    <col min="2325" max="2557" width="9.140625" style="491" customWidth="1"/>
    <col min="2558" max="2558" width="11.7109375" style="491" customWidth="1"/>
    <col min="2559" max="2559" width="85" style="491" customWidth="1"/>
    <col min="2560" max="2560" width="10.7109375" style="491"/>
    <col min="2561" max="2561" width="9.5703125" style="491" bestFit="1" customWidth="1"/>
    <col min="2562" max="2562" width="52.85546875" style="491" customWidth="1"/>
    <col min="2563" max="2563" width="13" style="491" customWidth="1"/>
    <col min="2564" max="2564" width="10.7109375" style="491" customWidth="1"/>
    <col min="2565" max="2565" width="13.42578125" style="491" customWidth="1"/>
    <col min="2566" max="2566" width="11.42578125" style="491" bestFit="1" customWidth="1"/>
    <col min="2567" max="2572" width="9.140625" style="491" customWidth="1"/>
    <col min="2573" max="2573" width="10.28515625" style="491" customWidth="1"/>
    <col min="2574" max="2576" width="9.140625" style="491" customWidth="1"/>
    <col min="2577" max="2577" width="10.28515625" style="491" customWidth="1"/>
    <col min="2578" max="2579" width="9.140625" style="491" customWidth="1"/>
    <col min="2580" max="2580" width="10.28515625" style="491" customWidth="1"/>
    <col min="2581" max="2813" width="9.140625" style="491" customWidth="1"/>
    <col min="2814" max="2814" width="11.7109375" style="491" customWidth="1"/>
    <col min="2815" max="2815" width="85" style="491" customWidth="1"/>
    <col min="2816" max="2816" width="10.7109375" style="491"/>
    <col min="2817" max="2817" width="9.5703125" style="491" bestFit="1" customWidth="1"/>
    <col min="2818" max="2818" width="52.85546875" style="491" customWidth="1"/>
    <col min="2819" max="2819" width="13" style="491" customWidth="1"/>
    <col min="2820" max="2820" width="10.7109375" style="491" customWidth="1"/>
    <col min="2821" max="2821" width="13.42578125" style="491" customWidth="1"/>
    <col min="2822" max="2822" width="11.42578125" style="491" bestFit="1" customWidth="1"/>
    <col min="2823" max="2828" width="9.140625" style="491" customWidth="1"/>
    <col min="2829" max="2829" width="10.28515625" style="491" customWidth="1"/>
    <col min="2830" max="2832" width="9.140625" style="491" customWidth="1"/>
    <col min="2833" max="2833" width="10.28515625" style="491" customWidth="1"/>
    <col min="2834" max="2835" width="9.140625" style="491" customWidth="1"/>
    <col min="2836" max="2836" width="10.28515625" style="491" customWidth="1"/>
    <col min="2837" max="3069" width="9.140625" style="491" customWidth="1"/>
    <col min="3070" max="3070" width="11.7109375" style="491" customWidth="1"/>
    <col min="3071" max="3071" width="85" style="491" customWidth="1"/>
    <col min="3072" max="3072" width="10.7109375" style="491"/>
    <col min="3073" max="3073" width="9.5703125" style="491" bestFit="1" customWidth="1"/>
    <col min="3074" max="3074" width="52.85546875" style="491" customWidth="1"/>
    <col min="3075" max="3075" width="13" style="491" customWidth="1"/>
    <col min="3076" max="3076" width="10.7109375" style="491" customWidth="1"/>
    <col min="3077" max="3077" width="13.42578125" style="491" customWidth="1"/>
    <col min="3078" max="3078" width="11.42578125" style="491" bestFit="1" customWidth="1"/>
    <col min="3079" max="3084" width="9.140625" style="491" customWidth="1"/>
    <col min="3085" max="3085" width="10.28515625" style="491" customWidth="1"/>
    <col min="3086" max="3088" width="9.140625" style="491" customWidth="1"/>
    <col min="3089" max="3089" width="10.28515625" style="491" customWidth="1"/>
    <col min="3090" max="3091" width="9.140625" style="491" customWidth="1"/>
    <col min="3092" max="3092" width="10.28515625" style="491" customWidth="1"/>
    <col min="3093" max="3325" width="9.140625" style="491" customWidth="1"/>
    <col min="3326" max="3326" width="11.7109375" style="491" customWidth="1"/>
    <col min="3327" max="3327" width="85" style="491" customWidth="1"/>
    <col min="3328" max="3328" width="10.7109375" style="491"/>
    <col min="3329" max="3329" width="9.5703125" style="491" bestFit="1" customWidth="1"/>
    <col min="3330" max="3330" width="52.85546875" style="491" customWidth="1"/>
    <col min="3331" max="3331" width="13" style="491" customWidth="1"/>
    <col min="3332" max="3332" width="10.7109375" style="491" customWidth="1"/>
    <col min="3333" max="3333" width="13.42578125" style="491" customWidth="1"/>
    <col min="3334" max="3334" width="11.42578125" style="491" bestFit="1" customWidth="1"/>
    <col min="3335" max="3340" width="9.140625" style="491" customWidth="1"/>
    <col min="3341" max="3341" width="10.28515625" style="491" customWidth="1"/>
    <col min="3342" max="3344" width="9.140625" style="491" customWidth="1"/>
    <col min="3345" max="3345" width="10.28515625" style="491" customWidth="1"/>
    <col min="3346" max="3347" width="9.140625" style="491" customWidth="1"/>
    <col min="3348" max="3348" width="10.28515625" style="491" customWidth="1"/>
    <col min="3349" max="3581" width="9.140625" style="491" customWidth="1"/>
    <col min="3582" max="3582" width="11.7109375" style="491" customWidth="1"/>
    <col min="3583" max="3583" width="85" style="491" customWidth="1"/>
    <col min="3584" max="3584" width="10.7109375" style="491"/>
    <col min="3585" max="3585" width="9.5703125" style="491" bestFit="1" customWidth="1"/>
    <col min="3586" max="3586" width="52.85546875" style="491" customWidth="1"/>
    <col min="3587" max="3587" width="13" style="491" customWidth="1"/>
    <col min="3588" max="3588" width="10.7109375" style="491" customWidth="1"/>
    <col min="3589" max="3589" width="13.42578125" style="491" customWidth="1"/>
    <col min="3590" max="3590" width="11.42578125" style="491" bestFit="1" customWidth="1"/>
    <col min="3591" max="3596" width="9.140625" style="491" customWidth="1"/>
    <col min="3597" max="3597" width="10.28515625" style="491" customWidth="1"/>
    <col min="3598" max="3600" width="9.140625" style="491" customWidth="1"/>
    <col min="3601" max="3601" width="10.28515625" style="491" customWidth="1"/>
    <col min="3602" max="3603" width="9.140625" style="491" customWidth="1"/>
    <col min="3604" max="3604" width="10.28515625" style="491" customWidth="1"/>
    <col min="3605" max="3837" width="9.140625" style="491" customWidth="1"/>
    <col min="3838" max="3838" width="11.7109375" style="491" customWidth="1"/>
    <col min="3839" max="3839" width="85" style="491" customWidth="1"/>
    <col min="3840" max="3840" width="10.7109375" style="491"/>
    <col min="3841" max="3841" width="9.5703125" style="491" bestFit="1" customWidth="1"/>
    <col min="3842" max="3842" width="52.85546875" style="491" customWidth="1"/>
    <col min="3843" max="3843" width="13" style="491" customWidth="1"/>
    <col min="3844" max="3844" width="10.7109375" style="491" customWidth="1"/>
    <col min="3845" max="3845" width="13.42578125" style="491" customWidth="1"/>
    <col min="3846" max="3846" width="11.42578125" style="491" bestFit="1" customWidth="1"/>
    <col min="3847" max="3852" width="9.140625" style="491" customWidth="1"/>
    <col min="3853" max="3853" width="10.28515625" style="491" customWidth="1"/>
    <col min="3854" max="3856" width="9.140625" style="491" customWidth="1"/>
    <col min="3857" max="3857" width="10.28515625" style="491" customWidth="1"/>
    <col min="3858" max="3859" width="9.140625" style="491" customWidth="1"/>
    <col min="3860" max="3860" width="10.28515625" style="491" customWidth="1"/>
    <col min="3861" max="4093" width="9.140625" style="491" customWidth="1"/>
    <col min="4094" max="4094" width="11.7109375" style="491" customWidth="1"/>
    <col min="4095" max="4095" width="85" style="491" customWidth="1"/>
    <col min="4096" max="4096" width="10.7109375" style="491"/>
    <col min="4097" max="4097" width="9.5703125" style="491" bestFit="1" customWidth="1"/>
    <col min="4098" max="4098" width="52.85546875" style="491" customWidth="1"/>
    <col min="4099" max="4099" width="13" style="491" customWidth="1"/>
    <col min="4100" max="4100" width="10.7109375" style="491" customWidth="1"/>
    <col min="4101" max="4101" width="13.42578125" style="491" customWidth="1"/>
    <col min="4102" max="4102" width="11.42578125" style="491" bestFit="1" customWidth="1"/>
    <col min="4103" max="4108" width="9.140625" style="491" customWidth="1"/>
    <col min="4109" max="4109" width="10.28515625" style="491" customWidth="1"/>
    <col min="4110" max="4112" width="9.140625" style="491" customWidth="1"/>
    <col min="4113" max="4113" width="10.28515625" style="491" customWidth="1"/>
    <col min="4114" max="4115" width="9.140625" style="491" customWidth="1"/>
    <col min="4116" max="4116" width="10.28515625" style="491" customWidth="1"/>
    <col min="4117" max="4349" width="9.140625" style="491" customWidth="1"/>
    <col min="4350" max="4350" width="11.7109375" style="491" customWidth="1"/>
    <col min="4351" max="4351" width="85" style="491" customWidth="1"/>
    <col min="4352" max="4352" width="10.7109375" style="491"/>
    <col min="4353" max="4353" width="9.5703125" style="491" bestFit="1" customWidth="1"/>
    <col min="4354" max="4354" width="52.85546875" style="491" customWidth="1"/>
    <col min="4355" max="4355" width="13" style="491" customWidth="1"/>
    <col min="4356" max="4356" width="10.7109375" style="491" customWidth="1"/>
    <col min="4357" max="4357" width="13.42578125" style="491" customWidth="1"/>
    <col min="4358" max="4358" width="11.42578125" style="491" bestFit="1" customWidth="1"/>
    <col min="4359" max="4364" width="9.140625" style="491" customWidth="1"/>
    <col min="4365" max="4365" width="10.28515625" style="491" customWidth="1"/>
    <col min="4366" max="4368" width="9.140625" style="491" customWidth="1"/>
    <col min="4369" max="4369" width="10.28515625" style="491" customWidth="1"/>
    <col min="4370" max="4371" width="9.140625" style="491" customWidth="1"/>
    <col min="4372" max="4372" width="10.28515625" style="491" customWidth="1"/>
    <col min="4373" max="4605" width="9.140625" style="491" customWidth="1"/>
    <col min="4606" max="4606" width="11.7109375" style="491" customWidth="1"/>
    <col min="4607" max="4607" width="85" style="491" customWidth="1"/>
    <col min="4608" max="4608" width="10.7109375" style="491"/>
    <col min="4609" max="4609" width="9.5703125" style="491" bestFit="1" customWidth="1"/>
    <col min="4610" max="4610" width="52.85546875" style="491" customWidth="1"/>
    <col min="4611" max="4611" width="13" style="491" customWidth="1"/>
    <col min="4612" max="4612" width="10.7109375" style="491" customWidth="1"/>
    <col min="4613" max="4613" width="13.42578125" style="491" customWidth="1"/>
    <col min="4614" max="4614" width="11.42578125" style="491" bestFit="1" customWidth="1"/>
    <col min="4615" max="4620" width="9.140625" style="491" customWidth="1"/>
    <col min="4621" max="4621" width="10.28515625" style="491" customWidth="1"/>
    <col min="4622" max="4624" width="9.140625" style="491" customWidth="1"/>
    <col min="4625" max="4625" width="10.28515625" style="491" customWidth="1"/>
    <col min="4626" max="4627" width="9.140625" style="491" customWidth="1"/>
    <col min="4628" max="4628" width="10.28515625" style="491" customWidth="1"/>
    <col min="4629" max="4861" width="9.140625" style="491" customWidth="1"/>
    <col min="4862" max="4862" width="11.7109375" style="491" customWidth="1"/>
    <col min="4863" max="4863" width="85" style="491" customWidth="1"/>
    <col min="4864" max="4864" width="10.7109375" style="491"/>
    <col min="4865" max="4865" width="9.5703125" style="491" bestFit="1" customWidth="1"/>
    <col min="4866" max="4866" width="52.85546875" style="491" customWidth="1"/>
    <col min="4867" max="4867" width="13" style="491" customWidth="1"/>
    <col min="4868" max="4868" width="10.7109375" style="491" customWidth="1"/>
    <col min="4869" max="4869" width="13.42578125" style="491" customWidth="1"/>
    <col min="4870" max="4870" width="11.42578125" style="491" bestFit="1" customWidth="1"/>
    <col min="4871" max="4876" width="9.140625" style="491" customWidth="1"/>
    <col min="4877" max="4877" width="10.28515625" style="491" customWidth="1"/>
    <col min="4878" max="4880" width="9.140625" style="491" customWidth="1"/>
    <col min="4881" max="4881" width="10.28515625" style="491" customWidth="1"/>
    <col min="4882" max="4883" width="9.140625" style="491" customWidth="1"/>
    <col min="4884" max="4884" width="10.28515625" style="491" customWidth="1"/>
    <col min="4885" max="5117" width="9.140625" style="491" customWidth="1"/>
    <col min="5118" max="5118" width="11.7109375" style="491" customWidth="1"/>
    <col min="5119" max="5119" width="85" style="491" customWidth="1"/>
    <col min="5120" max="5120" width="10.7109375" style="491"/>
    <col min="5121" max="5121" width="9.5703125" style="491" bestFit="1" customWidth="1"/>
    <col min="5122" max="5122" width="52.85546875" style="491" customWidth="1"/>
    <col min="5123" max="5123" width="13" style="491" customWidth="1"/>
    <col min="5124" max="5124" width="10.7109375" style="491" customWidth="1"/>
    <col min="5125" max="5125" width="13.42578125" style="491" customWidth="1"/>
    <col min="5126" max="5126" width="11.42578125" style="491" bestFit="1" customWidth="1"/>
    <col min="5127" max="5132" width="9.140625" style="491" customWidth="1"/>
    <col min="5133" max="5133" width="10.28515625" style="491" customWidth="1"/>
    <col min="5134" max="5136" width="9.140625" style="491" customWidth="1"/>
    <col min="5137" max="5137" width="10.28515625" style="491" customWidth="1"/>
    <col min="5138" max="5139" width="9.140625" style="491" customWidth="1"/>
    <col min="5140" max="5140" width="10.28515625" style="491" customWidth="1"/>
    <col min="5141" max="5373" width="9.140625" style="491" customWidth="1"/>
    <col min="5374" max="5374" width="11.7109375" style="491" customWidth="1"/>
    <col min="5375" max="5375" width="85" style="491" customWidth="1"/>
    <col min="5376" max="5376" width="10.7109375" style="491"/>
    <col min="5377" max="5377" width="9.5703125" style="491" bestFit="1" customWidth="1"/>
    <col min="5378" max="5378" width="52.85546875" style="491" customWidth="1"/>
    <col min="5379" max="5379" width="13" style="491" customWidth="1"/>
    <col min="5380" max="5380" width="10.7109375" style="491" customWidth="1"/>
    <col min="5381" max="5381" width="13.42578125" style="491" customWidth="1"/>
    <col min="5382" max="5382" width="11.42578125" style="491" bestFit="1" customWidth="1"/>
    <col min="5383" max="5388" width="9.140625" style="491" customWidth="1"/>
    <col min="5389" max="5389" width="10.28515625" style="491" customWidth="1"/>
    <col min="5390" max="5392" width="9.140625" style="491" customWidth="1"/>
    <col min="5393" max="5393" width="10.28515625" style="491" customWidth="1"/>
    <col min="5394" max="5395" width="9.140625" style="491" customWidth="1"/>
    <col min="5396" max="5396" width="10.28515625" style="491" customWidth="1"/>
    <col min="5397" max="5629" width="9.140625" style="491" customWidth="1"/>
    <col min="5630" max="5630" width="11.7109375" style="491" customWidth="1"/>
    <col min="5631" max="5631" width="85" style="491" customWidth="1"/>
    <col min="5632" max="5632" width="10.7109375" style="491"/>
    <col min="5633" max="5633" width="9.5703125" style="491" bestFit="1" customWidth="1"/>
    <col min="5634" max="5634" width="52.85546875" style="491" customWidth="1"/>
    <col min="5635" max="5635" width="13" style="491" customWidth="1"/>
    <col min="5636" max="5636" width="10.7109375" style="491" customWidth="1"/>
    <col min="5637" max="5637" width="13.42578125" style="491" customWidth="1"/>
    <col min="5638" max="5638" width="11.42578125" style="491" bestFit="1" customWidth="1"/>
    <col min="5639" max="5644" width="9.140625" style="491" customWidth="1"/>
    <col min="5645" max="5645" width="10.28515625" style="491" customWidth="1"/>
    <col min="5646" max="5648" width="9.140625" style="491" customWidth="1"/>
    <col min="5649" max="5649" width="10.28515625" style="491" customWidth="1"/>
    <col min="5650" max="5651" width="9.140625" style="491" customWidth="1"/>
    <col min="5652" max="5652" width="10.28515625" style="491" customWidth="1"/>
    <col min="5653" max="5885" width="9.140625" style="491" customWidth="1"/>
    <col min="5886" max="5886" width="11.7109375" style="491" customWidth="1"/>
    <col min="5887" max="5887" width="85" style="491" customWidth="1"/>
    <col min="5888" max="5888" width="10.7109375" style="491"/>
    <col min="5889" max="5889" width="9.5703125" style="491" bestFit="1" customWidth="1"/>
    <col min="5890" max="5890" width="52.85546875" style="491" customWidth="1"/>
    <col min="5891" max="5891" width="13" style="491" customWidth="1"/>
    <col min="5892" max="5892" width="10.7109375" style="491" customWidth="1"/>
    <col min="5893" max="5893" width="13.42578125" style="491" customWidth="1"/>
    <col min="5894" max="5894" width="11.42578125" style="491" bestFit="1" customWidth="1"/>
    <col min="5895" max="5900" width="9.140625" style="491" customWidth="1"/>
    <col min="5901" max="5901" width="10.28515625" style="491" customWidth="1"/>
    <col min="5902" max="5904" width="9.140625" style="491" customWidth="1"/>
    <col min="5905" max="5905" width="10.28515625" style="491" customWidth="1"/>
    <col min="5906" max="5907" width="9.140625" style="491" customWidth="1"/>
    <col min="5908" max="5908" width="10.28515625" style="491" customWidth="1"/>
    <col min="5909" max="6141" width="9.140625" style="491" customWidth="1"/>
    <col min="6142" max="6142" width="11.7109375" style="491" customWidth="1"/>
    <col min="6143" max="6143" width="85" style="491" customWidth="1"/>
    <col min="6144" max="6144" width="10.7109375" style="491"/>
    <col min="6145" max="6145" width="9.5703125" style="491" bestFit="1" customWidth="1"/>
    <col min="6146" max="6146" width="52.85546875" style="491" customWidth="1"/>
    <col min="6147" max="6147" width="13" style="491" customWidth="1"/>
    <col min="6148" max="6148" width="10.7109375" style="491" customWidth="1"/>
    <col min="6149" max="6149" width="13.42578125" style="491" customWidth="1"/>
    <col min="6150" max="6150" width="11.42578125" style="491" bestFit="1" customWidth="1"/>
    <col min="6151" max="6156" width="9.140625" style="491" customWidth="1"/>
    <col min="6157" max="6157" width="10.28515625" style="491" customWidth="1"/>
    <col min="6158" max="6160" width="9.140625" style="491" customWidth="1"/>
    <col min="6161" max="6161" width="10.28515625" style="491" customWidth="1"/>
    <col min="6162" max="6163" width="9.140625" style="491" customWidth="1"/>
    <col min="6164" max="6164" width="10.28515625" style="491" customWidth="1"/>
    <col min="6165" max="6397" width="9.140625" style="491" customWidth="1"/>
    <col min="6398" max="6398" width="11.7109375" style="491" customWidth="1"/>
    <col min="6399" max="6399" width="85" style="491" customWidth="1"/>
    <col min="6400" max="6400" width="10.7109375" style="491"/>
    <col min="6401" max="6401" width="9.5703125" style="491" bestFit="1" customWidth="1"/>
    <col min="6402" max="6402" width="52.85546875" style="491" customWidth="1"/>
    <col min="6403" max="6403" width="13" style="491" customWidth="1"/>
    <col min="6404" max="6404" width="10.7109375" style="491" customWidth="1"/>
    <col min="6405" max="6405" width="13.42578125" style="491" customWidth="1"/>
    <col min="6406" max="6406" width="11.42578125" style="491" bestFit="1" customWidth="1"/>
    <col min="6407" max="6412" width="9.140625" style="491" customWidth="1"/>
    <col min="6413" max="6413" width="10.28515625" style="491" customWidth="1"/>
    <col min="6414" max="6416" width="9.140625" style="491" customWidth="1"/>
    <col min="6417" max="6417" width="10.28515625" style="491" customWidth="1"/>
    <col min="6418" max="6419" width="9.140625" style="491" customWidth="1"/>
    <col min="6420" max="6420" width="10.28515625" style="491" customWidth="1"/>
    <col min="6421" max="6653" width="9.140625" style="491" customWidth="1"/>
    <col min="6654" max="6654" width="11.7109375" style="491" customWidth="1"/>
    <col min="6655" max="6655" width="85" style="491" customWidth="1"/>
    <col min="6656" max="6656" width="10.7109375" style="491"/>
    <col min="6657" max="6657" width="9.5703125" style="491" bestFit="1" customWidth="1"/>
    <col min="6658" max="6658" width="52.85546875" style="491" customWidth="1"/>
    <col min="6659" max="6659" width="13" style="491" customWidth="1"/>
    <col min="6660" max="6660" width="10.7109375" style="491" customWidth="1"/>
    <col min="6661" max="6661" width="13.42578125" style="491" customWidth="1"/>
    <col min="6662" max="6662" width="11.42578125" style="491" bestFit="1" customWidth="1"/>
    <col min="6663" max="6668" width="9.140625" style="491" customWidth="1"/>
    <col min="6669" max="6669" width="10.28515625" style="491" customWidth="1"/>
    <col min="6670" max="6672" width="9.140625" style="491" customWidth="1"/>
    <col min="6673" max="6673" width="10.28515625" style="491" customWidth="1"/>
    <col min="6674" max="6675" width="9.140625" style="491" customWidth="1"/>
    <col min="6676" max="6676" width="10.28515625" style="491" customWidth="1"/>
    <col min="6677" max="6909" width="9.140625" style="491" customWidth="1"/>
    <col min="6910" max="6910" width="11.7109375" style="491" customWidth="1"/>
    <col min="6911" max="6911" width="85" style="491" customWidth="1"/>
    <col min="6912" max="6912" width="10.7109375" style="491"/>
    <col min="6913" max="6913" width="9.5703125" style="491" bestFit="1" customWidth="1"/>
    <col min="6914" max="6914" width="52.85546875" style="491" customWidth="1"/>
    <col min="6915" max="6915" width="13" style="491" customWidth="1"/>
    <col min="6916" max="6916" width="10.7109375" style="491" customWidth="1"/>
    <col min="6917" max="6917" width="13.42578125" style="491" customWidth="1"/>
    <col min="6918" max="6918" width="11.42578125" style="491" bestFit="1" customWidth="1"/>
    <col min="6919" max="6924" width="9.140625" style="491" customWidth="1"/>
    <col min="6925" max="6925" width="10.28515625" style="491" customWidth="1"/>
    <col min="6926" max="6928" width="9.140625" style="491" customWidth="1"/>
    <col min="6929" max="6929" width="10.28515625" style="491" customWidth="1"/>
    <col min="6930" max="6931" width="9.140625" style="491" customWidth="1"/>
    <col min="6932" max="6932" width="10.28515625" style="491" customWidth="1"/>
    <col min="6933" max="7165" width="9.140625" style="491" customWidth="1"/>
    <col min="7166" max="7166" width="11.7109375" style="491" customWidth="1"/>
    <col min="7167" max="7167" width="85" style="491" customWidth="1"/>
    <col min="7168" max="7168" width="10.7109375" style="491"/>
    <col min="7169" max="7169" width="9.5703125" style="491" bestFit="1" customWidth="1"/>
    <col min="7170" max="7170" width="52.85546875" style="491" customWidth="1"/>
    <col min="7171" max="7171" width="13" style="491" customWidth="1"/>
    <col min="7172" max="7172" width="10.7109375" style="491" customWidth="1"/>
    <col min="7173" max="7173" width="13.42578125" style="491" customWidth="1"/>
    <col min="7174" max="7174" width="11.42578125" style="491" bestFit="1" customWidth="1"/>
    <col min="7175" max="7180" width="9.140625" style="491" customWidth="1"/>
    <col min="7181" max="7181" width="10.28515625" style="491" customWidth="1"/>
    <col min="7182" max="7184" width="9.140625" style="491" customWidth="1"/>
    <col min="7185" max="7185" width="10.28515625" style="491" customWidth="1"/>
    <col min="7186" max="7187" width="9.140625" style="491" customWidth="1"/>
    <col min="7188" max="7188" width="10.28515625" style="491" customWidth="1"/>
    <col min="7189" max="7421" width="9.140625" style="491" customWidth="1"/>
    <col min="7422" max="7422" width="11.7109375" style="491" customWidth="1"/>
    <col min="7423" max="7423" width="85" style="491" customWidth="1"/>
    <col min="7424" max="7424" width="10.7109375" style="491"/>
    <col min="7425" max="7425" width="9.5703125" style="491" bestFit="1" customWidth="1"/>
    <col min="7426" max="7426" width="52.85546875" style="491" customWidth="1"/>
    <col min="7427" max="7427" width="13" style="491" customWidth="1"/>
    <col min="7428" max="7428" width="10.7109375" style="491" customWidth="1"/>
    <col min="7429" max="7429" width="13.42578125" style="491" customWidth="1"/>
    <col min="7430" max="7430" width="11.42578125" style="491" bestFit="1" customWidth="1"/>
    <col min="7431" max="7436" width="9.140625" style="491" customWidth="1"/>
    <col min="7437" max="7437" width="10.28515625" style="491" customWidth="1"/>
    <col min="7438" max="7440" width="9.140625" style="491" customWidth="1"/>
    <col min="7441" max="7441" width="10.28515625" style="491" customWidth="1"/>
    <col min="7442" max="7443" width="9.140625" style="491" customWidth="1"/>
    <col min="7444" max="7444" width="10.28515625" style="491" customWidth="1"/>
    <col min="7445" max="7677" width="9.140625" style="491" customWidth="1"/>
    <col min="7678" max="7678" width="11.7109375" style="491" customWidth="1"/>
    <col min="7679" max="7679" width="85" style="491" customWidth="1"/>
    <col min="7680" max="7680" width="10.7109375" style="491"/>
    <col min="7681" max="7681" width="9.5703125" style="491" bestFit="1" customWidth="1"/>
    <col min="7682" max="7682" width="52.85546875" style="491" customWidth="1"/>
    <col min="7683" max="7683" width="13" style="491" customWidth="1"/>
    <col min="7684" max="7684" width="10.7109375" style="491" customWidth="1"/>
    <col min="7685" max="7685" width="13.42578125" style="491" customWidth="1"/>
    <col min="7686" max="7686" width="11.42578125" style="491" bestFit="1" customWidth="1"/>
    <col min="7687" max="7692" width="9.140625" style="491" customWidth="1"/>
    <col min="7693" max="7693" width="10.28515625" style="491" customWidth="1"/>
    <col min="7694" max="7696" width="9.140625" style="491" customWidth="1"/>
    <col min="7697" max="7697" width="10.28515625" style="491" customWidth="1"/>
    <col min="7698" max="7699" width="9.140625" style="491" customWidth="1"/>
    <col min="7700" max="7700" width="10.28515625" style="491" customWidth="1"/>
    <col min="7701" max="7933" width="9.140625" style="491" customWidth="1"/>
    <col min="7934" max="7934" width="11.7109375" style="491" customWidth="1"/>
    <col min="7935" max="7935" width="85" style="491" customWidth="1"/>
    <col min="7936" max="7936" width="10.7109375" style="491"/>
    <col min="7937" max="7937" width="9.5703125" style="491" bestFit="1" customWidth="1"/>
    <col min="7938" max="7938" width="52.85546875" style="491" customWidth="1"/>
    <col min="7939" max="7939" width="13" style="491" customWidth="1"/>
    <col min="7940" max="7940" width="10.7109375" style="491" customWidth="1"/>
    <col min="7941" max="7941" width="13.42578125" style="491" customWidth="1"/>
    <col min="7942" max="7942" width="11.42578125" style="491" bestFit="1" customWidth="1"/>
    <col min="7943" max="7948" width="9.140625" style="491" customWidth="1"/>
    <col min="7949" max="7949" width="10.28515625" style="491" customWidth="1"/>
    <col min="7950" max="7952" width="9.140625" style="491" customWidth="1"/>
    <col min="7953" max="7953" width="10.28515625" style="491" customWidth="1"/>
    <col min="7954" max="7955" width="9.140625" style="491" customWidth="1"/>
    <col min="7956" max="7956" width="10.28515625" style="491" customWidth="1"/>
    <col min="7957" max="8189" width="9.140625" style="491" customWidth="1"/>
    <col min="8190" max="8190" width="11.7109375" style="491" customWidth="1"/>
    <col min="8191" max="8191" width="85" style="491" customWidth="1"/>
    <col min="8192" max="8192" width="10.7109375" style="491"/>
    <col min="8193" max="8193" width="9.5703125" style="491" bestFit="1" customWidth="1"/>
    <col min="8194" max="8194" width="52.85546875" style="491" customWidth="1"/>
    <col min="8195" max="8195" width="13" style="491" customWidth="1"/>
    <col min="8196" max="8196" width="10.7109375" style="491" customWidth="1"/>
    <col min="8197" max="8197" width="13.42578125" style="491" customWidth="1"/>
    <col min="8198" max="8198" width="11.42578125" style="491" bestFit="1" customWidth="1"/>
    <col min="8199" max="8204" width="9.140625" style="491" customWidth="1"/>
    <col min="8205" max="8205" width="10.28515625" style="491" customWidth="1"/>
    <col min="8206" max="8208" width="9.140625" style="491" customWidth="1"/>
    <col min="8209" max="8209" width="10.28515625" style="491" customWidth="1"/>
    <col min="8210" max="8211" width="9.140625" style="491" customWidth="1"/>
    <col min="8212" max="8212" width="10.28515625" style="491" customWidth="1"/>
    <col min="8213" max="8445" width="9.140625" style="491" customWidth="1"/>
    <col min="8446" max="8446" width="11.7109375" style="491" customWidth="1"/>
    <col min="8447" max="8447" width="85" style="491" customWidth="1"/>
    <col min="8448" max="8448" width="10.7109375" style="491"/>
    <col min="8449" max="8449" width="9.5703125" style="491" bestFit="1" customWidth="1"/>
    <col min="8450" max="8450" width="52.85546875" style="491" customWidth="1"/>
    <col min="8451" max="8451" width="13" style="491" customWidth="1"/>
    <col min="8452" max="8452" width="10.7109375" style="491" customWidth="1"/>
    <col min="8453" max="8453" width="13.42578125" style="491" customWidth="1"/>
    <col min="8454" max="8454" width="11.42578125" style="491" bestFit="1" customWidth="1"/>
    <col min="8455" max="8460" width="9.140625" style="491" customWidth="1"/>
    <col min="8461" max="8461" width="10.28515625" style="491" customWidth="1"/>
    <col min="8462" max="8464" width="9.140625" style="491" customWidth="1"/>
    <col min="8465" max="8465" width="10.28515625" style="491" customWidth="1"/>
    <col min="8466" max="8467" width="9.140625" style="491" customWidth="1"/>
    <col min="8468" max="8468" width="10.28515625" style="491" customWidth="1"/>
    <col min="8469" max="8701" width="9.140625" style="491" customWidth="1"/>
    <col min="8702" max="8702" width="11.7109375" style="491" customWidth="1"/>
    <col min="8703" max="8703" width="85" style="491" customWidth="1"/>
    <col min="8704" max="8704" width="10.7109375" style="491"/>
    <col min="8705" max="8705" width="9.5703125" style="491" bestFit="1" customWidth="1"/>
    <col min="8706" max="8706" width="52.85546875" style="491" customWidth="1"/>
    <col min="8707" max="8707" width="13" style="491" customWidth="1"/>
    <col min="8708" max="8708" width="10.7109375" style="491" customWidth="1"/>
    <col min="8709" max="8709" width="13.42578125" style="491" customWidth="1"/>
    <col min="8710" max="8710" width="11.42578125" style="491" bestFit="1" customWidth="1"/>
    <col min="8711" max="8716" width="9.140625" style="491" customWidth="1"/>
    <col min="8717" max="8717" width="10.28515625" style="491" customWidth="1"/>
    <col min="8718" max="8720" width="9.140625" style="491" customWidth="1"/>
    <col min="8721" max="8721" width="10.28515625" style="491" customWidth="1"/>
    <col min="8722" max="8723" width="9.140625" style="491" customWidth="1"/>
    <col min="8724" max="8724" width="10.28515625" style="491" customWidth="1"/>
    <col min="8725" max="8957" width="9.140625" style="491" customWidth="1"/>
    <col min="8958" max="8958" width="11.7109375" style="491" customWidth="1"/>
    <col min="8959" max="8959" width="85" style="491" customWidth="1"/>
    <col min="8960" max="8960" width="10.7109375" style="491"/>
    <col min="8961" max="8961" width="9.5703125" style="491" bestFit="1" customWidth="1"/>
    <col min="8962" max="8962" width="52.85546875" style="491" customWidth="1"/>
    <col min="8963" max="8963" width="13" style="491" customWidth="1"/>
    <col min="8964" max="8964" width="10.7109375" style="491" customWidth="1"/>
    <col min="8965" max="8965" width="13.42578125" style="491" customWidth="1"/>
    <col min="8966" max="8966" width="11.42578125" style="491" bestFit="1" customWidth="1"/>
    <col min="8967" max="8972" width="9.140625" style="491" customWidth="1"/>
    <col min="8973" max="8973" width="10.28515625" style="491" customWidth="1"/>
    <col min="8974" max="8976" width="9.140625" style="491" customWidth="1"/>
    <col min="8977" max="8977" width="10.28515625" style="491" customWidth="1"/>
    <col min="8978" max="8979" width="9.140625" style="491" customWidth="1"/>
    <col min="8980" max="8980" width="10.28515625" style="491" customWidth="1"/>
    <col min="8981" max="9213" width="9.140625" style="491" customWidth="1"/>
    <col min="9214" max="9214" width="11.7109375" style="491" customWidth="1"/>
    <col min="9215" max="9215" width="85" style="491" customWidth="1"/>
    <col min="9216" max="9216" width="10.7109375" style="491"/>
    <col min="9217" max="9217" width="9.5703125" style="491" bestFit="1" customWidth="1"/>
    <col min="9218" max="9218" width="52.85546875" style="491" customWidth="1"/>
    <col min="9219" max="9219" width="13" style="491" customWidth="1"/>
    <col min="9220" max="9220" width="10.7109375" style="491" customWidth="1"/>
    <col min="9221" max="9221" width="13.42578125" style="491" customWidth="1"/>
    <col min="9222" max="9222" width="11.42578125" style="491" bestFit="1" customWidth="1"/>
    <col min="9223" max="9228" width="9.140625" style="491" customWidth="1"/>
    <col min="9229" max="9229" width="10.28515625" style="491" customWidth="1"/>
    <col min="9230" max="9232" width="9.140625" style="491" customWidth="1"/>
    <col min="9233" max="9233" width="10.28515625" style="491" customWidth="1"/>
    <col min="9234" max="9235" width="9.140625" style="491" customWidth="1"/>
    <col min="9236" max="9236" width="10.28515625" style="491" customWidth="1"/>
    <col min="9237" max="9469" width="9.140625" style="491" customWidth="1"/>
    <col min="9470" max="9470" width="11.7109375" style="491" customWidth="1"/>
    <col min="9471" max="9471" width="85" style="491" customWidth="1"/>
    <col min="9472" max="9472" width="10.7109375" style="491"/>
    <col min="9473" max="9473" width="9.5703125" style="491" bestFit="1" customWidth="1"/>
    <col min="9474" max="9474" width="52.85546875" style="491" customWidth="1"/>
    <col min="9475" max="9475" width="13" style="491" customWidth="1"/>
    <col min="9476" max="9476" width="10.7109375" style="491" customWidth="1"/>
    <col min="9477" max="9477" width="13.42578125" style="491" customWidth="1"/>
    <col min="9478" max="9478" width="11.42578125" style="491" bestFit="1" customWidth="1"/>
    <col min="9479" max="9484" width="9.140625" style="491" customWidth="1"/>
    <col min="9485" max="9485" width="10.28515625" style="491" customWidth="1"/>
    <col min="9486" max="9488" width="9.140625" style="491" customWidth="1"/>
    <col min="9489" max="9489" width="10.28515625" style="491" customWidth="1"/>
    <col min="9490" max="9491" width="9.140625" style="491" customWidth="1"/>
    <col min="9492" max="9492" width="10.28515625" style="491" customWidth="1"/>
    <col min="9493" max="9725" width="9.140625" style="491" customWidth="1"/>
    <col min="9726" max="9726" width="11.7109375" style="491" customWidth="1"/>
    <col min="9727" max="9727" width="85" style="491" customWidth="1"/>
    <col min="9728" max="9728" width="10.7109375" style="491"/>
    <col min="9729" max="9729" width="9.5703125" style="491" bestFit="1" customWidth="1"/>
    <col min="9730" max="9730" width="52.85546875" style="491" customWidth="1"/>
    <col min="9731" max="9731" width="13" style="491" customWidth="1"/>
    <col min="9732" max="9732" width="10.7109375" style="491" customWidth="1"/>
    <col min="9733" max="9733" width="13.42578125" style="491" customWidth="1"/>
    <col min="9734" max="9734" width="11.42578125" style="491" bestFit="1" customWidth="1"/>
    <col min="9735" max="9740" width="9.140625" style="491" customWidth="1"/>
    <col min="9741" max="9741" width="10.28515625" style="491" customWidth="1"/>
    <col min="9742" max="9744" width="9.140625" style="491" customWidth="1"/>
    <col min="9745" max="9745" width="10.28515625" style="491" customWidth="1"/>
    <col min="9746" max="9747" width="9.140625" style="491" customWidth="1"/>
    <col min="9748" max="9748" width="10.28515625" style="491" customWidth="1"/>
    <col min="9749" max="9981" width="9.140625" style="491" customWidth="1"/>
    <col min="9982" max="9982" width="11.7109375" style="491" customWidth="1"/>
    <col min="9983" max="9983" width="85" style="491" customWidth="1"/>
    <col min="9984" max="9984" width="10.7109375" style="491"/>
    <col min="9985" max="9985" width="9.5703125" style="491" bestFit="1" customWidth="1"/>
    <col min="9986" max="9986" width="52.85546875" style="491" customWidth="1"/>
    <col min="9987" max="9987" width="13" style="491" customWidth="1"/>
    <col min="9988" max="9988" width="10.7109375" style="491" customWidth="1"/>
    <col min="9989" max="9989" width="13.42578125" style="491" customWidth="1"/>
    <col min="9990" max="9990" width="11.42578125" style="491" bestFit="1" customWidth="1"/>
    <col min="9991" max="9996" width="9.140625" style="491" customWidth="1"/>
    <col min="9997" max="9997" width="10.28515625" style="491" customWidth="1"/>
    <col min="9998" max="10000" width="9.140625" style="491" customWidth="1"/>
    <col min="10001" max="10001" width="10.28515625" style="491" customWidth="1"/>
    <col min="10002" max="10003" width="9.140625" style="491" customWidth="1"/>
    <col min="10004" max="10004" width="10.28515625" style="491" customWidth="1"/>
    <col min="10005" max="10237" width="9.140625" style="491" customWidth="1"/>
    <col min="10238" max="10238" width="11.7109375" style="491" customWidth="1"/>
    <col min="10239" max="10239" width="85" style="491" customWidth="1"/>
    <col min="10240" max="10240" width="10.7109375" style="491"/>
    <col min="10241" max="10241" width="9.5703125" style="491" bestFit="1" customWidth="1"/>
    <col min="10242" max="10242" width="52.85546875" style="491" customWidth="1"/>
    <col min="10243" max="10243" width="13" style="491" customWidth="1"/>
    <col min="10244" max="10244" width="10.7109375" style="491" customWidth="1"/>
    <col min="10245" max="10245" width="13.42578125" style="491" customWidth="1"/>
    <col min="10246" max="10246" width="11.42578125" style="491" bestFit="1" customWidth="1"/>
    <col min="10247" max="10252" width="9.140625" style="491" customWidth="1"/>
    <col min="10253" max="10253" width="10.28515625" style="491" customWidth="1"/>
    <col min="10254" max="10256" width="9.140625" style="491" customWidth="1"/>
    <col min="10257" max="10257" width="10.28515625" style="491" customWidth="1"/>
    <col min="10258" max="10259" width="9.140625" style="491" customWidth="1"/>
    <col min="10260" max="10260" width="10.28515625" style="491" customWidth="1"/>
    <col min="10261" max="10493" width="9.140625" style="491" customWidth="1"/>
    <col min="10494" max="10494" width="11.7109375" style="491" customWidth="1"/>
    <col min="10495" max="10495" width="85" style="491" customWidth="1"/>
    <col min="10496" max="10496" width="10.7109375" style="491"/>
    <col min="10497" max="10497" width="9.5703125" style="491" bestFit="1" customWidth="1"/>
    <col min="10498" max="10498" width="52.85546875" style="491" customWidth="1"/>
    <col min="10499" max="10499" width="13" style="491" customWidth="1"/>
    <col min="10500" max="10500" width="10.7109375" style="491" customWidth="1"/>
    <col min="10501" max="10501" width="13.42578125" style="491" customWidth="1"/>
    <col min="10502" max="10502" width="11.42578125" style="491" bestFit="1" customWidth="1"/>
    <col min="10503" max="10508" width="9.140625" style="491" customWidth="1"/>
    <col min="10509" max="10509" width="10.28515625" style="491" customWidth="1"/>
    <col min="10510" max="10512" width="9.140625" style="491" customWidth="1"/>
    <col min="10513" max="10513" width="10.28515625" style="491" customWidth="1"/>
    <col min="10514" max="10515" width="9.140625" style="491" customWidth="1"/>
    <col min="10516" max="10516" width="10.28515625" style="491" customWidth="1"/>
    <col min="10517" max="10749" width="9.140625" style="491" customWidth="1"/>
    <col min="10750" max="10750" width="11.7109375" style="491" customWidth="1"/>
    <col min="10751" max="10751" width="85" style="491" customWidth="1"/>
    <col min="10752" max="10752" width="10.7109375" style="491"/>
    <col min="10753" max="10753" width="9.5703125" style="491" bestFit="1" customWidth="1"/>
    <col min="10754" max="10754" width="52.85546875" style="491" customWidth="1"/>
    <col min="10755" max="10755" width="13" style="491" customWidth="1"/>
    <col min="10756" max="10756" width="10.7109375" style="491" customWidth="1"/>
    <col min="10757" max="10757" width="13.42578125" style="491" customWidth="1"/>
    <col min="10758" max="10758" width="11.42578125" style="491" bestFit="1" customWidth="1"/>
    <col min="10759" max="10764" width="9.140625" style="491" customWidth="1"/>
    <col min="10765" max="10765" width="10.28515625" style="491" customWidth="1"/>
    <col min="10766" max="10768" width="9.140625" style="491" customWidth="1"/>
    <col min="10769" max="10769" width="10.28515625" style="491" customWidth="1"/>
    <col min="10770" max="10771" width="9.140625" style="491" customWidth="1"/>
    <col min="10772" max="10772" width="10.28515625" style="491" customWidth="1"/>
    <col min="10773" max="11005" width="9.140625" style="491" customWidth="1"/>
    <col min="11006" max="11006" width="11.7109375" style="491" customWidth="1"/>
    <col min="11007" max="11007" width="85" style="491" customWidth="1"/>
    <col min="11008" max="11008" width="10.7109375" style="491"/>
    <col min="11009" max="11009" width="9.5703125" style="491" bestFit="1" customWidth="1"/>
    <col min="11010" max="11010" width="52.85546875" style="491" customWidth="1"/>
    <col min="11011" max="11011" width="13" style="491" customWidth="1"/>
    <col min="11012" max="11012" width="10.7109375" style="491" customWidth="1"/>
    <col min="11013" max="11013" width="13.42578125" style="491" customWidth="1"/>
    <col min="11014" max="11014" width="11.42578125" style="491" bestFit="1" customWidth="1"/>
    <col min="11015" max="11020" width="9.140625" style="491" customWidth="1"/>
    <col min="11021" max="11021" width="10.28515625" style="491" customWidth="1"/>
    <col min="11022" max="11024" width="9.140625" style="491" customWidth="1"/>
    <col min="11025" max="11025" width="10.28515625" style="491" customWidth="1"/>
    <col min="11026" max="11027" width="9.140625" style="491" customWidth="1"/>
    <col min="11028" max="11028" width="10.28515625" style="491" customWidth="1"/>
    <col min="11029" max="11261" width="9.140625" style="491" customWidth="1"/>
    <col min="11262" max="11262" width="11.7109375" style="491" customWidth="1"/>
    <col min="11263" max="11263" width="85" style="491" customWidth="1"/>
    <col min="11264" max="11264" width="10.7109375" style="491"/>
    <col min="11265" max="11265" width="9.5703125" style="491" bestFit="1" customWidth="1"/>
    <col min="11266" max="11266" width="52.85546875" style="491" customWidth="1"/>
    <col min="11267" max="11267" width="13" style="491" customWidth="1"/>
    <col min="11268" max="11268" width="10.7109375" style="491" customWidth="1"/>
    <col min="11269" max="11269" width="13.42578125" style="491" customWidth="1"/>
    <col min="11270" max="11270" width="11.42578125" style="491" bestFit="1" customWidth="1"/>
    <col min="11271" max="11276" width="9.140625" style="491" customWidth="1"/>
    <col min="11277" max="11277" width="10.28515625" style="491" customWidth="1"/>
    <col min="11278" max="11280" width="9.140625" style="491" customWidth="1"/>
    <col min="11281" max="11281" width="10.28515625" style="491" customWidth="1"/>
    <col min="11282" max="11283" width="9.140625" style="491" customWidth="1"/>
    <col min="11284" max="11284" width="10.28515625" style="491" customWidth="1"/>
    <col min="11285" max="11517" width="9.140625" style="491" customWidth="1"/>
    <col min="11518" max="11518" width="11.7109375" style="491" customWidth="1"/>
    <col min="11519" max="11519" width="85" style="491" customWidth="1"/>
    <col min="11520" max="11520" width="10.7109375" style="491"/>
    <col min="11521" max="11521" width="9.5703125" style="491" bestFit="1" customWidth="1"/>
    <col min="11522" max="11522" width="52.85546875" style="491" customWidth="1"/>
    <col min="11523" max="11523" width="13" style="491" customWidth="1"/>
    <col min="11524" max="11524" width="10.7109375" style="491" customWidth="1"/>
    <col min="11525" max="11525" width="13.42578125" style="491" customWidth="1"/>
    <col min="11526" max="11526" width="11.42578125" style="491" bestFit="1" customWidth="1"/>
    <col min="11527" max="11532" width="9.140625" style="491" customWidth="1"/>
    <col min="11533" max="11533" width="10.28515625" style="491" customWidth="1"/>
    <col min="11534" max="11536" width="9.140625" style="491" customWidth="1"/>
    <col min="11537" max="11537" width="10.28515625" style="491" customWidth="1"/>
    <col min="11538" max="11539" width="9.140625" style="491" customWidth="1"/>
    <col min="11540" max="11540" width="10.28515625" style="491" customWidth="1"/>
    <col min="11541" max="11773" width="9.140625" style="491" customWidth="1"/>
    <col min="11774" max="11774" width="11.7109375" style="491" customWidth="1"/>
    <col min="11775" max="11775" width="85" style="491" customWidth="1"/>
    <col min="11776" max="11776" width="10.7109375" style="491"/>
    <col min="11777" max="11777" width="9.5703125" style="491" bestFit="1" customWidth="1"/>
    <col min="11778" max="11778" width="52.85546875" style="491" customWidth="1"/>
    <col min="11779" max="11779" width="13" style="491" customWidth="1"/>
    <col min="11780" max="11780" width="10.7109375" style="491" customWidth="1"/>
    <col min="11781" max="11781" width="13.42578125" style="491" customWidth="1"/>
    <col min="11782" max="11782" width="11.42578125" style="491" bestFit="1" customWidth="1"/>
    <col min="11783" max="11788" width="9.140625" style="491" customWidth="1"/>
    <col min="11789" max="11789" width="10.28515625" style="491" customWidth="1"/>
    <col min="11790" max="11792" width="9.140625" style="491" customWidth="1"/>
    <col min="11793" max="11793" width="10.28515625" style="491" customWidth="1"/>
    <col min="11794" max="11795" width="9.140625" style="491" customWidth="1"/>
    <col min="11796" max="11796" width="10.28515625" style="491" customWidth="1"/>
    <col min="11797" max="12029" width="9.140625" style="491" customWidth="1"/>
    <col min="12030" max="12030" width="11.7109375" style="491" customWidth="1"/>
    <col min="12031" max="12031" width="85" style="491" customWidth="1"/>
    <col min="12032" max="12032" width="10.7109375" style="491"/>
    <col min="12033" max="12033" width="9.5703125" style="491" bestFit="1" customWidth="1"/>
    <col min="12034" max="12034" width="52.85546875" style="491" customWidth="1"/>
    <col min="12035" max="12035" width="13" style="491" customWidth="1"/>
    <col min="12036" max="12036" width="10.7109375" style="491" customWidth="1"/>
    <col min="12037" max="12037" width="13.42578125" style="491" customWidth="1"/>
    <col min="12038" max="12038" width="11.42578125" style="491" bestFit="1" customWidth="1"/>
    <col min="12039" max="12044" width="9.140625" style="491" customWidth="1"/>
    <col min="12045" max="12045" width="10.28515625" style="491" customWidth="1"/>
    <col min="12046" max="12048" width="9.140625" style="491" customWidth="1"/>
    <col min="12049" max="12049" width="10.28515625" style="491" customWidth="1"/>
    <col min="12050" max="12051" width="9.140625" style="491" customWidth="1"/>
    <col min="12052" max="12052" width="10.28515625" style="491" customWidth="1"/>
    <col min="12053" max="12285" width="9.140625" style="491" customWidth="1"/>
    <col min="12286" max="12286" width="11.7109375" style="491" customWidth="1"/>
    <col min="12287" max="12287" width="85" style="491" customWidth="1"/>
    <col min="12288" max="12288" width="10.7109375" style="491"/>
    <col min="12289" max="12289" width="9.5703125" style="491" bestFit="1" customWidth="1"/>
    <col min="12290" max="12290" width="52.85546875" style="491" customWidth="1"/>
    <col min="12291" max="12291" width="13" style="491" customWidth="1"/>
    <col min="12292" max="12292" width="10.7109375" style="491" customWidth="1"/>
    <col min="12293" max="12293" width="13.42578125" style="491" customWidth="1"/>
    <col min="12294" max="12294" width="11.42578125" style="491" bestFit="1" customWidth="1"/>
    <col min="12295" max="12300" width="9.140625" style="491" customWidth="1"/>
    <col min="12301" max="12301" width="10.28515625" style="491" customWidth="1"/>
    <col min="12302" max="12304" width="9.140625" style="491" customWidth="1"/>
    <col min="12305" max="12305" width="10.28515625" style="491" customWidth="1"/>
    <col min="12306" max="12307" width="9.140625" style="491" customWidth="1"/>
    <col min="12308" max="12308" width="10.28515625" style="491" customWidth="1"/>
    <col min="12309" max="12541" width="9.140625" style="491" customWidth="1"/>
    <col min="12542" max="12542" width="11.7109375" style="491" customWidth="1"/>
    <col min="12543" max="12543" width="85" style="491" customWidth="1"/>
    <col min="12544" max="12544" width="10.7109375" style="491"/>
    <col min="12545" max="12545" width="9.5703125" style="491" bestFit="1" customWidth="1"/>
    <col min="12546" max="12546" width="52.85546875" style="491" customWidth="1"/>
    <col min="12547" max="12547" width="13" style="491" customWidth="1"/>
    <col min="12548" max="12548" width="10.7109375" style="491" customWidth="1"/>
    <col min="12549" max="12549" width="13.42578125" style="491" customWidth="1"/>
    <col min="12550" max="12550" width="11.42578125" style="491" bestFit="1" customWidth="1"/>
    <col min="12551" max="12556" width="9.140625" style="491" customWidth="1"/>
    <col min="12557" max="12557" width="10.28515625" style="491" customWidth="1"/>
    <col min="12558" max="12560" width="9.140625" style="491" customWidth="1"/>
    <col min="12561" max="12561" width="10.28515625" style="491" customWidth="1"/>
    <col min="12562" max="12563" width="9.140625" style="491" customWidth="1"/>
    <col min="12564" max="12564" width="10.28515625" style="491" customWidth="1"/>
    <col min="12565" max="12797" width="9.140625" style="491" customWidth="1"/>
    <col min="12798" max="12798" width="11.7109375" style="491" customWidth="1"/>
    <col min="12799" max="12799" width="85" style="491" customWidth="1"/>
    <col min="12800" max="12800" width="10.7109375" style="491"/>
    <col min="12801" max="12801" width="9.5703125" style="491" bestFit="1" customWidth="1"/>
    <col min="12802" max="12802" width="52.85546875" style="491" customWidth="1"/>
    <col min="12803" max="12803" width="13" style="491" customWidth="1"/>
    <col min="12804" max="12804" width="10.7109375" style="491" customWidth="1"/>
    <col min="12805" max="12805" width="13.42578125" style="491" customWidth="1"/>
    <col min="12806" max="12806" width="11.42578125" style="491" bestFit="1" customWidth="1"/>
    <col min="12807" max="12812" width="9.140625" style="491" customWidth="1"/>
    <col min="12813" max="12813" width="10.28515625" style="491" customWidth="1"/>
    <col min="12814" max="12816" width="9.140625" style="491" customWidth="1"/>
    <col min="12817" max="12817" width="10.28515625" style="491" customWidth="1"/>
    <col min="12818" max="12819" width="9.140625" style="491" customWidth="1"/>
    <col min="12820" max="12820" width="10.28515625" style="491" customWidth="1"/>
    <col min="12821" max="13053" width="9.140625" style="491" customWidth="1"/>
    <col min="13054" max="13054" width="11.7109375" style="491" customWidth="1"/>
    <col min="13055" max="13055" width="85" style="491" customWidth="1"/>
    <col min="13056" max="13056" width="10.7109375" style="491"/>
    <col min="13057" max="13057" width="9.5703125" style="491" bestFit="1" customWidth="1"/>
    <col min="13058" max="13058" width="52.85546875" style="491" customWidth="1"/>
    <col min="13059" max="13059" width="13" style="491" customWidth="1"/>
    <col min="13060" max="13060" width="10.7109375" style="491" customWidth="1"/>
    <col min="13061" max="13061" width="13.42578125" style="491" customWidth="1"/>
    <col min="13062" max="13062" width="11.42578125" style="491" bestFit="1" customWidth="1"/>
    <col min="13063" max="13068" width="9.140625" style="491" customWidth="1"/>
    <col min="13069" max="13069" width="10.28515625" style="491" customWidth="1"/>
    <col min="13070" max="13072" width="9.140625" style="491" customWidth="1"/>
    <col min="13073" max="13073" width="10.28515625" style="491" customWidth="1"/>
    <col min="13074" max="13075" width="9.140625" style="491" customWidth="1"/>
    <col min="13076" max="13076" width="10.28515625" style="491" customWidth="1"/>
    <col min="13077" max="13309" width="9.140625" style="491" customWidth="1"/>
    <col min="13310" max="13310" width="11.7109375" style="491" customWidth="1"/>
    <col min="13311" max="13311" width="85" style="491" customWidth="1"/>
    <col min="13312" max="13312" width="10.7109375" style="491"/>
    <col min="13313" max="13313" width="9.5703125" style="491" bestFit="1" customWidth="1"/>
    <col min="13314" max="13314" width="52.85546875" style="491" customWidth="1"/>
    <col min="13315" max="13315" width="13" style="491" customWidth="1"/>
    <col min="13316" max="13316" width="10.7109375" style="491" customWidth="1"/>
    <col min="13317" max="13317" width="13.42578125" style="491" customWidth="1"/>
    <col min="13318" max="13318" width="11.42578125" style="491" bestFit="1" customWidth="1"/>
    <col min="13319" max="13324" width="9.140625" style="491" customWidth="1"/>
    <col min="13325" max="13325" width="10.28515625" style="491" customWidth="1"/>
    <col min="13326" max="13328" width="9.140625" style="491" customWidth="1"/>
    <col min="13329" max="13329" width="10.28515625" style="491" customWidth="1"/>
    <col min="13330" max="13331" width="9.140625" style="491" customWidth="1"/>
    <col min="13332" max="13332" width="10.28515625" style="491" customWidth="1"/>
    <col min="13333" max="13565" width="9.140625" style="491" customWidth="1"/>
    <col min="13566" max="13566" width="11.7109375" style="491" customWidth="1"/>
    <col min="13567" max="13567" width="85" style="491" customWidth="1"/>
    <col min="13568" max="13568" width="10.7109375" style="491"/>
    <col min="13569" max="13569" width="9.5703125" style="491" bestFit="1" customWidth="1"/>
    <col min="13570" max="13570" width="52.85546875" style="491" customWidth="1"/>
    <col min="13571" max="13571" width="13" style="491" customWidth="1"/>
    <col min="13572" max="13572" width="10.7109375" style="491" customWidth="1"/>
    <col min="13573" max="13573" width="13.42578125" style="491" customWidth="1"/>
    <col min="13574" max="13574" width="11.42578125" style="491" bestFit="1" customWidth="1"/>
    <col min="13575" max="13580" width="9.140625" style="491" customWidth="1"/>
    <col min="13581" max="13581" width="10.28515625" style="491" customWidth="1"/>
    <col min="13582" max="13584" width="9.140625" style="491" customWidth="1"/>
    <col min="13585" max="13585" width="10.28515625" style="491" customWidth="1"/>
    <col min="13586" max="13587" width="9.140625" style="491" customWidth="1"/>
    <col min="13588" max="13588" width="10.28515625" style="491" customWidth="1"/>
    <col min="13589" max="13821" width="9.140625" style="491" customWidth="1"/>
    <col min="13822" max="13822" width="11.7109375" style="491" customWidth="1"/>
    <col min="13823" max="13823" width="85" style="491" customWidth="1"/>
    <col min="13824" max="13824" width="10.7109375" style="491"/>
    <col min="13825" max="13825" width="9.5703125" style="491" bestFit="1" customWidth="1"/>
    <col min="13826" max="13826" width="52.85546875" style="491" customWidth="1"/>
    <col min="13827" max="13827" width="13" style="491" customWidth="1"/>
    <col min="13828" max="13828" width="10.7109375" style="491" customWidth="1"/>
    <col min="13829" max="13829" width="13.42578125" style="491" customWidth="1"/>
    <col min="13830" max="13830" width="11.42578125" style="491" bestFit="1" customWidth="1"/>
    <col min="13831" max="13836" width="9.140625" style="491" customWidth="1"/>
    <col min="13837" max="13837" width="10.28515625" style="491" customWidth="1"/>
    <col min="13838" max="13840" width="9.140625" style="491" customWidth="1"/>
    <col min="13841" max="13841" width="10.28515625" style="491" customWidth="1"/>
    <col min="13842" max="13843" width="9.140625" style="491" customWidth="1"/>
    <col min="13844" max="13844" width="10.28515625" style="491" customWidth="1"/>
    <col min="13845" max="14077" width="9.140625" style="491" customWidth="1"/>
    <col min="14078" max="14078" width="11.7109375" style="491" customWidth="1"/>
    <col min="14079" max="14079" width="85" style="491" customWidth="1"/>
    <col min="14080" max="14080" width="10.7109375" style="491"/>
    <col min="14081" max="14081" width="9.5703125" style="491" bestFit="1" customWidth="1"/>
    <col min="14082" max="14082" width="52.85546875" style="491" customWidth="1"/>
    <col min="14083" max="14083" width="13" style="491" customWidth="1"/>
    <col min="14084" max="14084" width="10.7109375" style="491" customWidth="1"/>
    <col min="14085" max="14085" width="13.42578125" style="491" customWidth="1"/>
    <col min="14086" max="14086" width="11.42578125" style="491" bestFit="1" customWidth="1"/>
    <col min="14087" max="14092" width="9.140625" style="491" customWidth="1"/>
    <col min="14093" max="14093" width="10.28515625" style="491" customWidth="1"/>
    <col min="14094" max="14096" width="9.140625" style="491" customWidth="1"/>
    <col min="14097" max="14097" width="10.28515625" style="491" customWidth="1"/>
    <col min="14098" max="14099" width="9.140625" style="491" customWidth="1"/>
    <col min="14100" max="14100" width="10.28515625" style="491" customWidth="1"/>
    <col min="14101" max="14333" width="9.140625" style="491" customWidth="1"/>
    <col min="14334" max="14334" width="11.7109375" style="491" customWidth="1"/>
    <col min="14335" max="14335" width="85" style="491" customWidth="1"/>
    <col min="14336" max="14336" width="10.7109375" style="491"/>
    <col min="14337" max="14337" width="9.5703125" style="491" bestFit="1" customWidth="1"/>
    <col min="14338" max="14338" width="52.85546875" style="491" customWidth="1"/>
    <col min="14339" max="14339" width="13" style="491" customWidth="1"/>
    <col min="14340" max="14340" width="10.7109375" style="491" customWidth="1"/>
    <col min="14341" max="14341" width="13.42578125" style="491" customWidth="1"/>
    <col min="14342" max="14342" width="11.42578125" style="491" bestFit="1" customWidth="1"/>
    <col min="14343" max="14348" width="9.140625" style="491" customWidth="1"/>
    <col min="14349" max="14349" width="10.28515625" style="491" customWidth="1"/>
    <col min="14350" max="14352" width="9.140625" style="491" customWidth="1"/>
    <col min="14353" max="14353" width="10.28515625" style="491" customWidth="1"/>
    <col min="14354" max="14355" width="9.140625" style="491" customWidth="1"/>
    <col min="14356" max="14356" width="10.28515625" style="491" customWidth="1"/>
    <col min="14357" max="14589" width="9.140625" style="491" customWidth="1"/>
    <col min="14590" max="14590" width="11.7109375" style="491" customWidth="1"/>
    <col min="14591" max="14591" width="85" style="491" customWidth="1"/>
    <col min="14592" max="14592" width="10.7109375" style="491"/>
    <col min="14593" max="14593" width="9.5703125" style="491" bestFit="1" customWidth="1"/>
    <col min="14594" max="14594" width="52.85546875" style="491" customWidth="1"/>
    <col min="14595" max="14595" width="13" style="491" customWidth="1"/>
    <col min="14596" max="14596" width="10.7109375" style="491" customWidth="1"/>
    <col min="14597" max="14597" width="13.42578125" style="491" customWidth="1"/>
    <col min="14598" max="14598" width="11.42578125" style="491" bestFit="1" customWidth="1"/>
    <col min="14599" max="14604" width="9.140625" style="491" customWidth="1"/>
    <col min="14605" max="14605" width="10.28515625" style="491" customWidth="1"/>
    <col min="14606" max="14608" width="9.140625" style="491" customWidth="1"/>
    <col min="14609" max="14609" width="10.28515625" style="491" customWidth="1"/>
    <col min="14610" max="14611" width="9.140625" style="491" customWidth="1"/>
    <col min="14612" max="14612" width="10.28515625" style="491" customWidth="1"/>
    <col min="14613" max="14845" width="9.140625" style="491" customWidth="1"/>
    <col min="14846" max="14846" width="11.7109375" style="491" customWidth="1"/>
    <col min="14847" max="14847" width="85" style="491" customWidth="1"/>
    <col min="14848" max="14848" width="10.7109375" style="491"/>
    <col min="14849" max="14849" width="9.5703125" style="491" bestFit="1" customWidth="1"/>
    <col min="14850" max="14850" width="52.85546875" style="491" customWidth="1"/>
    <col min="14851" max="14851" width="13" style="491" customWidth="1"/>
    <col min="14852" max="14852" width="10.7109375" style="491" customWidth="1"/>
    <col min="14853" max="14853" width="13.42578125" style="491" customWidth="1"/>
    <col min="14854" max="14854" width="11.42578125" style="491" bestFit="1" customWidth="1"/>
    <col min="14855" max="14860" width="9.140625" style="491" customWidth="1"/>
    <col min="14861" max="14861" width="10.28515625" style="491" customWidth="1"/>
    <col min="14862" max="14864" width="9.140625" style="491" customWidth="1"/>
    <col min="14865" max="14865" width="10.28515625" style="491" customWidth="1"/>
    <col min="14866" max="14867" width="9.140625" style="491" customWidth="1"/>
    <col min="14868" max="14868" width="10.28515625" style="491" customWidth="1"/>
    <col min="14869" max="15101" width="9.140625" style="491" customWidth="1"/>
    <col min="15102" max="15102" width="11.7109375" style="491" customWidth="1"/>
    <col min="15103" max="15103" width="85" style="491" customWidth="1"/>
    <col min="15104" max="15104" width="10.7109375" style="491"/>
    <col min="15105" max="15105" width="9.5703125" style="491" bestFit="1" customWidth="1"/>
    <col min="15106" max="15106" width="52.85546875" style="491" customWidth="1"/>
    <col min="15107" max="15107" width="13" style="491" customWidth="1"/>
    <col min="15108" max="15108" width="10.7109375" style="491" customWidth="1"/>
    <col min="15109" max="15109" width="13.42578125" style="491" customWidth="1"/>
    <col min="15110" max="15110" width="11.42578125" style="491" bestFit="1" customWidth="1"/>
    <col min="15111" max="15116" width="9.140625" style="491" customWidth="1"/>
    <col min="15117" max="15117" width="10.28515625" style="491" customWidth="1"/>
    <col min="15118" max="15120" width="9.140625" style="491" customWidth="1"/>
    <col min="15121" max="15121" width="10.28515625" style="491" customWidth="1"/>
    <col min="15122" max="15123" width="9.140625" style="491" customWidth="1"/>
    <col min="15124" max="15124" width="10.28515625" style="491" customWidth="1"/>
    <col min="15125" max="15357" width="9.140625" style="491" customWidth="1"/>
    <col min="15358" max="15358" width="11.7109375" style="491" customWidth="1"/>
    <col min="15359" max="15359" width="85" style="491" customWidth="1"/>
    <col min="15360" max="15360" width="10.7109375" style="491"/>
    <col min="15361" max="15361" width="9.5703125" style="491" bestFit="1" customWidth="1"/>
    <col min="15362" max="15362" width="52.85546875" style="491" customWidth="1"/>
    <col min="15363" max="15363" width="13" style="491" customWidth="1"/>
    <col min="15364" max="15364" width="10.7109375" style="491" customWidth="1"/>
    <col min="15365" max="15365" width="13.42578125" style="491" customWidth="1"/>
    <col min="15366" max="15366" width="11.42578125" style="491" bestFit="1" customWidth="1"/>
    <col min="15367" max="15372" width="9.140625" style="491" customWidth="1"/>
    <col min="15373" max="15373" width="10.28515625" style="491" customWidth="1"/>
    <col min="15374" max="15376" width="9.140625" style="491" customWidth="1"/>
    <col min="15377" max="15377" width="10.28515625" style="491" customWidth="1"/>
    <col min="15378" max="15379" width="9.140625" style="491" customWidth="1"/>
    <col min="15380" max="15380" width="10.28515625" style="491" customWidth="1"/>
    <col min="15381" max="15613" width="9.140625" style="491" customWidth="1"/>
    <col min="15614" max="15614" width="11.7109375" style="491" customWidth="1"/>
    <col min="15615" max="15615" width="85" style="491" customWidth="1"/>
    <col min="15616" max="15616" width="10.7109375" style="491"/>
    <col min="15617" max="15617" width="9.5703125" style="491" bestFit="1" customWidth="1"/>
    <col min="15618" max="15618" width="52.85546875" style="491" customWidth="1"/>
    <col min="15619" max="15619" width="13" style="491" customWidth="1"/>
    <col min="15620" max="15620" width="10.7109375" style="491" customWidth="1"/>
    <col min="15621" max="15621" width="13.42578125" style="491" customWidth="1"/>
    <col min="15622" max="15622" width="11.42578125" style="491" bestFit="1" customWidth="1"/>
    <col min="15623" max="15628" width="9.140625" style="491" customWidth="1"/>
    <col min="15629" max="15629" width="10.28515625" style="491" customWidth="1"/>
    <col min="15630" max="15632" width="9.140625" style="491" customWidth="1"/>
    <col min="15633" max="15633" width="10.28515625" style="491" customWidth="1"/>
    <col min="15634" max="15635" width="9.140625" style="491" customWidth="1"/>
    <col min="15636" max="15636" width="10.28515625" style="491" customWidth="1"/>
    <col min="15637" max="15869" width="9.140625" style="491" customWidth="1"/>
    <col min="15870" max="15870" width="11.7109375" style="491" customWidth="1"/>
    <col min="15871" max="15871" width="85" style="491" customWidth="1"/>
    <col min="15872" max="15872" width="10.7109375" style="491"/>
    <col min="15873" max="15873" width="9.5703125" style="491" bestFit="1" customWidth="1"/>
    <col min="15874" max="15874" width="52.85546875" style="491" customWidth="1"/>
    <col min="15875" max="15875" width="13" style="491" customWidth="1"/>
    <col min="15876" max="15876" width="10.7109375" style="491" customWidth="1"/>
    <col min="15877" max="15877" width="13.42578125" style="491" customWidth="1"/>
    <col min="15878" max="15878" width="11.42578125" style="491" bestFit="1" customWidth="1"/>
    <col min="15879" max="15884" width="9.140625" style="491" customWidth="1"/>
    <col min="15885" max="15885" width="10.28515625" style="491" customWidth="1"/>
    <col min="15886" max="15888" width="9.140625" style="491" customWidth="1"/>
    <col min="15889" max="15889" width="10.28515625" style="491" customWidth="1"/>
    <col min="15890" max="15891" width="9.140625" style="491" customWidth="1"/>
    <col min="15892" max="15892" width="10.28515625" style="491" customWidth="1"/>
    <col min="15893" max="16125" width="9.140625" style="491" customWidth="1"/>
    <col min="16126" max="16126" width="11.7109375" style="491" customWidth="1"/>
    <col min="16127" max="16127" width="85" style="491" customWidth="1"/>
    <col min="16128" max="16128" width="10.7109375" style="491"/>
    <col min="16129" max="16129" width="9.5703125" style="491" bestFit="1" customWidth="1"/>
    <col min="16130" max="16130" width="52.85546875" style="491" customWidth="1"/>
    <col min="16131" max="16131" width="13" style="491" customWidth="1"/>
    <col min="16132" max="16132" width="10.7109375" style="491" customWidth="1"/>
    <col min="16133" max="16133" width="13.42578125" style="491" customWidth="1"/>
    <col min="16134" max="16134" width="11.42578125" style="491" bestFit="1" customWidth="1"/>
    <col min="16135" max="16140" width="9.140625" style="491" customWidth="1"/>
    <col min="16141" max="16141" width="10.28515625" style="491" customWidth="1"/>
    <col min="16142" max="16144" width="9.140625" style="491" customWidth="1"/>
    <col min="16145" max="16145" width="10.28515625" style="491" customWidth="1"/>
    <col min="16146" max="16147" width="9.140625" style="491" customWidth="1"/>
    <col min="16148" max="16148" width="10.28515625" style="491" customWidth="1"/>
    <col min="16149" max="16381" width="9.140625" style="491" customWidth="1"/>
    <col min="16382" max="16382" width="11.7109375" style="491" customWidth="1"/>
    <col min="16383" max="16383" width="85" style="491" customWidth="1"/>
    <col min="16384" max="16384" width="10.7109375" style="491"/>
  </cols>
  <sheetData>
    <row r="1" spans="1:33" s="474" customFormat="1" x14ac:dyDescent="0.2">
      <c r="A1" s="467"/>
      <c r="B1" s="468" t="s">
        <v>99</v>
      </c>
      <c r="C1" s="550">
        <f>ROW(B112)</f>
        <v>112</v>
      </c>
      <c r="D1" s="2147">
        <f>ROW(B3)</f>
        <v>3</v>
      </c>
      <c r="E1" s="551">
        <f>Q111</f>
        <v>1783.2359999999999</v>
      </c>
      <c r="F1" s="2159">
        <f>Q845</f>
        <v>149.5</v>
      </c>
      <c r="G1" s="2172" t="e">
        <f>#REF!+#REF!</f>
        <v>#REF!</v>
      </c>
      <c r="H1" s="552"/>
      <c r="I1" s="1430"/>
      <c r="J1" s="550"/>
      <c r="K1" s="553"/>
      <c r="L1" s="554"/>
      <c r="M1" s="470" t="s">
        <v>239</v>
      </c>
      <c r="N1" s="469" t="str">
        <f>Заказ!P1</f>
        <v>202210367</v>
      </c>
      <c r="O1" s="471"/>
      <c r="P1" s="470"/>
      <c r="Q1" s="472" t="str">
        <f>Заказ!B9</f>
        <v>ГАЗЕТЫ</v>
      </c>
      <c r="R1" s="555">
        <v>0</v>
      </c>
      <c r="S1" s="556">
        <v>0.30199999999999999</v>
      </c>
      <c r="T1" s="473"/>
      <c r="U1" s="2029">
        <v>1</v>
      </c>
      <c r="V1" s="1457"/>
      <c r="W1" s="1457"/>
      <c r="X1" s="1457"/>
      <c r="Y1" s="1457"/>
      <c r="Z1" s="1457"/>
      <c r="AA1" s="1457"/>
      <c r="AB1" s="1457"/>
      <c r="AG1" s="2116"/>
    </row>
    <row r="2" spans="1:33" s="484" customFormat="1" ht="51" x14ac:dyDescent="0.2">
      <c r="A2" s="475" t="s">
        <v>372</v>
      </c>
      <c r="B2" s="476" t="s">
        <v>95</v>
      </c>
      <c r="C2" s="477" t="s">
        <v>388</v>
      </c>
      <c r="D2" s="478" t="s">
        <v>373</v>
      </c>
      <c r="E2" s="477" t="s">
        <v>96</v>
      </c>
      <c r="F2" s="477" t="s">
        <v>98</v>
      </c>
      <c r="G2" s="477" t="s">
        <v>97</v>
      </c>
      <c r="H2" s="479" t="s">
        <v>187</v>
      </c>
      <c r="I2" s="1431" t="s">
        <v>173</v>
      </c>
      <c r="J2" s="477" t="s">
        <v>174</v>
      </c>
      <c r="K2" s="480" t="s">
        <v>199</v>
      </c>
      <c r="L2" s="481" t="s">
        <v>100</v>
      </c>
      <c r="M2" s="477" t="s">
        <v>101</v>
      </c>
      <c r="N2" s="482" t="s">
        <v>102</v>
      </c>
      <c r="O2" s="482" t="s">
        <v>103</v>
      </c>
      <c r="P2" s="482" t="s">
        <v>389</v>
      </c>
      <c r="Q2" s="483" t="s">
        <v>390</v>
      </c>
      <c r="R2" s="477" t="s">
        <v>350</v>
      </c>
      <c r="S2" s="477" t="s">
        <v>453</v>
      </c>
      <c r="T2" s="477" t="s">
        <v>454</v>
      </c>
      <c r="U2" s="2027" t="s">
        <v>607</v>
      </c>
      <c r="AD2" s="2128" t="s">
        <v>1915</v>
      </c>
      <c r="AE2" s="2129" t="s">
        <v>1916</v>
      </c>
      <c r="AG2" s="2117" t="s">
        <v>1819</v>
      </c>
    </row>
    <row r="3" spans="1:33" collapsed="1" x14ac:dyDescent="0.2">
      <c r="A3" s="2031"/>
      <c r="B3" s="485" t="s">
        <v>461</v>
      </c>
      <c r="C3" s="486"/>
      <c r="D3" s="2148"/>
      <c r="E3" s="486"/>
      <c r="F3" s="2160"/>
      <c r="G3" s="2173"/>
      <c r="H3" s="489"/>
      <c r="I3" s="1432"/>
      <c r="J3" s="487"/>
      <c r="K3" s="487"/>
      <c r="L3" s="490"/>
      <c r="M3" s="487"/>
      <c r="N3" s="487"/>
      <c r="O3" s="487"/>
      <c r="P3" s="487"/>
      <c r="Q3" s="1445"/>
      <c r="R3" s="488"/>
      <c r="S3" s="488"/>
      <c r="T3" s="488"/>
      <c r="U3" s="2028">
        <v>1</v>
      </c>
      <c r="AG3" s="2118" t="s">
        <v>1815</v>
      </c>
    </row>
    <row r="4" spans="1:33" hidden="1" outlineLevel="1" x14ac:dyDescent="0.2">
      <c r="A4" s="1356"/>
      <c r="B4" s="2030" t="s">
        <v>1389</v>
      </c>
      <c r="C4" s="492"/>
      <c r="D4" s="2149"/>
      <c r="E4" s="493" t="s">
        <v>218</v>
      </c>
      <c r="F4" s="2161"/>
      <c r="G4" s="2174"/>
      <c r="H4" s="495"/>
      <c r="I4" s="2064">
        <f>I5+I7+I9+I11+I13+I15+I17</f>
        <v>0</v>
      </c>
      <c r="J4" s="2032" t="str">
        <f t="shared" ref="J4" si="0">CONCATENATE(TRUNC(I4,0),":",INT((I4-(TRUNC(I4,0)))*60),":","00")</f>
        <v>0:0:00</v>
      </c>
      <c r="K4" s="494"/>
      <c r="L4" s="496"/>
      <c r="M4" s="494"/>
      <c r="N4" s="494"/>
      <c r="O4" s="494"/>
      <c r="P4" s="494"/>
      <c r="Q4" s="1446"/>
      <c r="R4" s="1447"/>
      <c r="S4" s="1447"/>
      <c r="T4" s="1447"/>
      <c r="AG4" s="2118" t="s">
        <v>1815</v>
      </c>
    </row>
    <row r="5" spans="1:33" hidden="1" outlineLevel="2" x14ac:dyDescent="0.2">
      <c r="A5" s="1360">
        <v>1</v>
      </c>
      <c r="B5" s="497" t="s">
        <v>1390</v>
      </c>
      <c r="C5" s="498" t="s">
        <v>1391</v>
      </c>
      <c r="D5" s="2023">
        <v>6</v>
      </c>
      <c r="E5" s="499" t="s">
        <v>462</v>
      </c>
      <c r="F5" s="2024" t="s">
        <v>1405</v>
      </c>
      <c r="G5" s="1353">
        <v>8.5000000000000006E-2</v>
      </c>
      <c r="H5" s="1525">
        <f>Исх!DC51</f>
        <v>0</v>
      </c>
      <c r="I5" s="1526">
        <f>IF(H5&gt;0,Исх!$DF$51,0)</f>
        <v>0</v>
      </c>
      <c r="J5" s="503" t="str">
        <f t="shared" ref="J5:J17" si="1">CONCATENATE(TRUNC(I5,0),":",INT((I5-(TRUNC(I5,0)))*60),":","00")</f>
        <v>0:0:00</v>
      </c>
      <c r="K5" s="2024">
        <v>1000</v>
      </c>
      <c r="L5" s="2008">
        <v>10.75</v>
      </c>
      <c r="M5" s="1527">
        <f t="shared" ref="M5:M12" si="2">H5*L5/K5</f>
        <v>0</v>
      </c>
      <c r="N5" s="504">
        <v>1</v>
      </c>
      <c r="O5" s="502">
        <f t="shared" ref="O5:O17" si="3">M5*N5</f>
        <v>0</v>
      </c>
      <c r="P5" s="502">
        <f t="shared" ref="P5:P13" si="4">(M5+O5)*0.15</f>
        <v>0</v>
      </c>
      <c r="Q5" s="1364">
        <f t="shared" ref="Q5:Q17" si="5">M5+O5+P5</f>
        <v>0</v>
      </c>
      <c r="R5" s="1365">
        <f t="shared" ref="R5:R17" si="6">Q5*$R$1</f>
        <v>0</v>
      </c>
      <c r="S5" s="1365">
        <f t="shared" ref="S5:S17" si="7">(Q5+R5)*$S$1</f>
        <v>0</v>
      </c>
      <c r="T5" s="1365">
        <f t="shared" ref="T5:T17" si="8">Q5+R5+S5</f>
        <v>0</v>
      </c>
      <c r="U5" s="2028">
        <f>IF(T5&gt;0,1,0)</f>
        <v>0</v>
      </c>
      <c r="AD5" s="2141">
        <f t="shared" ref="AD5:AD24" si="9">IF(D5&gt;0,LOOKUP(D5,$Z$26:$Z$29,$AA$26:$AA$29),"")</f>
        <v>4</v>
      </c>
      <c r="AE5" s="2142" t="str">
        <f t="shared" ref="AE5:AE24" si="10">IF(T5&gt;0,T5*AD5,"")</f>
        <v/>
      </c>
      <c r="AG5" s="2118" t="s">
        <v>1815</v>
      </c>
    </row>
    <row r="6" spans="1:33" hidden="1" outlineLevel="2" x14ac:dyDescent="0.2">
      <c r="A6" s="1360">
        <f>A5+1</f>
        <v>2</v>
      </c>
      <c r="B6" s="497" t="s">
        <v>1392</v>
      </c>
      <c r="C6" s="498" t="s">
        <v>1391</v>
      </c>
      <c r="D6" s="2023">
        <v>4</v>
      </c>
      <c r="E6" s="499" t="s">
        <v>462</v>
      </c>
      <c r="F6" s="2024" t="s">
        <v>1405</v>
      </c>
      <c r="G6" s="1353">
        <v>8.5000000000000006E-2</v>
      </c>
      <c r="H6" s="1525">
        <f>H5</f>
        <v>0</v>
      </c>
      <c r="I6" s="1526">
        <f>IF(H6&gt;0,Исх!$DF$51,0)</f>
        <v>0</v>
      </c>
      <c r="J6" s="503" t="str">
        <f t="shared" ref="J6" si="11">CONCATENATE(TRUNC(I6,0),":",INT((I6-(TRUNC(I6,0)))*60),":","00")</f>
        <v>0:0:00</v>
      </c>
      <c r="K6" s="2024">
        <v>1000</v>
      </c>
      <c r="L6" s="2008">
        <v>8.09</v>
      </c>
      <c r="M6" s="1527">
        <f t="shared" si="2"/>
        <v>0</v>
      </c>
      <c r="N6" s="504">
        <v>1</v>
      </c>
      <c r="O6" s="502">
        <f t="shared" ref="O6" si="12">M6*N6</f>
        <v>0</v>
      </c>
      <c r="P6" s="502">
        <f t="shared" ref="P6" si="13">(M6+O6)*0.15</f>
        <v>0</v>
      </c>
      <c r="Q6" s="1364">
        <f t="shared" ref="Q6" si="14">M6+O6+P6</f>
        <v>0</v>
      </c>
      <c r="R6" s="1365">
        <f t="shared" ref="R6" si="15">Q6*$R$1</f>
        <v>0</v>
      </c>
      <c r="S6" s="1365">
        <f t="shared" ref="S6" si="16">(Q6+R6)*$S$1</f>
        <v>0</v>
      </c>
      <c r="T6" s="1365">
        <f t="shared" ref="T6" si="17">Q6+R6+S6</f>
        <v>0</v>
      </c>
      <c r="U6" s="2028">
        <f>IF(T6&gt;0,1,0)</f>
        <v>0</v>
      </c>
      <c r="AD6" s="2141">
        <f t="shared" si="9"/>
        <v>4</v>
      </c>
      <c r="AE6" s="2142" t="str">
        <f t="shared" si="10"/>
        <v/>
      </c>
      <c r="AG6" s="2118" t="s">
        <v>1815</v>
      </c>
    </row>
    <row r="7" spans="1:33" hidden="1" outlineLevel="2" x14ac:dyDescent="0.2">
      <c r="A7" s="1360">
        <f t="shared" ref="A7:A18" si="18">A6+1</f>
        <v>3</v>
      </c>
      <c r="B7" s="497" t="s">
        <v>1393</v>
      </c>
      <c r="C7" s="498" t="s">
        <v>1391</v>
      </c>
      <c r="D7" s="2023">
        <v>6</v>
      </c>
      <c r="E7" s="499" t="s">
        <v>462</v>
      </c>
      <c r="F7" s="2024" t="s">
        <v>1405</v>
      </c>
      <c r="G7" s="1353">
        <v>0.125</v>
      </c>
      <c r="H7" s="1525">
        <f>Исх!DC52</f>
        <v>0</v>
      </c>
      <c r="I7" s="1526">
        <f>IF(H7&gt;0,Исх!$DF$52,0)</f>
        <v>0</v>
      </c>
      <c r="J7" s="503" t="str">
        <f t="shared" si="1"/>
        <v>0:0:00</v>
      </c>
      <c r="K7" s="2024">
        <v>1000</v>
      </c>
      <c r="L7" s="2008">
        <v>15.81</v>
      </c>
      <c r="M7" s="1527">
        <f t="shared" si="2"/>
        <v>0</v>
      </c>
      <c r="N7" s="504">
        <v>1</v>
      </c>
      <c r="O7" s="502">
        <f t="shared" si="3"/>
        <v>0</v>
      </c>
      <c r="P7" s="502">
        <f t="shared" si="4"/>
        <v>0</v>
      </c>
      <c r="Q7" s="1364">
        <f t="shared" si="5"/>
        <v>0</v>
      </c>
      <c r="R7" s="1365">
        <f t="shared" si="6"/>
        <v>0</v>
      </c>
      <c r="S7" s="1365">
        <f t="shared" si="7"/>
        <v>0</v>
      </c>
      <c r="T7" s="1365">
        <f t="shared" si="8"/>
        <v>0</v>
      </c>
      <c r="U7" s="2028">
        <f t="shared" ref="U7:U129" si="19">IF(T7&gt;0,1,0)</f>
        <v>0</v>
      </c>
      <c r="AD7" s="2141">
        <f t="shared" si="9"/>
        <v>4</v>
      </c>
      <c r="AE7" s="2142" t="str">
        <f t="shared" si="10"/>
        <v/>
      </c>
      <c r="AG7" s="2118" t="s">
        <v>1815</v>
      </c>
    </row>
    <row r="8" spans="1:33" hidden="1" outlineLevel="2" x14ac:dyDescent="0.2">
      <c r="A8" s="1360">
        <f t="shared" si="18"/>
        <v>4</v>
      </c>
      <c r="B8" s="497" t="s">
        <v>1394</v>
      </c>
      <c r="C8" s="498" t="s">
        <v>1391</v>
      </c>
      <c r="D8" s="2023">
        <v>4</v>
      </c>
      <c r="E8" s="499" t="s">
        <v>462</v>
      </c>
      <c r="F8" s="2024" t="s">
        <v>1405</v>
      </c>
      <c r="G8" s="1353">
        <v>0.125</v>
      </c>
      <c r="H8" s="1525">
        <f>H7</f>
        <v>0</v>
      </c>
      <c r="I8" s="1526">
        <f>IF(H8&gt;0,Исх!$DF$52,0)</f>
        <v>0</v>
      </c>
      <c r="J8" s="503" t="str">
        <f t="shared" ref="J8" si="20">CONCATENATE(TRUNC(I8,0),":",INT((I8-(TRUNC(I8,0)))*60),":","00")</f>
        <v>0:0:00</v>
      </c>
      <c r="K8" s="2024">
        <v>1000</v>
      </c>
      <c r="L8" s="2008">
        <v>11.89</v>
      </c>
      <c r="M8" s="1527">
        <f t="shared" si="2"/>
        <v>0</v>
      </c>
      <c r="N8" s="504">
        <v>1</v>
      </c>
      <c r="O8" s="502">
        <f t="shared" ref="O8" si="21">M8*N8</f>
        <v>0</v>
      </c>
      <c r="P8" s="502">
        <f t="shared" ref="P8" si="22">(M8+O8)*0.15</f>
        <v>0</v>
      </c>
      <c r="Q8" s="1364">
        <f t="shared" ref="Q8" si="23">M8+O8+P8</f>
        <v>0</v>
      </c>
      <c r="R8" s="1365">
        <f t="shared" ref="R8" si="24">Q8*$R$1</f>
        <v>0</v>
      </c>
      <c r="S8" s="1365">
        <f t="shared" ref="S8" si="25">(Q8+R8)*$S$1</f>
        <v>0</v>
      </c>
      <c r="T8" s="1365">
        <f t="shared" ref="T8" si="26">Q8+R8+S8</f>
        <v>0</v>
      </c>
      <c r="U8" s="2028">
        <f t="shared" ref="U8" si="27">IF(T8&gt;0,1,0)</f>
        <v>0</v>
      </c>
      <c r="AD8" s="2141">
        <f t="shared" si="9"/>
        <v>4</v>
      </c>
      <c r="AE8" s="2142" t="str">
        <f t="shared" si="10"/>
        <v/>
      </c>
      <c r="AG8" s="2118" t="s">
        <v>1815</v>
      </c>
    </row>
    <row r="9" spans="1:33" hidden="1" outlineLevel="2" x14ac:dyDescent="0.2">
      <c r="A9" s="1360">
        <f t="shared" si="18"/>
        <v>5</v>
      </c>
      <c r="B9" s="497" t="s">
        <v>1395</v>
      </c>
      <c r="C9" s="498" t="s">
        <v>1391</v>
      </c>
      <c r="D9" s="2023">
        <v>6</v>
      </c>
      <c r="E9" s="499" t="s">
        <v>462</v>
      </c>
      <c r="F9" s="2024" t="s">
        <v>1405</v>
      </c>
      <c r="G9" s="1353">
        <v>0.13100000000000001</v>
      </c>
      <c r="H9" s="1525">
        <f>Исх!DC53</f>
        <v>0</v>
      </c>
      <c r="I9" s="1526">
        <f>IF(H9&gt;0,Исх!$DF$53,0)</f>
        <v>0</v>
      </c>
      <c r="J9" s="503" t="str">
        <f t="shared" si="1"/>
        <v>0:0:00</v>
      </c>
      <c r="K9" s="2024">
        <v>1000</v>
      </c>
      <c r="L9" s="2008">
        <v>16.57</v>
      </c>
      <c r="M9" s="1527">
        <f t="shared" si="2"/>
        <v>0</v>
      </c>
      <c r="N9" s="504">
        <v>1</v>
      </c>
      <c r="O9" s="502">
        <f t="shared" si="3"/>
        <v>0</v>
      </c>
      <c r="P9" s="502">
        <f t="shared" si="4"/>
        <v>0</v>
      </c>
      <c r="Q9" s="1364">
        <f t="shared" si="5"/>
        <v>0</v>
      </c>
      <c r="R9" s="1365">
        <f t="shared" si="6"/>
        <v>0</v>
      </c>
      <c r="S9" s="1365">
        <f t="shared" si="7"/>
        <v>0</v>
      </c>
      <c r="T9" s="1365">
        <f t="shared" si="8"/>
        <v>0</v>
      </c>
      <c r="U9" s="2028">
        <f t="shared" si="19"/>
        <v>0</v>
      </c>
      <c r="AD9" s="2141">
        <f t="shared" si="9"/>
        <v>4</v>
      </c>
      <c r="AE9" s="2142" t="str">
        <f t="shared" si="10"/>
        <v/>
      </c>
      <c r="AG9" s="2118" t="s">
        <v>1815</v>
      </c>
    </row>
    <row r="10" spans="1:33" hidden="1" outlineLevel="2" x14ac:dyDescent="0.2">
      <c r="A10" s="1360">
        <f t="shared" si="18"/>
        <v>6</v>
      </c>
      <c r="B10" s="497" t="s">
        <v>1396</v>
      </c>
      <c r="C10" s="498" t="s">
        <v>1391</v>
      </c>
      <c r="D10" s="2023">
        <v>4</v>
      </c>
      <c r="E10" s="499" t="s">
        <v>462</v>
      </c>
      <c r="F10" s="2024" t="s">
        <v>1405</v>
      </c>
      <c r="G10" s="1353">
        <v>0.13100000000000001</v>
      </c>
      <c r="H10" s="1525">
        <f>H9</f>
        <v>0</v>
      </c>
      <c r="I10" s="1526">
        <f>IF(H10&gt;0,Исх!$DF$53,0)</f>
        <v>0</v>
      </c>
      <c r="J10" s="503" t="str">
        <f t="shared" ref="J10" si="28">CONCATENATE(TRUNC(I10,0),":",INT((I10-(TRUNC(I10,0)))*60),":","00")</f>
        <v>0:0:00</v>
      </c>
      <c r="K10" s="2024">
        <v>1000</v>
      </c>
      <c r="L10" s="2008">
        <v>12.46</v>
      </c>
      <c r="M10" s="1527">
        <f t="shared" si="2"/>
        <v>0</v>
      </c>
      <c r="N10" s="504">
        <v>1</v>
      </c>
      <c r="O10" s="502">
        <f t="shared" ref="O10" si="29">M10*N10</f>
        <v>0</v>
      </c>
      <c r="P10" s="502">
        <f t="shared" ref="P10" si="30">(M10+O10)*0.15</f>
        <v>0</v>
      </c>
      <c r="Q10" s="1364">
        <f t="shared" ref="Q10" si="31">M10+O10+P10</f>
        <v>0</v>
      </c>
      <c r="R10" s="1365">
        <f t="shared" ref="R10" si="32">Q10*$R$1</f>
        <v>0</v>
      </c>
      <c r="S10" s="1365">
        <f t="shared" ref="S10" si="33">(Q10+R10)*$S$1</f>
        <v>0</v>
      </c>
      <c r="T10" s="1365">
        <f t="shared" ref="T10" si="34">Q10+R10+S10</f>
        <v>0</v>
      </c>
      <c r="U10" s="2028">
        <f t="shared" ref="U10" si="35">IF(T10&gt;0,1,0)</f>
        <v>0</v>
      </c>
      <c r="AD10" s="2141">
        <f t="shared" si="9"/>
        <v>4</v>
      </c>
      <c r="AE10" s="2142" t="str">
        <f t="shared" si="10"/>
        <v/>
      </c>
      <c r="AG10" s="2118" t="s">
        <v>1815</v>
      </c>
    </row>
    <row r="11" spans="1:33" hidden="1" outlineLevel="2" x14ac:dyDescent="0.2">
      <c r="A11" s="1360">
        <f t="shared" si="18"/>
        <v>7</v>
      </c>
      <c r="B11" s="497" t="s">
        <v>1397</v>
      </c>
      <c r="C11" s="498" t="s">
        <v>1391</v>
      </c>
      <c r="D11" s="2023">
        <v>6</v>
      </c>
      <c r="E11" s="499" t="s">
        <v>462</v>
      </c>
      <c r="F11" s="2024" t="s">
        <v>303</v>
      </c>
      <c r="G11" s="1353">
        <v>8.4000000000000005E-2</v>
      </c>
      <c r="H11" s="1525">
        <f>Исх!DO51</f>
        <v>0</v>
      </c>
      <c r="I11" s="1526">
        <f t="shared" ref="I11:I18" si="36">G11*H11/K11</f>
        <v>0</v>
      </c>
      <c r="J11" s="503" t="str">
        <f t="shared" si="1"/>
        <v>0:0:00</v>
      </c>
      <c r="K11" s="2024">
        <v>1</v>
      </c>
      <c r="L11" s="2008">
        <v>10.63</v>
      </c>
      <c r="M11" s="1527">
        <f t="shared" si="2"/>
        <v>0</v>
      </c>
      <c r="N11" s="504">
        <v>1</v>
      </c>
      <c r="O11" s="502">
        <f t="shared" si="3"/>
        <v>0</v>
      </c>
      <c r="P11" s="502">
        <f t="shared" si="4"/>
        <v>0</v>
      </c>
      <c r="Q11" s="1364">
        <f t="shared" si="5"/>
        <v>0</v>
      </c>
      <c r="R11" s="1365">
        <f t="shared" si="6"/>
        <v>0</v>
      </c>
      <c r="S11" s="1365">
        <f t="shared" si="7"/>
        <v>0</v>
      </c>
      <c r="T11" s="1365">
        <f t="shared" si="8"/>
        <v>0</v>
      </c>
      <c r="U11" s="2028">
        <f t="shared" si="19"/>
        <v>0</v>
      </c>
      <c r="AD11" s="2141">
        <f t="shared" si="9"/>
        <v>4</v>
      </c>
      <c r="AE11" s="2142" t="str">
        <f t="shared" si="10"/>
        <v/>
      </c>
      <c r="AG11" s="2118" t="s">
        <v>1815</v>
      </c>
    </row>
    <row r="12" spans="1:33" hidden="1" outlineLevel="2" x14ac:dyDescent="0.2">
      <c r="A12" s="1360">
        <f t="shared" si="18"/>
        <v>8</v>
      </c>
      <c r="B12" s="497" t="s">
        <v>1398</v>
      </c>
      <c r="C12" s="498" t="s">
        <v>1391</v>
      </c>
      <c r="D12" s="2023">
        <v>4</v>
      </c>
      <c r="E12" s="499" t="s">
        <v>462</v>
      </c>
      <c r="F12" s="2024" t="s">
        <v>303</v>
      </c>
      <c r="G12" s="1353">
        <v>8.4000000000000005E-2</v>
      </c>
      <c r="H12" s="1525">
        <f>H11</f>
        <v>0</v>
      </c>
      <c r="I12" s="1526">
        <f t="shared" si="36"/>
        <v>0</v>
      </c>
      <c r="J12" s="503" t="str">
        <f t="shared" ref="J12" si="37">CONCATENATE(TRUNC(I12,0),":",INT((I12-(TRUNC(I12,0)))*60),":","00")</f>
        <v>0:0:00</v>
      </c>
      <c r="K12" s="2024">
        <v>1</v>
      </c>
      <c r="L12" s="2008">
        <v>7.99</v>
      </c>
      <c r="M12" s="1527">
        <f t="shared" si="2"/>
        <v>0</v>
      </c>
      <c r="N12" s="504">
        <v>1</v>
      </c>
      <c r="O12" s="502">
        <f t="shared" ref="O12" si="38">M12*N12</f>
        <v>0</v>
      </c>
      <c r="P12" s="502">
        <f t="shared" ref="P12" si="39">(M12+O12)*0.15</f>
        <v>0</v>
      </c>
      <c r="Q12" s="1364">
        <f t="shared" ref="Q12" si="40">M12+O12+P12</f>
        <v>0</v>
      </c>
      <c r="R12" s="1365">
        <f t="shared" ref="R12" si="41">Q12*$R$1</f>
        <v>0</v>
      </c>
      <c r="S12" s="1365">
        <f t="shared" ref="S12" si="42">(Q12+R12)*$S$1</f>
        <v>0</v>
      </c>
      <c r="T12" s="1365">
        <f t="shared" ref="T12" si="43">Q12+R12+S12</f>
        <v>0</v>
      </c>
      <c r="U12" s="2028">
        <f t="shared" ref="U12" si="44">IF(T12&gt;0,1,0)</f>
        <v>0</v>
      </c>
      <c r="AD12" s="2141">
        <f t="shared" si="9"/>
        <v>4</v>
      </c>
      <c r="AE12" s="2142" t="str">
        <f t="shared" si="10"/>
        <v/>
      </c>
      <c r="AG12" s="2118" t="s">
        <v>1815</v>
      </c>
    </row>
    <row r="13" spans="1:33" hidden="1" outlineLevel="2" x14ac:dyDescent="0.2">
      <c r="A13" s="1360">
        <f t="shared" si="18"/>
        <v>9</v>
      </c>
      <c r="B13" s="497" t="s">
        <v>1399</v>
      </c>
      <c r="C13" s="498" t="s">
        <v>1391</v>
      </c>
      <c r="D13" s="2023">
        <v>6</v>
      </c>
      <c r="E13" s="499" t="s">
        <v>462</v>
      </c>
      <c r="F13" s="2024" t="s">
        <v>303</v>
      </c>
      <c r="G13" s="1353">
        <v>9.6000000000000002E-2</v>
      </c>
      <c r="H13" s="1525">
        <f>Исх!DO52</f>
        <v>0</v>
      </c>
      <c r="I13" s="1526">
        <f t="shared" si="36"/>
        <v>0</v>
      </c>
      <c r="J13" s="503" t="str">
        <f t="shared" si="1"/>
        <v>0:0:00</v>
      </c>
      <c r="K13" s="2024">
        <v>1</v>
      </c>
      <c r="L13" s="2008">
        <v>12.14</v>
      </c>
      <c r="M13" s="1527">
        <f t="shared" ref="M13:M17" si="45">H13*L13/K13</f>
        <v>0</v>
      </c>
      <c r="N13" s="504">
        <v>1</v>
      </c>
      <c r="O13" s="502">
        <f t="shared" si="3"/>
        <v>0</v>
      </c>
      <c r="P13" s="502">
        <f t="shared" si="4"/>
        <v>0</v>
      </c>
      <c r="Q13" s="1364">
        <f t="shared" si="5"/>
        <v>0</v>
      </c>
      <c r="R13" s="1365">
        <f t="shared" si="6"/>
        <v>0</v>
      </c>
      <c r="S13" s="1365">
        <f t="shared" si="7"/>
        <v>0</v>
      </c>
      <c r="T13" s="1365">
        <f t="shared" si="8"/>
        <v>0</v>
      </c>
      <c r="U13" s="2028">
        <f t="shared" si="19"/>
        <v>0</v>
      </c>
      <c r="AD13" s="2141">
        <f t="shared" si="9"/>
        <v>4</v>
      </c>
      <c r="AE13" s="2142" t="str">
        <f t="shared" si="10"/>
        <v/>
      </c>
      <c r="AG13" s="2118" t="s">
        <v>1815</v>
      </c>
    </row>
    <row r="14" spans="1:33" hidden="1" outlineLevel="2" x14ac:dyDescent="0.2">
      <c r="A14" s="1360">
        <f t="shared" si="18"/>
        <v>10</v>
      </c>
      <c r="B14" s="497" t="s">
        <v>1400</v>
      </c>
      <c r="C14" s="498" t="s">
        <v>1391</v>
      </c>
      <c r="D14" s="2023">
        <v>4</v>
      </c>
      <c r="E14" s="499" t="s">
        <v>462</v>
      </c>
      <c r="F14" s="2024" t="s">
        <v>303</v>
      </c>
      <c r="G14" s="1353">
        <v>9.6000000000000002E-2</v>
      </c>
      <c r="H14" s="1525">
        <f>H13</f>
        <v>0</v>
      </c>
      <c r="I14" s="1526">
        <f t="shared" si="36"/>
        <v>0</v>
      </c>
      <c r="J14" s="503" t="str">
        <f t="shared" ref="J14" si="46">CONCATENATE(TRUNC(I14,0),":",INT((I14-(TRUNC(I14,0)))*60),":","00")</f>
        <v>0:0:00</v>
      </c>
      <c r="K14" s="2024">
        <v>1</v>
      </c>
      <c r="L14" s="2008">
        <v>9.1300000000000008</v>
      </c>
      <c r="M14" s="1527">
        <f t="shared" ref="M14" si="47">H14*L14/K14</f>
        <v>0</v>
      </c>
      <c r="N14" s="504">
        <v>1</v>
      </c>
      <c r="O14" s="502">
        <f t="shared" ref="O14" si="48">M14*N14</f>
        <v>0</v>
      </c>
      <c r="P14" s="502">
        <f t="shared" ref="P14" si="49">(M14+O14)*0.15</f>
        <v>0</v>
      </c>
      <c r="Q14" s="1364">
        <f t="shared" ref="Q14" si="50">M14+O14+P14</f>
        <v>0</v>
      </c>
      <c r="R14" s="1365">
        <f t="shared" ref="R14" si="51">Q14*$R$1</f>
        <v>0</v>
      </c>
      <c r="S14" s="1365">
        <f t="shared" ref="S14" si="52">(Q14+R14)*$S$1</f>
        <v>0</v>
      </c>
      <c r="T14" s="1365">
        <f t="shared" ref="T14" si="53">Q14+R14+S14</f>
        <v>0</v>
      </c>
      <c r="U14" s="2028">
        <f t="shared" ref="U14" si="54">IF(T14&gt;0,1,0)</f>
        <v>0</v>
      </c>
      <c r="AD14" s="2141">
        <f t="shared" si="9"/>
        <v>4</v>
      </c>
      <c r="AE14" s="2142" t="str">
        <f t="shared" si="10"/>
        <v/>
      </c>
      <c r="AG14" s="2118" t="s">
        <v>1815</v>
      </c>
    </row>
    <row r="15" spans="1:33" hidden="1" outlineLevel="2" x14ac:dyDescent="0.2">
      <c r="A15" s="1360">
        <f t="shared" si="18"/>
        <v>11</v>
      </c>
      <c r="B15" s="497" t="s">
        <v>1401</v>
      </c>
      <c r="C15" s="498" t="s">
        <v>1391</v>
      </c>
      <c r="D15" s="2023">
        <v>6</v>
      </c>
      <c r="E15" s="499" t="s">
        <v>462</v>
      </c>
      <c r="F15" s="2024" t="s">
        <v>303</v>
      </c>
      <c r="G15" s="1353">
        <v>0.106</v>
      </c>
      <c r="H15" s="1525">
        <f>Исх!DO53</f>
        <v>0</v>
      </c>
      <c r="I15" s="1526">
        <f t="shared" si="36"/>
        <v>0</v>
      </c>
      <c r="J15" s="503" t="str">
        <f t="shared" ref="J15" si="55">CONCATENATE(TRUNC(I15,0),":",INT((I15-(TRUNC(I15,0)))*60),":","00")</f>
        <v>0:0:00</v>
      </c>
      <c r="K15" s="2024">
        <v>1</v>
      </c>
      <c r="L15" s="2008">
        <v>13.41</v>
      </c>
      <c r="M15" s="1527">
        <f t="shared" ref="M15" si="56">H15*L15/K15</f>
        <v>0</v>
      </c>
      <c r="N15" s="504">
        <v>1</v>
      </c>
      <c r="O15" s="502">
        <f t="shared" ref="O15" si="57">M15*N15</f>
        <v>0</v>
      </c>
      <c r="P15" s="502">
        <f>(M15+O15)*0.15</f>
        <v>0</v>
      </c>
      <c r="Q15" s="1364">
        <f t="shared" ref="Q15" si="58">M15+O15+P15</f>
        <v>0</v>
      </c>
      <c r="R15" s="1365">
        <f t="shared" ref="R15" si="59">Q15*$R$1</f>
        <v>0</v>
      </c>
      <c r="S15" s="1365">
        <f t="shared" ref="S15" si="60">(Q15+R15)*$S$1</f>
        <v>0</v>
      </c>
      <c r="T15" s="1365">
        <f t="shared" ref="T15" si="61">Q15+R15+S15</f>
        <v>0</v>
      </c>
      <c r="U15" s="2028">
        <f t="shared" ref="U15" si="62">IF(T15&gt;0,1,0)</f>
        <v>0</v>
      </c>
      <c r="AD15" s="2141">
        <f t="shared" si="9"/>
        <v>4</v>
      </c>
      <c r="AE15" s="2142" t="str">
        <f t="shared" si="10"/>
        <v/>
      </c>
      <c r="AG15" s="2118" t="s">
        <v>1815</v>
      </c>
    </row>
    <row r="16" spans="1:33" hidden="1" outlineLevel="2" x14ac:dyDescent="0.2">
      <c r="A16" s="1360">
        <f t="shared" si="18"/>
        <v>12</v>
      </c>
      <c r="B16" s="497" t="s">
        <v>1402</v>
      </c>
      <c r="C16" s="498" t="s">
        <v>1391</v>
      </c>
      <c r="D16" s="2023">
        <v>4</v>
      </c>
      <c r="E16" s="499" t="s">
        <v>462</v>
      </c>
      <c r="F16" s="2024" t="s">
        <v>303</v>
      </c>
      <c r="G16" s="1353">
        <v>0.106</v>
      </c>
      <c r="H16" s="1525">
        <f>H15</f>
        <v>0</v>
      </c>
      <c r="I16" s="1526">
        <f t="shared" si="36"/>
        <v>0</v>
      </c>
      <c r="J16" s="503" t="str">
        <f t="shared" ref="J16" si="63">CONCATENATE(TRUNC(I16,0),":",INT((I16-(TRUNC(I16,0)))*60),":","00")</f>
        <v>0:0:00</v>
      </c>
      <c r="K16" s="2024">
        <v>1</v>
      </c>
      <c r="L16" s="2008">
        <v>10.09</v>
      </c>
      <c r="M16" s="1527">
        <f t="shared" ref="M16" si="64">H16*L16/K16</f>
        <v>0</v>
      </c>
      <c r="N16" s="504">
        <v>1</v>
      </c>
      <c r="O16" s="502">
        <f t="shared" ref="O16" si="65">M16*N16</f>
        <v>0</v>
      </c>
      <c r="P16" s="502">
        <f>(M16+O16)*0.15</f>
        <v>0</v>
      </c>
      <c r="Q16" s="1364">
        <f t="shared" ref="Q16" si="66">M16+O16+P16</f>
        <v>0</v>
      </c>
      <c r="R16" s="1365">
        <f t="shared" ref="R16" si="67">Q16*$R$1</f>
        <v>0</v>
      </c>
      <c r="S16" s="1365">
        <f t="shared" ref="S16" si="68">(Q16+R16)*$S$1</f>
        <v>0</v>
      </c>
      <c r="T16" s="1365">
        <f t="shared" ref="T16" si="69">Q16+R16+S16</f>
        <v>0</v>
      </c>
      <c r="U16" s="2028">
        <f t="shared" ref="U16" si="70">IF(T16&gt;0,1,0)</f>
        <v>0</v>
      </c>
      <c r="AD16" s="2141">
        <f t="shared" si="9"/>
        <v>4</v>
      </c>
      <c r="AE16" s="2142" t="str">
        <f t="shared" si="10"/>
        <v/>
      </c>
      <c r="AG16" s="2118" t="s">
        <v>1815</v>
      </c>
    </row>
    <row r="17" spans="1:33" hidden="1" outlineLevel="2" x14ac:dyDescent="0.2">
      <c r="A17" s="1360">
        <f t="shared" si="18"/>
        <v>13</v>
      </c>
      <c r="B17" s="497" t="s">
        <v>1403</v>
      </c>
      <c r="C17" s="498" t="s">
        <v>1391</v>
      </c>
      <c r="D17" s="2023">
        <v>6</v>
      </c>
      <c r="E17" s="499" t="s">
        <v>462</v>
      </c>
      <c r="F17" s="2024" t="s">
        <v>303</v>
      </c>
      <c r="G17" s="1354">
        <v>0.25</v>
      </c>
      <c r="H17" s="501">
        <f>IF((H5+H7+H9)&gt;0,Исх!Q42,0)</f>
        <v>0</v>
      </c>
      <c r="I17" s="1526">
        <f t="shared" si="36"/>
        <v>0</v>
      </c>
      <c r="J17" s="503" t="str">
        <f t="shared" si="1"/>
        <v>0:0:00</v>
      </c>
      <c r="K17" s="2024">
        <v>1</v>
      </c>
      <c r="L17" s="2008">
        <v>31.63</v>
      </c>
      <c r="M17" s="1527">
        <f t="shared" si="45"/>
        <v>0</v>
      </c>
      <c r="N17" s="504">
        <v>1</v>
      </c>
      <c r="O17" s="502">
        <f t="shared" si="3"/>
        <v>0</v>
      </c>
      <c r="P17" s="502">
        <f>(M17+O17)*0.15</f>
        <v>0</v>
      </c>
      <c r="Q17" s="1364">
        <f t="shared" si="5"/>
        <v>0</v>
      </c>
      <c r="R17" s="1365">
        <f t="shared" si="6"/>
        <v>0</v>
      </c>
      <c r="S17" s="1365">
        <f t="shared" si="7"/>
        <v>0</v>
      </c>
      <c r="T17" s="1365">
        <f t="shared" si="8"/>
        <v>0</v>
      </c>
      <c r="U17" s="2028">
        <f t="shared" si="19"/>
        <v>0</v>
      </c>
      <c r="AD17" s="2141">
        <f t="shared" si="9"/>
        <v>4</v>
      </c>
      <c r="AE17" s="2142" t="str">
        <f t="shared" si="10"/>
        <v/>
      </c>
      <c r="AG17" s="2118" t="s">
        <v>1815</v>
      </c>
    </row>
    <row r="18" spans="1:33" hidden="1" outlineLevel="2" x14ac:dyDescent="0.2">
      <c r="A18" s="1360">
        <f t="shared" si="18"/>
        <v>14</v>
      </c>
      <c r="B18" s="497" t="s">
        <v>1404</v>
      </c>
      <c r="C18" s="498" t="s">
        <v>1391</v>
      </c>
      <c r="D18" s="2023">
        <v>4</v>
      </c>
      <c r="E18" s="499" t="s">
        <v>462</v>
      </c>
      <c r="F18" s="2024" t="s">
        <v>303</v>
      </c>
      <c r="G18" s="1354">
        <v>0.25</v>
      </c>
      <c r="H18" s="501">
        <f>H17</f>
        <v>0</v>
      </c>
      <c r="I18" s="1526">
        <f t="shared" si="36"/>
        <v>0</v>
      </c>
      <c r="J18" s="503" t="str">
        <f t="shared" ref="J18" si="71">CONCATENATE(TRUNC(I18,0),":",INT((I18-(TRUNC(I18,0)))*60),":","00")</f>
        <v>0:0:00</v>
      </c>
      <c r="K18" s="2024">
        <v>1</v>
      </c>
      <c r="L18" s="2008">
        <v>23.79</v>
      </c>
      <c r="M18" s="1527">
        <f t="shared" ref="M18" si="72">H18*L18/K18</f>
        <v>0</v>
      </c>
      <c r="N18" s="504">
        <v>1</v>
      </c>
      <c r="O18" s="502">
        <f t="shared" ref="O18" si="73">M18*N18</f>
        <v>0</v>
      </c>
      <c r="P18" s="502">
        <f>(M18+O18)*0.15</f>
        <v>0</v>
      </c>
      <c r="Q18" s="1364">
        <f t="shared" ref="Q18" si="74">M18+O18+P18</f>
        <v>0</v>
      </c>
      <c r="R18" s="1365">
        <f t="shared" ref="R18" si="75">Q18*$R$1</f>
        <v>0</v>
      </c>
      <c r="S18" s="1365">
        <f t="shared" ref="S18" si="76">(Q18+R18)*$S$1</f>
        <v>0</v>
      </c>
      <c r="T18" s="1365">
        <f t="shared" ref="T18" si="77">Q18+R18+S18</f>
        <v>0</v>
      </c>
      <c r="U18" s="2028">
        <f t="shared" ref="U18:U35" si="78">IF(T18&gt;0,1,0)</f>
        <v>0</v>
      </c>
      <c r="AD18" s="2141">
        <f t="shared" si="9"/>
        <v>4</v>
      </c>
      <c r="AE18" s="2142" t="str">
        <f t="shared" si="10"/>
        <v/>
      </c>
      <c r="AG18" s="2118" t="s">
        <v>1815</v>
      </c>
    </row>
    <row r="19" spans="1:33" hidden="1" outlineLevel="1" x14ac:dyDescent="0.2">
      <c r="A19" s="1360"/>
      <c r="B19" s="2030" t="s">
        <v>1409</v>
      </c>
      <c r="C19" s="492"/>
      <c r="D19" s="2149"/>
      <c r="E19" s="493" t="s">
        <v>218</v>
      </c>
      <c r="F19" s="2161"/>
      <c r="G19" s="2174"/>
      <c r="H19" s="495"/>
      <c r="I19" s="2064">
        <f>I20+I22+I24+I26+I28+I30+I32+I34</f>
        <v>0</v>
      </c>
      <c r="J19" s="2032" t="str">
        <f>CONCATENATE(TRUNC(I19,0),":",INT((I19-(TRUNC(I19,0)))*60),":","00")</f>
        <v>0:0:00</v>
      </c>
      <c r="K19" s="494"/>
      <c r="L19" s="496"/>
      <c r="M19" s="494"/>
      <c r="N19" s="494"/>
      <c r="O19" s="494"/>
      <c r="P19" s="494"/>
      <c r="Q19" s="1446"/>
      <c r="R19" s="1447"/>
      <c r="S19" s="1447"/>
      <c r="T19" s="1447"/>
      <c r="U19" s="2028">
        <f t="shared" si="78"/>
        <v>0</v>
      </c>
      <c r="AD19" s="2141" t="str">
        <f t="shared" si="9"/>
        <v/>
      </c>
      <c r="AE19" s="2142" t="str">
        <f t="shared" si="10"/>
        <v/>
      </c>
      <c r="AG19" s="2118" t="s">
        <v>1815</v>
      </c>
    </row>
    <row r="20" spans="1:33" hidden="1" outlineLevel="2" x14ac:dyDescent="0.2">
      <c r="A20" s="1360">
        <f>A18+1</f>
        <v>15</v>
      </c>
      <c r="B20" s="497" t="s">
        <v>1410</v>
      </c>
      <c r="C20" s="498" t="s">
        <v>1033</v>
      </c>
      <c r="D20" s="2023">
        <v>6</v>
      </c>
      <c r="E20" s="499" t="s">
        <v>462</v>
      </c>
      <c r="F20" s="2024" t="s">
        <v>1405</v>
      </c>
      <c r="G20" s="1353">
        <v>0.114</v>
      </c>
      <c r="H20" s="1525">
        <f>Исх!DC55</f>
        <v>0</v>
      </c>
      <c r="I20" s="1526">
        <f>IF(H20&gt;0,Исх!$DF$55,0)</f>
        <v>0</v>
      </c>
      <c r="J20" s="503" t="str">
        <f t="shared" ref="J20:J27" si="79">CONCATENATE(TRUNC(I20,0),":",INT((I20-(TRUNC(I20,0)))*60),":","00")</f>
        <v>0:0:00</v>
      </c>
      <c r="K20" s="2024">
        <v>1000</v>
      </c>
      <c r="L20" s="2008">
        <v>15.43</v>
      </c>
      <c r="M20" s="1527">
        <f>H20*L20/K20</f>
        <v>0</v>
      </c>
      <c r="N20" s="504">
        <v>1</v>
      </c>
      <c r="O20" s="502">
        <f t="shared" ref="O20:O27" si="80">M20*N20</f>
        <v>0</v>
      </c>
      <c r="P20" s="502">
        <f t="shared" ref="P20:P27" si="81">(M20+O20)*0.15</f>
        <v>0</v>
      </c>
      <c r="Q20" s="1364">
        <f t="shared" ref="Q20:Q27" si="82">M20+O20+P20</f>
        <v>0</v>
      </c>
      <c r="R20" s="1365">
        <f t="shared" ref="R20:R27" si="83">Q20*$R$1</f>
        <v>0</v>
      </c>
      <c r="S20" s="1365">
        <f t="shared" ref="S20:S27" si="84">(Q20+R20)*$S$1</f>
        <v>0</v>
      </c>
      <c r="T20" s="1365">
        <f t="shared" ref="T20:T27" si="85">Q20+R20+S20</f>
        <v>0</v>
      </c>
      <c r="U20" s="2028">
        <f t="shared" ref="U20:U27" si="86">IF(T20&gt;0,1,0)</f>
        <v>0</v>
      </c>
      <c r="AD20" s="2141">
        <f t="shared" si="9"/>
        <v>4</v>
      </c>
      <c r="AE20" s="2142" t="str">
        <f t="shared" si="10"/>
        <v/>
      </c>
      <c r="AG20" s="2118" t="s">
        <v>1815</v>
      </c>
    </row>
    <row r="21" spans="1:33" hidden="1" outlineLevel="2" x14ac:dyDescent="0.2">
      <c r="A21" s="1360">
        <f>A20+1</f>
        <v>16</v>
      </c>
      <c r="B21" s="497" t="s">
        <v>1411</v>
      </c>
      <c r="C21" s="498" t="s">
        <v>1033</v>
      </c>
      <c r="D21" s="2023">
        <v>4</v>
      </c>
      <c r="E21" s="499" t="s">
        <v>462</v>
      </c>
      <c r="F21" s="2024" t="s">
        <v>1405</v>
      </c>
      <c r="G21" s="1353">
        <v>0.114</v>
      </c>
      <c r="H21" s="1525">
        <f>H20</f>
        <v>0</v>
      </c>
      <c r="I21" s="1526">
        <f>IF(H21&gt;0,Исх!$DF$55,0)</f>
        <v>0</v>
      </c>
      <c r="J21" s="503" t="str">
        <f t="shared" si="79"/>
        <v>0:0:00</v>
      </c>
      <c r="K21" s="2024">
        <v>1000</v>
      </c>
      <c r="L21" s="2008">
        <v>11.51</v>
      </c>
      <c r="M21" s="1527">
        <f t="shared" ref="M21:M35" si="87">H21*L21/K21</f>
        <v>0</v>
      </c>
      <c r="N21" s="504">
        <v>1</v>
      </c>
      <c r="O21" s="502">
        <f t="shared" si="80"/>
        <v>0</v>
      </c>
      <c r="P21" s="502">
        <f t="shared" si="81"/>
        <v>0</v>
      </c>
      <c r="Q21" s="1364">
        <f t="shared" si="82"/>
        <v>0</v>
      </c>
      <c r="R21" s="1365">
        <f t="shared" si="83"/>
        <v>0</v>
      </c>
      <c r="S21" s="1365">
        <f t="shared" si="84"/>
        <v>0</v>
      </c>
      <c r="T21" s="1365">
        <f t="shared" si="85"/>
        <v>0</v>
      </c>
      <c r="U21" s="2028">
        <f t="shared" si="86"/>
        <v>0</v>
      </c>
      <c r="AD21" s="2141">
        <f t="shared" si="9"/>
        <v>4</v>
      </c>
      <c r="AE21" s="2142" t="str">
        <f t="shared" si="10"/>
        <v/>
      </c>
      <c r="AG21" s="2118" t="s">
        <v>1815</v>
      </c>
    </row>
    <row r="22" spans="1:33" hidden="1" outlineLevel="2" x14ac:dyDescent="0.2">
      <c r="A22" s="1360">
        <f t="shared" ref="A22:A35" si="88">A21+1</f>
        <v>17</v>
      </c>
      <c r="B22" s="497" t="s">
        <v>1412</v>
      </c>
      <c r="C22" s="498" t="s">
        <v>1033</v>
      </c>
      <c r="D22" s="2023">
        <v>6</v>
      </c>
      <c r="E22" s="499" t="s">
        <v>462</v>
      </c>
      <c r="F22" s="2024" t="s">
        <v>1405</v>
      </c>
      <c r="G22" s="1353">
        <v>0.16600000000000001</v>
      </c>
      <c r="H22" s="1525">
        <f>Исх!DC56</f>
        <v>0</v>
      </c>
      <c r="I22" s="1526">
        <f>IF(H22&gt;0,Исх!$DF$56,0)</f>
        <v>0</v>
      </c>
      <c r="J22" s="503" t="str">
        <f t="shared" si="79"/>
        <v>0:0:00</v>
      </c>
      <c r="K22" s="2024">
        <v>1000</v>
      </c>
      <c r="L22" s="2008">
        <v>22.39</v>
      </c>
      <c r="M22" s="1527">
        <f t="shared" si="87"/>
        <v>0</v>
      </c>
      <c r="N22" s="504">
        <v>1</v>
      </c>
      <c r="O22" s="502">
        <f t="shared" si="80"/>
        <v>0</v>
      </c>
      <c r="P22" s="502">
        <f t="shared" si="81"/>
        <v>0</v>
      </c>
      <c r="Q22" s="1364">
        <f t="shared" si="82"/>
        <v>0</v>
      </c>
      <c r="R22" s="1365">
        <f t="shared" si="83"/>
        <v>0</v>
      </c>
      <c r="S22" s="1365">
        <f t="shared" si="84"/>
        <v>0</v>
      </c>
      <c r="T22" s="1365">
        <f t="shared" si="85"/>
        <v>0</v>
      </c>
      <c r="U22" s="2028">
        <f t="shared" si="86"/>
        <v>0</v>
      </c>
      <c r="AD22" s="2141">
        <f t="shared" si="9"/>
        <v>4</v>
      </c>
      <c r="AE22" s="2142" t="str">
        <f t="shared" si="10"/>
        <v/>
      </c>
      <c r="AG22" s="2118" t="s">
        <v>1815</v>
      </c>
    </row>
    <row r="23" spans="1:33" hidden="1" outlineLevel="2" x14ac:dyDescent="0.2">
      <c r="A23" s="1360">
        <f t="shared" si="88"/>
        <v>18</v>
      </c>
      <c r="B23" s="497" t="s">
        <v>1413</v>
      </c>
      <c r="C23" s="498" t="s">
        <v>1033</v>
      </c>
      <c r="D23" s="2023">
        <v>4</v>
      </c>
      <c r="E23" s="499" t="s">
        <v>462</v>
      </c>
      <c r="F23" s="2024" t="s">
        <v>1405</v>
      </c>
      <c r="G23" s="1353">
        <v>0.16600000000000001</v>
      </c>
      <c r="H23" s="1525">
        <f>H22</f>
        <v>0</v>
      </c>
      <c r="I23" s="1526">
        <f>IF(H23&gt;0,Исх!$DF$56,0)</f>
        <v>0</v>
      </c>
      <c r="J23" s="503" t="str">
        <f t="shared" si="79"/>
        <v>0:0:00</v>
      </c>
      <c r="K23" s="2024">
        <v>1000</v>
      </c>
      <c r="L23" s="2008">
        <v>16.829999999999998</v>
      </c>
      <c r="M23" s="1527">
        <f t="shared" si="87"/>
        <v>0</v>
      </c>
      <c r="N23" s="504">
        <v>1</v>
      </c>
      <c r="O23" s="502">
        <f t="shared" si="80"/>
        <v>0</v>
      </c>
      <c r="P23" s="502">
        <f t="shared" si="81"/>
        <v>0</v>
      </c>
      <c r="Q23" s="1364">
        <f t="shared" si="82"/>
        <v>0</v>
      </c>
      <c r="R23" s="1365">
        <f t="shared" si="83"/>
        <v>0</v>
      </c>
      <c r="S23" s="1365">
        <f t="shared" si="84"/>
        <v>0</v>
      </c>
      <c r="T23" s="1365">
        <f t="shared" si="85"/>
        <v>0</v>
      </c>
      <c r="U23" s="2028">
        <f t="shared" si="86"/>
        <v>0</v>
      </c>
      <c r="AD23" s="2141">
        <f t="shared" si="9"/>
        <v>4</v>
      </c>
      <c r="AE23" s="2142" t="str">
        <f t="shared" si="10"/>
        <v/>
      </c>
      <c r="AG23" s="2118" t="s">
        <v>1815</v>
      </c>
    </row>
    <row r="24" spans="1:33" hidden="1" outlineLevel="2" x14ac:dyDescent="0.2">
      <c r="A24" s="1360">
        <f t="shared" si="88"/>
        <v>19</v>
      </c>
      <c r="B24" s="497" t="s">
        <v>1414</v>
      </c>
      <c r="C24" s="498" t="s">
        <v>1033</v>
      </c>
      <c r="D24" s="2023">
        <v>6</v>
      </c>
      <c r="E24" s="499" t="s">
        <v>462</v>
      </c>
      <c r="F24" s="2024" t="s">
        <v>1405</v>
      </c>
      <c r="G24" s="1353">
        <v>0.17699999999999999</v>
      </c>
      <c r="H24" s="1525">
        <f>Исх!DC57</f>
        <v>0</v>
      </c>
      <c r="I24" s="1526">
        <f>IF(H24&gt;0,Исх!$DF$57,0)</f>
        <v>0</v>
      </c>
      <c r="J24" s="503" t="str">
        <f t="shared" si="79"/>
        <v>0:0:00</v>
      </c>
      <c r="K24" s="2024">
        <v>1000</v>
      </c>
      <c r="L24" s="2008">
        <v>23.91</v>
      </c>
      <c r="M24" s="1527">
        <f t="shared" si="87"/>
        <v>0</v>
      </c>
      <c r="N24" s="504">
        <v>1</v>
      </c>
      <c r="O24" s="502">
        <f t="shared" si="80"/>
        <v>0</v>
      </c>
      <c r="P24" s="502">
        <f t="shared" si="81"/>
        <v>0</v>
      </c>
      <c r="Q24" s="1364">
        <f t="shared" si="82"/>
        <v>0</v>
      </c>
      <c r="R24" s="1365">
        <f t="shared" si="83"/>
        <v>0</v>
      </c>
      <c r="S24" s="1365">
        <f t="shared" si="84"/>
        <v>0</v>
      </c>
      <c r="T24" s="1365">
        <f t="shared" si="85"/>
        <v>0</v>
      </c>
      <c r="U24" s="2028">
        <f t="shared" si="86"/>
        <v>0</v>
      </c>
      <c r="AD24" s="2141">
        <f t="shared" si="9"/>
        <v>4</v>
      </c>
      <c r="AE24" s="2142" t="str">
        <f t="shared" si="10"/>
        <v/>
      </c>
      <c r="AG24" s="2118" t="s">
        <v>1815</v>
      </c>
    </row>
    <row r="25" spans="1:33" hidden="1" outlineLevel="2" x14ac:dyDescent="0.2">
      <c r="A25" s="1360">
        <f t="shared" si="88"/>
        <v>20</v>
      </c>
      <c r="B25" s="497" t="s">
        <v>1415</v>
      </c>
      <c r="C25" s="498" t="s">
        <v>1033</v>
      </c>
      <c r="D25" s="2023">
        <v>4</v>
      </c>
      <c r="E25" s="499" t="s">
        <v>462</v>
      </c>
      <c r="F25" s="2024" t="s">
        <v>1405</v>
      </c>
      <c r="G25" s="1353">
        <v>0.17699999999999999</v>
      </c>
      <c r="H25" s="1525">
        <f>H24</f>
        <v>0</v>
      </c>
      <c r="I25" s="1526">
        <f>IF(H25&gt;0,Исх!$DF$57,0)</f>
        <v>0</v>
      </c>
      <c r="J25" s="503" t="str">
        <f t="shared" si="79"/>
        <v>0:0:00</v>
      </c>
      <c r="K25" s="2024">
        <v>1000</v>
      </c>
      <c r="L25" s="2008">
        <v>17.96</v>
      </c>
      <c r="M25" s="1527">
        <f t="shared" si="87"/>
        <v>0</v>
      </c>
      <c r="N25" s="504">
        <v>1</v>
      </c>
      <c r="O25" s="502">
        <f t="shared" si="80"/>
        <v>0</v>
      </c>
      <c r="P25" s="502">
        <f t="shared" si="81"/>
        <v>0</v>
      </c>
      <c r="Q25" s="1364">
        <f t="shared" si="82"/>
        <v>0</v>
      </c>
      <c r="R25" s="1365">
        <f t="shared" si="83"/>
        <v>0</v>
      </c>
      <c r="S25" s="1365">
        <f t="shared" si="84"/>
        <v>0</v>
      </c>
      <c r="T25" s="1365">
        <f t="shared" si="85"/>
        <v>0</v>
      </c>
      <c r="U25" s="2028">
        <f t="shared" si="86"/>
        <v>0</v>
      </c>
      <c r="X25" s="2130"/>
      <c r="Y25" s="2131" t="s">
        <v>1819</v>
      </c>
      <c r="Z25" s="2130" t="s">
        <v>1917</v>
      </c>
      <c r="AA25" s="2130" t="s">
        <v>1918</v>
      </c>
      <c r="AD25" s="2141">
        <f>IF(D25&gt;0,LOOKUP(D25,$Z$26:$Z$29,$AA$26:$AA$29),"")</f>
        <v>4</v>
      </c>
      <c r="AE25" s="2142" t="str">
        <f>IF(T25&gt;0,T25*AD25,"")</f>
        <v/>
      </c>
      <c r="AG25" s="2118" t="s">
        <v>1815</v>
      </c>
    </row>
    <row r="26" spans="1:33" hidden="1" outlineLevel="2" x14ac:dyDescent="0.2">
      <c r="A26" s="1360">
        <f t="shared" si="88"/>
        <v>21</v>
      </c>
      <c r="B26" s="497" t="s">
        <v>1416</v>
      </c>
      <c r="C26" s="498" t="s">
        <v>1033</v>
      </c>
      <c r="D26" s="2023">
        <v>6</v>
      </c>
      <c r="E26" s="499" t="s">
        <v>462</v>
      </c>
      <c r="F26" s="2024" t="s">
        <v>303</v>
      </c>
      <c r="G26" s="1353">
        <v>8.4000000000000005E-2</v>
      </c>
      <c r="H26" s="501">
        <f>Исх!DO55</f>
        <v>0</v>
      </c>
      <c r="I26" s="1526">
        <f>G26*H26/K26</f>
        <v>0</v>
      </c>
      <c r="J26" s="503" t="str">
        <f t="shared" si="79"/>
        <v>0:0:00</v>
      </c>
      <c r="K26" s="2024">
        <v>1</v>
      </c>
      <c r="L26" s="2008">
        <v>11.26</v>
      </c>
      <c r="M26" s="1527">
        <f t="shared" si="87"/>
        <v>0</v>
      </c>
      <c r="N26" s="504">
        <v>1</v>
      </c>
      <c r="O26" s="502">
        <f t="shared" si="80"/>
        <v>0</v>
      </c>
      <c r="P26" s="502">
        <f t="shared" si="81"/>
        <v>0</v>
      </c>
      <c r="Q26" s="1364">
        <f t="shared" si="82"/>
        <v>0</v>
      </c>
      <c r="R26" s="1365">
        <f t="shared" si="83"/>
        <v>0</v>
      </c>
      <c r="S26" s="1365">
        <f t="shared" si="84"/>
        <v>0</v>
      </c>
      <c r="T26" s="1365">
        <f t="shared" si="85"/>
        <v>0</v>
      </c>
      <c r="U26" s="2028">
        <f t="shared" si="86"/>
        <v>0</v>
      </c>
      <c r="X26" s="2132">
        <v>1</v>
      </c>
      <c r="Y26" s="2133" t="s">
        <v>1815</v>
      </c>
      <c r="Z26" s="2132">
        <v>3</v>
      </c>
      <c r="AA26" s="2134">
        <v>4</v>
      </c>
      <c r="AD26" s="2141">
        <f t="shared" ref="AD26:AD89" si="89">IF(D26&gt;0,LOOKUP(D26,$Z$26:$Z$29,$AA$26:$AA$29),"")</f>
        <v>4</v>
      </c>
      <c r="AE26" s="2142" t="str">
        <f t="shared" ref="AE26:AE89" si="90">IF(T26&gt;0,T26*AD26,"")</f>
        <v/>
      </c>
      <c r="AG26" s="2118" t="s">
        <v>1815</v>
      </c>
    </row>
    <row r="27" spans="1:33" hidden="1" outlineLevel="2" x14ac:dyDescent="0.2">
      <c r="A27" s="1360">
        <f t="shared" si="88"/>
        <v>22</v>
      </c>
      <c r="B27" s="497" t="s">
        <v>1417</v>
      </c>
      <c r="C27" s="498" t="s">
        <v>1033</v>
      </c>
      <c r="D27" s="2023">
        <v>4</v>
      </c>
      <c r="E27" s="499" t="s">
        <v>462</v>
      </c>
      <c r="F27" s="2024" t="s">
        <v>303</v>
      </c>
      <c r="G27" s="1353">
        <v>8.4000000000000005E-2</v>
      </c>
      <c r="H27" s="501">
        <f>H26</f>
        <v>0</v>
      </c>
      <c r="I27" s="1526">
        <f t="shared" ref="I27:I35" si="91">G27*H27/K27</f>
        <v>0</v>
      </c>
      <c r="J27" s="503" t="str">
        <f t="shared" si="79"/>
        <v>0:0:00</v>
      </c>
      <c r="K27" s="2024">
        <v>1</v>
      </c>
      <c r="L27" s="2008">
        <v>8.41</v>
      </c>
      <c r="M27" s="1527">
        <f t="shared" si="87"/>
        <v>0</v>
      </c>
      <c r="N27" s="504">
        <v>1</v>
      </c>
      <c r="O27" s="502">
        <f t="shared" si="80"/>
        <v>0</v>
      </c>
      <c r="P27" s="502">
        <f t="shared" si="81"/>
        <v>0</v>
      </c>
      <c r="Q27" s="1364">
        <f t="shared" si="82"/>
        <v>0</v>
      </c>
      <c r="R27" s="1365">
        <f t="shared" si="83"/>
        <v>0</v>
      </c>
      <c r="S27" s="1365">
        <f t="shared" si="84"/>
        <v>0</v>
      </c>
      <c r="T27" s="1365">
        <f t="shared" si="85"/>
        <v>0</v>
      </c>
      <c r="U27" s="2028">
        <f t="shared" si="86"/>
        <v>0</v>
      </c>
      <c r="X27" s="2132">
        <v>2</v>
      </c>
      <c r="Y27" s="2133" t="s">
        <v>1815</v>
      </c>
      <c r="Z27" s="2132">
        <v>4</v>
      </c>
      <c r="AA27" s="2134">
        <v>4</v>
      </c>
      <c r="AD27" s="2141">
        <f t="shared" si="89"/>
        <v>4</v>
      </c>
      <c r="AE27" s="2142" t="str">
        <f t="shared" si="90"/>
        <v/>
      </c>
      <c r="AG27" s="2118" t="s">
        <v>1815</v>
      </c>
    </row>
    <row r="28" spans="1:33" hidden="1" outlineLevel="2" x14ac:dyDescent="0.2">
      <c r="A28" s="1360">
        <f t="shared" si="88"/>
        <v>23</v>
      </c>
      <c r="B28" s="497" t="s">
        <v>1418</v>
      </c>
      <c r="C28" s="498" t="s">
        <v>1033</v>
      </c>
      <c r="D28" s="2023">
        <v>6</v>
      </c>
      <c r="E28" s="499" t="s">
        <v>462</v>
      </c>
      <c r="F28" s="2024" t="s">
        <v>303</v>
      </c>
      <c r="G28" s="1353">
        <v>0.124</v>
      </c>
      <c r="H28" s="501">
        <f>Исх!DO56</f>
        <v>0</v>
      </c>
      <c r="I28" s="1526">
        <f t="shared" si="91"/>
        <v>0</v>
      </c>
      <c r="J28" s="503" t="str">
        <f t="shared" ref="J28:J35" si="92">CONCATENATE(TRUNC(I28,0),":",INT((I28-(TRUNC(I28,0)))*60),":","00")</f>
        <v>0:0:00</v>
      </c>
      <c r="K28" s="2024">
        <v>1</v>
      </c>
      <c r="L28" s="2008">
        <v>16.57</v>
      </c>
      <c r="M28" s="1527">
        <f t="shared" si="87"/>
        <v>0</v>
      </c>
      <c r="N28" s="504">
        <v>1</v>
      </c>
      <c r="O28" s="502">
        <f t="shared" ref="O28:O35" si="93">M28*N28</f>
        <v>0</v>
      </c>
      <c r="P28" s="502">
        <f t="shared" ref="P28:P35" si="94">(M28+O28)*0.15</f>
        <v>0</v>
      </c>
      <c r="Q28" s="1364">
        <f t="shared" ref="Q28:Q35" si="95">M28+O28+P28</f>
        <v>0</v>
      </c>
      <c r="R28" s="1365">
        <f t="shared" ref="R28:R35" si="96">Q28*$R$1</f>
        <v>0</v>
      </c>
      <c r="S28" s="1365">
        <f t="shared" ref="S28:S35" si="97">(Q28+R28)*$S$1</f>
        <v>0</v>
      </c>
      <c r="T28" s="1365">
        <f t="shared" ref="T28:T35" si="98">Q28+R28+S28</f>
        <v>0</v>
      </c>
      <c r="U28" s="2028">
        <f t="shared" si="78"/>
        <v>0</v>
      </c>
      <c r="X28" s="2132">
        <v>3</v>
      </c>
      <c r="Y28" s="2133" t="s">
        <v>1815</v>
      </c>
      <c r="Z28" s="2132">
        <v>5</v>
      </c>
      <c r="AA28" s="2134">
        <v>4</v>
      </c>
      <c r="AD28" s="2141">
        <f t="shared" si="89"/>
        <v>4</v>
      </c>
      <c r="AE28" s="2142" t="str">
        <f t="shared" si="90"/>
        <v/>
      </c>
      <c r="AG28" s="2118" t="s">
        <v>1815</v>
      </c>
    </row>
    <row r="29" spans="1:33" hidden="1" outlineLevel="2" x14ac:dyDescent="0.2">
      <c r="A29" s="1360">
        <f t="shared" si="88"/>
        <v>24</v>
      </c>
      <c r="B29" s="497" t="s">
        <v>1419</v>
      </c>
      <c r="C29" s="498" t="s">
        <v>1033</v>
      </c>
      <c r="D29" s="2023">
        <v>4</v>
      </c>
      <c r="E29" s="499" t="s">
        <v>462</v>
      </c>
      <c r="F29" s="2024" t="s">
        <v>303</v>
      </c>
      <c r="G29" s="1353">
        <v>0.124</v>
      </c>
      <c r="H29" s="1525">
        <f>H28</f>
        <v>0</v>
      </c>
      <c r="I29" s="1526">
        <f t="shared" si="91"/>
        <v>0</v>
      </c>
      <c r="J29" s="503" t="str">
        <f t="shared" si="92"/>
        <v>0:0:00</v>
      </c>
      <c r="K29" s="2024">
        <v>1</v>
      </c>
      <c r="L29" s="2008">
        <v>12.46</v>
      </c>
      <c r="M29" s="1527">
        <f t="shared" si="87"/>
        <v>0</v>
      </c>
      <c r="N29" s="504">
        <v>1</v>
      </c>
      <c r="O29" s="502">
        <f t="shared" si="93"/>
        <v>0</v>
      </c>
      <c r="P29" s="502">
        <f t="shared" si="94"/>
        <v>0</v>
      </c>
      <c r="Q29" s="1364">
        <f t="shared" si="95"/>
        <v>0</v>
      </c>
      <c r="R29" s="1365">
        <f t="shared" si="96"/>
        <v>0</v>
      </c>
      <c r="S29" s="1365">
        <f t="shared" si="97"/>
        <v>0</v>
      </c>
      <c r="T29" s="1365">
        <f t="shared" si="98"/>
        <v>0</v>
      </c>
      <c r="U29" s="2028">
        <f t="shared" si="78"/>
        <v>0</v>
      </c>
      <c r="X29" s="2132">
        <v>4</v>
      </c>
      <c r="Y29" s="2133" t="s">
        <v>1815</v>
      </c>
      <c r="Z29" s="2132">
        <v>6</v>
      </c>
      <c r="AA29" s="2134">
        <v>4</v>
      </c>
      <c r="AD29" s="2141">
        <f t="shared" si="89"/>
        <v>4</v>
      </c>
      <c r="AE29" s="2142" t="str">
        <f t="shared" si="90"/>
        <v/>
      </c>
      <c r="AG29" s="2118" t="s">
        <v>1815</v>
      </c>
    </row>
    <row r="30" spans="1:33" hidden="1" outlineLevel="2" x14ac:dyDescent="0.2">
      <c r="A30" s="1360">
        <f t="shared" si="88"/>
        <v>25</v>
      </c>
      <c r="B30" s="497" t="s">
        <v>1420</v>
      </c>
      <c r="C30" s="498" t="s">
        <v>1033</v>
      </c>
      <c r="D30" s="2023">
        <v>6</v>
      </c>
      <c r="E30" s="499" t="s">
        <v>462</v>
      </c>
      <c r="F30" s="2024" t="s">
        <v>303</v>
      </c>
      <c r="G30" s="1353">
        <v>0.128</v>
      </c>
      <c r="H30" s="501">
        <f>Исх!DO57</f>
        <v>0</v>
      </c>
      <c r="I30" s="1526">
        <f t="shared" si="91"/>
        <v>0</v>
      </c>
      <c r="J30" s="503" t="str">
        <f t="shared" si="92"/>
        <v>0:0:00</v>
      </c>
      <c r="K30" s="2024">
        <v>1</v>
      </c>
      <c r="L30" s="2008">
        <v>17.13</v>
      </c>
      <c r="M30" s="1527">
        <f t="shared" si="87"/>
        <v>0</v>
      </c>
      <c r="N30" s="504">
        <v>1</v>
      </c>
      <c r="O30" s="502">
        <f t="shared" si="93"/>
        <v>0</v>
      </c>
      <c r="P30" s="502">
        <f t="shared" si="94"/>
        <v>0</v>
      </c>
      <c r="Q30" s="1364">
        <f t="shared" si="95"/>
        <v>0</v>
      </c>
      <c r="R30" s="1365">
        <f t="shared" si="96"/>
        <v>0</v>
      </c>
      <c r="S30" s="1365">
        <f t="shared" si="97"/>
        <v>0</v>
      </c>
      <c r="T30" s="1365">
        <f t="shared" si="98"/>
        <v>0</v>
      </c>
      <c r="U30" s="2028">
        <f t="shared" si="78"/>
        <v>0</v>
      </c>
      <c r="X30" s="2135">
        <v>5</v>
      </c>
      <c r="Y30" s="2136" t="s">
        <v>1816</v>
      </c>
      <c r="Z30" s="2135">
        <v>1</v>
      </c>
      <c r="AA30" s="2137">
        <v>1.5</v>
      </c>
      <c r="AD30" s="2141">
        <f t="shared" si="89"/>
        <v>4</v>
      </c>
      <c r="AE30" s="2142" t="str">
        <f t="shared" si="90"/>
        <v/>
      </c>
      <c r="AG30" s="2118" t="s">
        <v>1815</v>
      </c>
    </row>
    <row r="31" spans="1:33" hidden="1" outlineLevel="2" x14ac:dyDescent="0.2">
      <c r="A31" s="1360">
        <f t="shared" si="88"/>
        <v>26</v>
      </c>
      <c r="B31" s="497" t="s">
        <v>1421</v>
      </c>
      <c r="C31" s="498" t="s">
        <v>1033</v>
      </c>
      <c r="D31" s="2023">
        <v>4</v>
      </c>
      <c r="E31" s="499" t="s">
        <v>462</v>
      </c>
      <c r="F31" s="2024" t="s">
        <v>303</v>
      </c>
      <c r="G31" s="1353">
        <v>0.128</v>
      </c>
      <c r="H31" s="1525">
        <f>H30</f>
        <v>0</v>
      </c>
      <c r="I31" s="1526">
        <f t="shared" si="91"/>
        <v>0</v>
      </c>
      <c r="J31" s="503" t="str">
        <f t="shared" si="92"/>
        <v>0:0:00</v>
      </c>
      <c r="K31" s="2024">
        <v>1</v>
      </c>
      <c r="L31" s="2008">
        <v>12.83</v>
      </c>
      <c r="M31" s="1527">
        <f t="shared" si="87"/>
        <v>0</v>
      </c>
      <c r="N31" s="504">
        <v>1</v>
      </c>
      <c r="O31" s="502">
        <f t="shared" si="93"/>
        <v>0</v>
      </c>
      <c r="P31" s="502">
        <f t="shared" si="94"/>
        <v>0</v>
      </c>
      <c r="Q31" s="1364">
        <f t="shared" si="95"/>
        <v>0</v>
      </c>
      <c r="R31" s="1365">
        <f t="shared" si="96"/>
        <v>0</v>
      </c>
      <c r="S31" s="1365">
        <f t="shared" si="97"/>
        <v>0</v>
      </c>
      <c r="T31" s="1365">
        <f t="shared" si="98"/>
        <v>0</v>
      </c>
      <c r="U31" s="2028">
        <f t="shared" si="78"/>
        <v>0</v>
      </c>
      <c r="X31" s="2135">
        <v>6</v>
      </c>
      <c r="Y31" s="2136" t="s">
        <v>1816</v>
      </c>
      <c r="Z31" s="2135">
        <v>2</v>
      </c>
      <c r="AA31" s="2137">
        <v>1.5</v>
      </c>
      <c r="AD31" s="2141">
        <f t="shared" si="89"/>
        <v>4</v>
      </c>
      <c r="AE31" s="2142" t="str">
        <f t="shared" si="90"/>
        <v/>
      </c>
      <c r="AG31" s="2118" t="s">
        <v>1815</v>
      </c>
    </row>
    <row r="32" spans="1:33" ht="25.5" hidden="1" outlineLevel="2" x14ac:dyDescent="0.2">
      <c r="A32" s="1360">
        <f t="shared" si="88"/>
        <v>27</v>
      </c>
      <c r="B32" s="584" t="s">
        <v>1422</v>
      </c>
      <c r="C32" s="498" t="s">
        <v>1033</v>
      </c>
      <c r="D32" s="2023">
        <v>6</v>
      </c>
      <c r="E32" s="499" t="s">
        <v>462</v>
      </c>
      <c r="F32" s="2024" t="s">
        <v>303</v>
      </c>
      <c r="G32" s="1354">
        <v>1</v>
      </c>
      <c r="H32" s="1525"/>
      <c r="I32" s="1526">
        <f t="shared" si="91"/>
        <v>0</v>
      </c>
      <c r="J32" s="503" t="str">
        <f t="shared" si="92"/>
        <v>0:0:00</v>
      </c>
      <c r="K32" s="2024">
        <v>1</v>
      </c>
      <c r="L32" s="2008">
        <v>126.5</v>
      </c>
      <c r="M32" s="1527">
        <f t="shared" si="87"/>
        <v>0</v>
      </c>
      <c r="N32" s="504">
        <v>1</v>
      </c>
      <c r="O32" s="502">
        <f t="shared" si="93"/>
        <v>0</v>
      </c>
      <c r="P32" s="502">
        <f t="shared" si="94"/>
        <v>0</v>
      </c>
      <c r="Q32" s="1364">
        <f t="shared" si="95"/>
        <v>0</v>
      </c>
      <c r="R32" s="1365">
        <f t="shared" si="96"/>
        <v>0</v>
      </c>
      <c r="S32" s="1365">
        <f t="shared" si="97"/>
        <v>0</v>
      </c>
      <c r="T32" s="1365">
        <f t="shared" si="98"/>
        <v>0</v>
      </c>
      <c r="U32" s="2028">
        <f t="shared" si="78"/>
        <v>0</v>
      </c>
      <c r="X32" s="2135">
        <v>7</v>
      </c>
      <c r="Y32" s="2136" t="s">
        <v>1816</v>
      </c>
      <c r="Z32" s="2135">
        <v>3</v>
      </c>
      <c r="AA32" s="2137">
        <v>2.6</v>
      </c>
      <c r="AD32" s="2141">
        <f t="shared" si="89"/>
        <v>4</v>
      </c>
      <c r="AE32" s="2142" t="str">
        <f t="shared" si="90"/>
        <v/>
      </c>
      <c r="AG32" s="2118" t="s">
        <v>1815</v>
      </c>
    </row>
    <row r="33" spans="1:33" ht="25.5" hidden="1" outlineLevel="2" x14ac:dyDescent="0.2">
      <c r="A33" s="1360">
        <f t="shared" si="88"/>
        <v>28</v>
      </c>
      <c r="B33" s="584" t="s">
        <v>1423</v>
      </c>
      <c r="C33" s="498" t="s">
        <v>1033</v>
      </c>
      <c r="D33" s="2023">
        <v>4</v>
      </c>
      <c r="E33" s="499" t="s">
        <v>462</v>
      </c>
      <c r="F33" s="2024" t="s">
        <v>303</v>
      </c>
      <c r="G33" s="1354">
        <v>1</v>
      </c>
      <c r="H33" s="1525">
        <f>H32</f>
        <v>0</v>
      </c>
      <c r="I33" s="1526">
        <f t="shared" si="91"/>
        <v>0</v>
      </c>
      <c r="J33" s="503" t="str">
        <f t="shared" si="92"/>
        <v>0:0:00</v>
      </c>
      <c r="K33" s="2024">
        <v>1</v>
      </c>
      <c r="L33" s="2008">
        <v>95.15</v>
      </c>
      <c r="M33" s="1527">
        <f t="shared" si="87"/>
        <v>0</v>
      </c>
      <c r="N33" s="504">
        <v>1</v>
      </c>
      <c r="O33" s="502">
        <f t="shared" si="93"/>
        <v>0</v>
      </c>
      <c r="P33" s="502">
        <f t="shared" si="94"/>
        <v>0</v>
      </c>
      <c r="Q33" s="1364">
        <f t="shared" si="95"/>
        <v>0</v>
      </c>
      <c r="R33" s="1365">
        <f t="shared" si="96"/>
        <v>0</v>
      </c>
      <c r="S33" s="1365">
        <f t="shared" si="97"/>
        <v>0</v>
      </c>
      <c r="T33" s="1365">
        <f t="shared" si="98"/>
        <v>0</v>
      </c>
      <c r="U33" s="2028">
        <f t="shared" si="78"/>
        <v>0</v>
      </c>
      <c r="X33" s="2135">
        <v>8</v>
      </c>
      <c r="Y33" s="2136" t="s">
        <v>1816</v>
      </c>
      <c r="Z33" s="2135">
        <v>4</v>
      </c>
      <c r="AA33" s="2137">
        <v>2.6</v>
      </c>
      <c r="AD33" s="2141">
        <f t="shared" si="89"/>
        <v>4</v>
      </c>
      <c r="AE33" s="2142" t="str">
        <f t="shared" si="90"/>
        <v/>
      </c>
      <c r="AG33" s="2118" t="s">
        <v>1815</v>
      </c>
    </row>
    <row r="34" spans="1:33" ht="25.5" hidden="1" outlineLevel="2" x14ac:dyDescent="0.2">
      <c r="A34" s="1360">
        <f t="shared" si="88"/>
        <v>29</v>
      </c>
      <c r="B34" s="584" t="s">
        <v>1424</v>
      </c>
      <c r="C34" s="498" t="s">
        <v>1033</v>
      </c>
      <c r="D34" s="2023">
        <v>6</v>
      </c>
      <c r="E34" s="499" t="s">
        <v>462</v>
      </c>
      <c r="F34" s="2024" t="s">
        <v>303</v>
      </c>
      <c r="G34" s="1354">
        <v>0.16700000000000001</v>
      </c>
      <c r="H34" s="501">
        <f>IF(Мат!G95&gt;0,1,0)</f>
        <v>0</v>
      </c>
      <c r="I34" s="1526">
        <f t="shared" si="91"/>
        <v>0</v>
      </c>
      <c r="J34" s="503" t="str">
        <f t="shared" si="92"/>
        <v>0:0:00</v>
      </c>
      <c r="K34" s="2024">
        <v>1</v>
      </c>
      <c r="L34" s="2008">
        <v>21.13</v>
      </c>
      <c r="M34" s="1527">
        <f t="shared" si="87"/>
        <v>0</v>
      </c>
      <c r="N34" s="504">
        <v>1</v>
      </c>
      <c r="O34" s="502">
        <f t="shared" si="93"/>
        <v>0</v>
      </c>
      <c r="P34" s="502">
        <f t="shared" si="94"/>
        <v>0</v>
      </c>
      <c r="Q34" s="1364">
        <f t="shared" si="95"/>
        <v>0</v>
      </c>
      <c r="R34" s="1365">
        <f t="shared" si="96"/>
        <v>0</v>
      </c>
      <c r="S34" s="1365">
        <f t="shared" si="97"/>
        <v>0</v>
      </c>
      <c r="T34" s="1365">
        <f t="shared" si="98"/>
        <v>0</v>
      </c>
      <c r="U34" s="2028">
        <f t="shared" si="78"/>
        <v>0</v>
      </c>
      <c r="X34" s="2138">
        <v>9</v>
      </c>
      <c r="Y34" s="2139" t="s">
        <v>1817</v>
      </c>
      <c r="Z34" s="2138">
        <v>3</v>
      </c>
      <c r="AA34" s="2140">
        <v>3</v>
      </c>
      <c r="AD34" s="2141">
        <f t="shared" si="89"/>
        <v>4</v>
      </c>
      <c r="AE34" s="2142" t="str">
        <f t="shared" si="90"/>
        <v/>
      </c>
      <c r="AG34" s="2118" t="s">
        <v>1815</v>
      </c>
    </row>
    <row r="35" spans="1:33" ht="25.5" hidden="1" outlineLevel="2" x14ac:dyDescent="0.2">
      <c r="A35" s="1360">
        <f t="shared" si="88"/>
        <v>30</v>
      </c>
      <c r="B35" s="584" t="s">
        <v>1424</v>
      </c>
      <c r="C35" s="498" t="s">
        <v>1033</v>
      </c>
      <c r="D35" s="2023">
        <v>4</v>
      </c>
      <c r="E35" s="499" t="s">
        <v>462</v>
      </c>
      <c r="F35" s="2024" t="s">
        <v>303</v>
      </c>
      <c r="G35" s="1354">
        <v>0.16700000000000001</v>
      </c>
      <c r="H35" s="501">
        <f>H34</f>
        <v>0</v>
      </c>
      <c r="I35" s="1526">
        <f t="shared" si="91"/>
        <v>0</v>
      </c>
      <c r="J35" s="503" t="str">
        <f t="shared" si="92"/>
        <v>0:0:00</v>
      </c>
      <c r="K35" s="2024">
        <v>1</v>
      </c>
      <c r="L35" s="2008">
        <v>15.89</v>
      </c>
      <c r="M35" s="1527">
        <f t="shared" si="87"/>
        <v>0</v>
      </c>
      <c r="N35" s="504">
        <v>1</v>
      </c>
      <c r="O35" s="502">
        <f t="shared" si="93"/>
        <v>0</v>
      </c>
      <c r="P35" s="502">
        <f t="shared" si="94"/>
        <v>0</v>
      </c>
      <c r="Q35" s="1364">
        <f t="shared" si="95"/>
        <v>0</v>
      </c>
      <c r="R35" s="1365">
        <f t="shared" si="96"/>
        <v>0</v>
      </c>
      <c r="S35" s="1365">
        <f t="shared" si="97"/>
        <v>0</v>
      </c>
      <c r="T35" s="1365">
        <f t="shared" si="98"/>
        <v>0</v>
      </c>
      <c r="U35" s="2028">
        <f t="shared" si="78"/>
        <v>0</v>
      </c>
      <c r="AD35" s="2141">
        <f t="shared" si="89"/>
        <v>4</v>
      </c>
      <c r="AE35" s="2142" t="str">
        <f t="shared" si="90"/>
        <v/>
      </c>
      <c r="AG35" s="2118" t="s">
        <v>1815</v>
      </c>
    </row>
    <row r="36" spans="1:33" ht="15" hidden="1" outlineLevel="1" x14ac:dyDescent="0.2">
      <c r="A36" s="1356"/>
      <c r="B36" s="1039" t="s">
        <v>841</v>
      </c>
      <c r="C36" s="492"/>
      <c r="D36" s="2149"/>
      <c r="E36" s="493" t="s">
        <v>218</v>
      </c>
      <c r="F36" s="2161"/>
      <c r="G36" s="2174"/>
      <c r="H36" s="495"/>
      <c r="I36" s="2080">
        <f>I37+I74</f>
        <v>2.472</v>
      </c>
      <c r="J36" s="2032" t="str">
        <f>CONCATENATE(TRUNC(I36,0),":",INT((I36-(TRUNC(I36,0)))*60),":","00")</f>
        <v>2:28:00</v>
      </c>
      <c r="K36" s="494"/>
      <c r="L36" s="496"/>
      <c r="M36" s="494"/>
      <c r="N36" s="494"/>
      <c r="O36" s="494"/>
      <c r="P36" s="494"/>
      <c r="Q36" s="1446"/>
      <c r="R36" s="1447"/>
      <c r="S36" s="1447"/>
      <c r="T36" s="1447"/>
      <c r="U36" s="2028">
        <f t="shared" ref="U36:U37" si="99">IF(T36&gt;0,1,0)</f>
        <v>0</v>
      </c>
      <c r="AD36" s="2141" t="str">
        <f t="shared" si="89"/>
        <v/>
      </c>
      <c r="AE36" s="2142" t="str">
        <f t="shared" si="90"/>
        <v/>
      </c>
      <c r="AG36" s="2118" t="s">
        <v>1820</v>
      </c>
    </row>
    <row r="37" spans="1:33" ht="14.25" hidden="1" outlineLevel="2" x14ac:dyDescent="0.2">
      <c r="A37" s="1356"/>
      <c r="B37" s="1040" t="s">
        <v>1433</v>
      </c>
      <c r="C37" s="1041"/>
      <c r="D37" s="2150"/>
      <c r="E37" s="1042" t="s">
        <v>218</v>
      </c>
      <c r="F37" s="2162"/>
      <c r="G37" s="2175"/>
      <c r="H37" s="1044"/>
      <c r="I37" s="2065">
        <f>I38+I42+I46+I50+I54+I58+I62+I66+I70</f>
        <v>0</v>
      </c>
      <c r="J37" s="1043"/>
      <c r="K37" s="1043"/>
      <c r="L37" s="1045"/>
      <c r="M37" s="1043"/>
      <c r="N37" s="1043"/>
      <c r="O37" s="1043"/>
      <c r="P37" s="1043"/>
      <c r="Q37" s="1448"/>
      <c r="R37" s="1449"/>
      <c r="S37" s="1449"/>
      <c r="T37" s="1449"/>
      <c r="U37" s="2028">
        <f t="shared" si="99"/>
        <v>0</v>
      </c>
      <c r="AD37" s="2141" t="str">
        <f t="shared" si="89"/>
        <v/>
      </c>
      <c r="AE37" s="2142" t="str">
        <f t="shared" si="90"/>
        <v/>
      </c>
      <c r="AG37" s="2118" t="s">
        <v>1820</v>
      </c>
    </row>
    <row r="38" spans="1:33" hidden="1" outlineLevel="4" x14ac:dyDescent="0.2">
      <c r="A38" s="1356">
        <f>A35+1</f>
        <v>31</v>
      </c>
      <c r="B38" s="584" t="s">
        <v>1434</v>
      </c>
      <c r="C38" s="534" t="s">
        <v>842</v>
      </c>
      <c r="D38" s="2023">
        <v>5</v>
      </c>
      <c r="E38" s="499" t="s">
        <v>462</v>
      </c>
      <c r="F38" s="2024" t="s">
        <v>1405</v>
      </c>
      <c r="G38" s="1353">
        <v>0.06</v>
      </c>
      <c r="H38" s="501">
        <f>IF(H70&gt;0,Исх!U25,0)</f>
        <v>0</v>
      </c>
      <c r="I38" s="1359">
        <f>G38*H38/K38</f>
        <v>0</v>
      </c>
      <c r="J38" s="503" t="str">
        <f t="shared" ref="J38:J73" si="100">CONCATENATE(TRUNC(I38,0),":",INT((I38-(TRUNC(I38,0)))*60),":","00")</f>
        <v>0:0:00</v>
      </c>
      <c r="K38" s="2024">
        <v>1000</v>
      </c>
      <c r="L38" s="2009">
        <v>5.95</v>
      </c>
      <c r="M38" s="502">
        <f t="shared" ref="M38:M73" si="101">H38*L38/K38</f>
        <v>0</v>
      </c>
      <c r="N38" s="504">
        <v>1</v>
      </c>
      <c r="O38" s="502">
        <f t="shared" ref="O38:O73" si="102">M38*N38</f>
        <v>0</v>
      </c>
      <c r="P38" s="502">
        <f t="shared" ref="P38:P73" si="103">(M38+O38)*0.15</f>
        <v>0</v>
      </c>
      <c r="Q38" s="1364">
        <f t="shared" ref="Q38:Q73" si="104">M38+O38+P38</f>
        <v>0</v>
      </c>
      <c r="R38" s="1365">
        <f t="shared" ref="R38:R73" si="105">Q38*$R$1</f>
        <v>0</v>
      </c>
      <c r="S38" s="1365">
        <f t="shared" ref="S38:S73" si="106">(Q38+R38)*$S$1</f>
        <v>0</v>
      </c>
      <c r="T38" s="1365">
        <f t="shared" ref="T38:T73" si="107">Q38+R38+S38</f>
        <v>0</v>
      </c>
      <c r="U38" s="2028">
        <f t="shared" si="19"/>
        <v>0</v>
      </c>
      <c r="AD38" s="2141">
        <f t="shared" si="89"/>
        <v>4</v>
      </c>
      <c r="AE38" s="2142" t="str">
        <f t="shared" si="90"/>
        <v/>
      </c>
      <c r="AG38" s="2118" t="s">
        <v>1820</v>
      </c>
    </row>
    <row r="39" spans="1:33" hidden="1" outlineLevel="4" x14ac:dyDescent="0.2">
      <c r="A39" s="1356">
        <f>A38+1</f>
        <v>32</v>
      </c>
      <c r="B39" s="584" t="s">
        <v>1435</v>
      </c>
      <c r="C39" s="534" t="s">
        <v>842</v>
      </c>
      <c r="D39" s="2023">
        <v>4</v>
      </c>
      <c r="E39" s="499" t="s">
        <v>462</v>
      </c>
      <c r="F39" s="2024" t="s">
        <v>1405</v>
      </c>
      <c r="G39" s="1353">
        <v>0.06</v>
      </c>
      <c r="H39" s="501">
        <f>H38</f>
        <v>0</v>
      </c>
      <c r="I39" s="1359">
        <f t="shared" ref="I39:I73" si="108">G39*H39/K39</f>
        <v>0</v>
      </c>
      <c r="J39" s="503" t="str">
        <f t="shared" si="100"/>
        <v>0:0:00</v>
      </c>
      <c r="K39" s="2024">
        <v>1000</v>
      </c>
      <c r="L39" s="2009">
        <v>4.95</v>
      </c>
      <c r="M39" s="502">
        <f t="shared" si="101"/>
        <v>0</v>
      </c>
      <c r="N39" s="504">
        <v>1</v>
      </c>
      <c r="O39" s="502">
        <f t="shared" si="102"/>
        <v>0</v>
      </c>
      <c r="P39" s="502">
        <f t="shared" si="103"/>
        <v>0</v>
      </c>
      <c r="Q39" s="1364">
        <f t="shared" si="104"/>
        <v>0</v>
      </c>
      <c r="R39" s="1365">
        <f t="shared" si="105"/>
        <v>0</v>
      </c>
      <c r="S39" s="1365">
        <f t="shared" si="106"/>
        <v>0</v>
      </c>
      <c r="T39" s="1365">
        <f t="shared" si="107"/>
        <v>0</v>
      </c>
      <c r="U39" s="2028">
        <f t="shared" si="19"/>
        <v>0</v>
      </c>
      <c r="AD39" s="2141">
        <f t="shared" si="89"/>
        <v>4</v>
      </c>
      <c r="AE39" s="2142" t="str">
        <f t="shared" si="90"/>
        <v/>
      </c>
      <c r="AG39" s="2118" t="s">
        <v>1820</v>
      </c>
    </row>
    <row r="40" spans="1:33" hidden="1" outlineLevel="4" x14ac:dyDescent="0.2">
      <c r="A40" s="1356">
        <f t="shared" ref="A40:A73" si="109">A39+1</f>
        <v>33</v>
      </c>
      <c r="B40" s="584" t="s">
        <v>1436</v>
      </c>
      <c r="C40" s="534" t="s">
        <v>842</v>
      </c>
      <c r="D40" s="2023">
        <v>3</v>
      </c>
      <c r="E40" s="499" t="s">
        <v>462</v>
      </c>
      <c r="F40" s="2024" t="s">
        <v>1405</v>
      </c>
      <c r="G40" s="1353">
        <v>0.06</v>
      </c>
      <c r="H40" s="501">
        <f>H38</f>
        <v>0</v>
      </c>
      <c r="I40" s="1359">
        <f t="shared" ref="I40:I43" si="110">G40*H40/K40</f>
        <v>0</v>
      </c>
      <c r="J40" s="503" t="str">
        <f t="shared" ref="J40:J43" si="111">CONCATENATE(TRUNC(I40,0),":",INT((I40-(TRUNC(I40,0)))*60),":","00")</f>
        <v>0:0:00</v>
      </c>
      <c r="K40" s="2024">
        <v>1000</v>
      </c>
      <c r="L40" s="2009">
        <v>3.96</v>
      </c>
      <c r="M40" s="502">
        <f t="shared" ref="M40:M43" si="112">H40*L40/K40</f>
        <v>0</v>
      </c>
      <c r="N40" s="504">
        <v>1</v>
      </c>
      <c r="O40" s="502">
        <f t="shared" ref="O40:O43" si="113">M40*N40</f>
        <v>0</v>
      </c>
      <c r="P40" s="502">
        <f t="shared" ref="P40:P43" si="114">(M40+O40)*0.15</f>
        <v>0</v>
      </c>
      <c r="Q40" s="1364">
        <f t="shared" ref="Q40:Q43" si="115">M40+O40+P40</f>
        <v>0</v>
      </c>
      <c r="R40" s="1365">
        <f t="shared" ref="R40:R43" si="116">Q40*$R$1</f>
        <v>0</v>
      </c>
      <c r="S40" s="1365">
        <f t="shared" ref="S40:S43" si="117">(Q40+R40)*$S$1</f>
        <v>0</v>
      </c>
      <c r="T40" s="1365">
        <f t="shared" ref="T40:T43" si="118">Q40+R40+S40</f>
        <v>0</v>
      </c>
      <c r="U40" s="2028">
        <f t="shared" ref="U40:U43" si="119">IF(T40&gt;0,1,0)</f>
        <v>0</v>
      </c>
      <c r="AD40" s="2141">
        <f t="shared" si="89"/>
        <v>4</v>
      </c>
      <c r="AE40" s="2142" t="str">
        <f t="shared" si="90"/>
        <v/>
      </c>
      <c r="AG40" s="2118" t="s">
        <v>1820</v>
      </c>
    </row>
    <row r="41" spans="1:33" hidden="1" outlineLevel="4" x14ac:dyDescent="0.2">
      <c r="A41" s="1356">
        <f t="shared" si="109"/>
        <v>34</v>
      </c>
      <c r="B41" s="584" t="s">
        <v>1436</v>
      </c>
      <c r="C41" s="534" t="s">
        <v>842</v>
      </c>
      <c r="D41" s="2023">
        <v>3</v>
      </c>
      <c r="E41" s="499" t="s">
        <v>462</v>
      </c>
      <c r="F41" s="2024" t="s">
        <v>1405</v>
      </c>
      <c r="G41" s="1353">
        <v>0.06</v>
      </c>
      <c r="H41" s="501">
        <f>H38</f>
        <v>0</v>
      </c>
      <c r="I41" s="1359">
        <f t="shared" si="110"/>
        <v>0</v>
      </c>
      <c r="J41" s="503" t="str">
        <f t="shared" si="111"/>
        <v>0:0:00</v>
      </c>
      <c r="K41" s="2024">
        <v>1000</v>
      </c>
      <c r="L41" s="2009">
        <v>3.96</v>
      </c>
      <c r="M41" s="502">
        <f t="shared" si="112"/>
        <v>0</v>
      </c>
      <c r="N41" s="504">
        <v>1</v>
      </c>
      <c r="O41" s="502">
        <f t="shared" si="113"/>
        <v>0</v>
      </c>
      <c r="P41" s="502">
        <f t="shared" si="114"/>
        <v>0</v>
      </c>
      <c r="Q41" s="1364">
        <f t="shared" si="115"/>
        <v>0</v>
      </c>
      <c r="R41" s="1365">
        <f t="shared" si="116"/>
        <v>0</v>
      </c>
      <c r="S41" s="1365">
        <f t="shared" si="117"/>
        <v>0</v>
      </c>
      <c r="T41" s="1365">
        <f t="shared" si="118"/>
        <v>0</v>
      </c>
      <c r="U41" s="2028">
        <f t="shared" si="119"/>
        <v>0</v>
      </c>
      <c r="AD41" s="2141">
        <f t="shared" si="89"/>
        <v>4</v>
      </c>
      <c r="AE41" s="2142" t="str">
        <f t="shared" si="90"/>
        <v/>
      </c>
      <c r="AG41" s="2118" t="s">
        <v>1820</v>
      </c>
    </row>
    <row r="42" spans="1:33" hidden="1" outlineLevel="4" x14ac:dyDescent="0.2">
      <c r="A42" s="1356">
        <f t="shared" si="109"/>
        <v>35</v>
      </c>
      <c r="B42" s="1046" t="s">
        <v>1437</v>
      </c>
      <c r="C42" s="534" t="s">
        <v>842</v>
      </c>
      <c r="D42" s="2023">
        <v>5</v>
      </c>
      <c r="E42" s="499" t="s">
        <v>462</v>
      </c>
      <c r="F42" s="2024" t="s">
        <v>1405</v>
      </c>
      <c r="G42" s="1353">
        <v>6.2E-2</v>
      </c>
      <c r="H42" s="501">
        <f>IF(H70&gt;0,Исх!X25,0)</f>
        <v>0</v>
      </c>
      <c r="I42" s="1359">
        <f t="shared" si="110"/>
        <v>0</v>
      </c>
      <c r="J42" s="503" t="str">
        <f t="shared" si="111"/>
        <v>0:0:00</v>
      </c>
      <c r="K42" s="2024">
        <v>1000</v>
      </c>
      <c r="L42" s="2009">
        <v>6.14</v>
      </c>
      <c r="M42" s="502">
        <f t="shared" si="112"/>
        <v>0</v>
      </c>
      <c r="N42" s="504">
        <v>1</v>
      </c>
      <c r="O42" s="502">
        <f t="shared" si="113"/>
        <v>0</v>
      </c>
      <c r="P42" s="502">
        <f t="shared" si="114"/>
        <v>0</v>
      </c>
      <c r="Q42" s="1364">
        <f t="shared" si="115"/>
        <v>0</v>
      </c>
      <c r="R42" s="1365">
        <f t="shared" si="116"/>
        <v>0</v>
      </c>
      <c r="S42" s="1365">
        <f t="shared" si="117"/>
        <v>0</v>
      </c>
      <c r="T42" s="1365">
        <f t="shared" si="118"/>
        <v>0</v>
      </c>
      <c r="U42" s="2028">
        <f t="shared" si="119"/>
        <v>0</v>
      </c>
      <c r="AD42" s="2141">
        <f t="shared" si="89"/>
        <v>4</v>
      </c>
      <c r="AE42" s="2142" t="str">
        <f t="shared" si="90"/>
        <v/>
      </c>
      <c r="AG42" s="2118" t="s">
        <v>1820</v>
      </c>
    </row>
    <row r="43" spans="1:33" hidden="1" outlineLevel="4" x14ac:dyDescent="0.2">
      <c r="A43" s="1356">
        <f t="shared" si="109"/>
        <v>36</v>
      </c>
      <c r="B43" s="1046" t="s">
        <v>1438</v>
      </c>
      <c r="C43" s="534" t="s">
        <v>842</v>
      </c>
      <c r="D43" s="2023">
        <v>4</v>
      </c>
      <c r="E43" s="499" t="s">
        <v>462</v>
      </c>
      <c r="F43" s="2024" t="s">
        <v>1405</v>
      </c>
      <c r="G43" s="1353">
        <v>6.2E-2</v>
      </c>
      <c r="H43" s="501">
        <f>H42</f>
        <v>0</v>
      </c>
      <c r="I43" s="1359">
        <f t="shared" si="110"/>
        <v>0</v>
      </c>
      <c r="J43" s="503" t="str">
        <f t="shared" si="111"/>
        <v>0:0:00</v>
      </c>
      <c r="K43" s="2024">
        <v>1000</v>
      </c>
      <c r="L43" s="2009">
        <v>5.12</v>
      </c>
      <c r="M43" s="502">
        <f t="shared" si="112"/>
        <v>0</v>
      </c>
      <c r="N43" s="504">
        <v>1</v>
      </c>
      <c r="O43" s="502">
        <f t="shared" si="113"/>
        <v>0</v>
      </c>
      <c r="P43" s="502">
        <f t="shared" si="114"/>
        <v>0</v>
      </c>
      <c r="Q43" s="1364">
        <f t="shared" si="115"/>
        <v>0</v>
      </c>
      <c r="R43" s="1365">
        <f t="shared" si="116"/>
        <v>0</v>
      </c>
      <c r="S43" s="1365">
        <f t="shared" si="117"/>
        <v>0</v>
      </c>
      <c r="T43" s="1365">
        <f t="shared" si="118"/>
        <v>0</v>
      </c>
      <c r="U43" s="2028">
        <f t="shared" si="119"/>
        <v>0</v>
      </c>
      <c r="AD43" s="2141">
        <f t="shared" si="89"/>
        <v>4</v>
      </c>
      <c r="AE43" s="2142" t="str">
        <f t="shared" si="90"/>
        <v/>
      </c>
      <c r="AG43" s="2118" t="s">
        <v>1820</v>
      </c>
    </row>
    <row r="44" spans="1:33" hidden="1" outlineLevel="4" x14ac:dyDescent="0.2">
      <c r="A44" s="1356">
        <f t="shared" si="109"/>
        <v>37</v>
      </c>
      <c r="B44" s="1046" t="s">
        <v>1439</v>
      </c>
      <c r="C44" s="534" t="s">
        <v>842</v>
      </c>
      <c r="D44" s="2023">
        <v>3</v>
      </c>
      <c r="E44" s="499" t="s">
        <v>462</v>
      </c>
      <c r="F44" s="2024" t="s">
        <v>1405</v>
      </c>
      <c r="G44" s="1353">
        <v>6.2E-2</v>
      </c>
      <c r="H44" s="501">
        <f>H42</f>
        <v>0</v>
      </c>
      <c r="I44" s="1359">
        <f t="shared" si="108"/>
        <v>0</v>
      </c>
      <c r="J44" s="503" t="str">
        <f t="shared" si="100"/>
        <v>0:0:00</v>
      </c>
      <c r="K44" s="2024">
        <v>1000</v>
      </c>
      <c r="L44" s="2009">
        <v>4.08</v>
      </c>
      <c r="M44" s="502">
        <f t="shared" si="101"/>
        <v>0</v>
      </c>
      <c r="N44" s="504">
        <v>1</v>
      </c>
      <c r="O44" s="502">
        <f t="shared" si="102"/>
        <v>0</v>
      </c>
      <c r="P44" s="502">
        <f t="shared" si="103"/>
        <v>0</v>
      </c>
      <c r="Q44" s="1364">
        <f t="shared" si="104"/>
        <v>0</v>
      </c>
      <c r="R44" s="1365">
        <f t="shared" si="105"/>
        <v>0</v>
      </c>
      <c r="S44" s="1365">
        <f t="shared" si="106"/>
        <v>0</v>
      </c>
      <c r="T44" s="1365">
        <f t="shared" si="107"/>
        <v>0</v>
      </c>
      <c r="U44" s="2028">
        <f t="shared" si="19"/>
        <v>0</v>
      </c>
      <c r="AD44" s="2141">
        <f t="shared" si="89"/>
        <v>4</v>
      </c>
      <c r="AE44" s="2142" t="str">
        <f t="shared" si="90"/>
        <v/>
      </c>
      <c r="AG44" s="2118" t="s">
        <v>1820</v>
      </c>
    </row>
    <row r="45" spans="1:33" hidden="1" outlineLevel="4" x14ac:dyDescent="0.2">
      <c r="A45" s="1356">
        <f t="shared" si="109"/>
        <v>38</v>
      </c>
      <c r="B45" s="1046" t="s">
        <v>1439</v>
      </c>
      <c r="C45" s="534" t="s">
        <v>842</v>
      </c>
      <c r="D45" s="2023">
        <v>3</v>
      </c>
      <c r="E45" s="499" t="s">
        <v>462</v>
      </c>
      <c r="F45" s="2024" t="s">
        <v>1405</v>
      </c>
      <c r="G45" s="1353">
        <v>6.2E-2</v>
      </c>
      <c r="H45" s="501">
        <f>H42</f>
        <v>0</v>
      </c>
      <c r="I45" s="1359">
        <f t="shared" si="108"/>
        <v>0</v>
      </c>
      <c r="J45" s="503" t="str">
        <f t="shared" si="100"/>
        <v>0:0:00</v>
      </c>
      <c r="K45" s="2024">
        <v>1000</v>
      </c>
      <c r="L45" s="2009">
        <v>4.08</v>
      </c>
      <c r="M45" s="502">
        <f t="shared" si="101"/>
        <v>0</v>
      </c>
      <c r="N45" s="504">
        <v>1</v>
      </c>
      <c r="O45" s="502">
        <f t="shared" si="102"/>
        <v>0</v>
      </c>
      <c r="P45" s="502">
        <f t="shared" si="103"/>
        <v>0</v>
      </c>
      <c r="Q45" s="1364">
        <f t="shared" si="104"/>
        <v>0</v>
      </c>
      <c r="R45" s="1365">
        <f t="shared" si="105"/>
        <v>0</v>
      </c>
      <c r="S45" s="1365">
        <f t="shared" si="106"/>
        <v>0</v>
      </c>
      <c r="T45" s="1365">
        <f t="shared" si="107"/>
        <v>0</v>
      </c>
      <c r="U45" s="2028">
        <f t="shared" si="19"/>
        <v>0</v>
      </c>
      <c r="AD45" s="2141">
        <f t="shared" si="89"/>
        <v>4</v>
      </c>
      <c r="AE45" s="2142" t="str">
        <f t="shared" si="90"/>
        <v/>
      </c>
      <c r="AG45" s="2118" t="s">
        <v>1820</v>
      </c>
    </row>
    <row r="46" spans="1:33" ht="25.5" hidden="1" outlineLevel="4" x14ac:dyDescent="0.2">
      <c r="A46" s="1356">
        <f t="shared" si="109"/>
        <v>39</v>
      </c>
      <c r="B46" s="584" t="s">
        <v>1440</v>
      </c>
      <c r="C46" s="534" t="s">
        <v>842</v>
      </c>
      <c r="D46" s="2023">
        <v>5</v>
      </c>
      <c r="E46" s="499" t="s">
        <v>462</v>
      </c>
      <c r="F46" s="2024" t="s">
        <v>1405</v>
      </c>
      <c r="G46" s="1353">
        <v>7.0999999999999994E-2</v>
      </c>
      <c r="H46" s="501">
        <f>IF(H70&gt;0,Исх!AA25,0)</f>
        <v>0</v>
      </c>
      <c r="I46" s="1359">
        <f t="shared" si="108"/>
        <v>0</v>
      </c>
      <c r="J46" s="503" t="str">
        <f t="shared" si="100"/>
        <v>0:0:00</v>
      </c>
      <c r="K46" s="2024">
        <v>1000</v>
      </c>
      <c r="L46" s="2009">
        <v>7.03</v>
      </c>
      <c r="M46" s="502">
        <f t="shared" si="101"/>
        <v>0</v>
      </c>
      <c r="N46" s="504">
        <v>1</v>
      </c>
      <c r="O46" s="502">
        <f t="shared" si="102"/>
        <v>0</v>
      </c>
      <c r="P46" s="502">
        <f t="shared" si="103"/>
        <v>0</v>
      </c>
      <c r="Q46" s="1364">
        <f t="shared" si="104"/>
        <v>0</v>
      </c>
      <c r="R46" s="1365">
        <f t="shared" si="105"/>
        <v>0</v>
      </c>
      <c r="S46" s="1365">
        <f t="shared" si="106"/>
        <v>0</v>
      </c>
      <c r="T46" s="1365">
        <f t="shared" si="107"/>
        <v>0</v>
      </c>
      <c r="U46" s="2028">
        <f t="shared" si="19"/>
        <v>0</v>
      </c>
      <c r="AD46" s="2141">
        <f t="shared" si="89"/>
        <v>4</v>
      </c>
      <c r="AE46" s="2142" t="str">
        <f t="shared" si="90"/>
        <v/>
      </c>
      <c r="AG46" s="2118" t="s">
        <v>1820</v>
      </c>
    </row>
    <row r="47" spans="1:33" ht="25.5" hidden="1" outlineLevel="4" x14ac:dyDescent="0.2">
      <c r="A47" s="1356">
        <f t="shared" si="109"/>
        <v>40</v>
      </c>
      <c r="B47" s="584" t="s">
        <v>1441</v>
      </c>
      <c r="C47" s="534" t="s">
        <v>842</v>
      </c>
      <c r="D47" s="2023">
        <v>4</v>
      </c>
      <c r="E47" s="499" t="s">
        <v>462</v>
      </c>
      <c r="F47" s="2024" t="s">
        <v>1405</v>
      </c>
      <c r="G47" s="1353">
        <v>7.0999999999999994E-2</v>
      </c>
      <c r="H47" s="501">
        <f>H46</f>
        <v>0</v>
      </c>
      <c r="I47" s="1359">
        <f t="shared" si="108"/>
        <v>0</v>
      </c>
      <c r="J47" s="503" t="str">
        <f t="shared" si="100"/>
        <v>0:0:00</v>
      </c>
      <c r="K47" s="2024">
        <v>1000</v>
      </c>
      <c r="L47" s="2009">
        <v>5.85</v>
      </c>
      <c r="M47" s="502">
        <f t="shared" si="101"/>
        <v>0</v>
      </c>
      <c r="N47" s="504">
        <v>1</v>
      </c>
      <c r="O47" s="502">
        <f t="shared" si="102"/>
        <v>0</v>
      </c>
      <c r="P47" s="502">
        <f t="shared" si="103"/>
        <v>0</v>
      </c>
      <c r="Q47" s="1364">
        <f t="shared" si="104"/>
        <v>0</v>
      </c>
      <c r="R47" s="1365">
        <f t="shared" si="105"/>
        <v>0</v>
      </c>
      <c r="S47" s="1365">
        <f t="shared" si="106"/>
        <v>0</v>
      </c>
      <c r="T47" s="1365">
        <f t="shared" si="107"/>
        <v>0</v>
      </c>
      <c r="U47" s="2028">
        <f t="shared" si="19"/>
        <v>0</v>
      </c>
      <c r="AD47" s="2141">
        <f t="shared" si="89"/>
        <v>4</v>
      </c>
      <c r="AE47" s="2142" t="str">
        <f t="shared" si="90"/>
        <v/>
      </c>
      <c r="AG47" s="2118" t="s">
        <v>1820</v>
      </c>
    </row>
    <row r="48" spans="1:33" ht="25.5" hidden="1" outlineLevel="4" x14ac:dyDescent="0.2">
      <c r="A48" s="1356">
        <f t="shared" si="109"/>
        <v>41</v>
      </c>
      <c r="B48" s="584" t="s">
        <v>1442</v>
      </c>
      <c r="C48" s="534" t="s">
        <v>842</v>
      </c>
      <c r="D48" s="2023">
        <v>3</v>
      </c>
      <c r="E48" s="499" t="s">
        <v>462</v>
      </c>
      <c r="F48" s="2024" t="s">
        <v>1405</v>
      </c>
      <c r="G48" s="1353">
        <v>7.0999999999999994E-2</v>
      </c>
      <c r="H48" s="501">
        <f>-H46</f>
        <v>0</v>
      </c>
      <c r="I48" s="1359">
        <f t="shared" si="108"/>
        <v>0</v>
      </c>
      <c r="J48" s="503" t="str">
        <f t="shared" si="100"/>
        <v>0:0:00</v>
      </c>
      <c r="K48" s="2024">
        <v>1000</v>
      </c>
      <c r="L48" s="2009">
        <v>4.6900000000000004</v>
      </c>
      <c r="M48" s="502">
        <f t="shared" si="101"/>
        <v>0</v>
      </c>
      <c r="N48" s="504">
        <v>1</v>
      </c>
      <c r="O48" s="502">
        <f t="shared" si="102"/>
        <v>0</v>
      </c>
      <c r="P48" s="502">
        <f t="shared" si="103"/>
        <v>0</v>
      </c>
      <c r="Q48" s="1364">
        <f t="shared" si="104"/>
        <v>0</v>
      </c>
      <c r="R48" s="1365">
        <f t="shared" si="105"/>
        <v>0</v>
      </c>
      <c r="S48" s="1365">
        <f t="shared" si="106"/>
        <v>0</v>
      </c>
      <c r="T48" s="1365">
        <f t="shared" si="107"/>
        <v>0</v>
      </c>
      <c r="U48" s="2028">
        <f t="shared" si="19"/>
        <v>0</v>
      </c>
      <c r="AD48" s="2141">
        <f t="shared" si="89"/>
        <v>4</v>
      </c>
      <c r="AE48" s="2142" t="str">
        <f t="shared" si="90"/>
        <v/>
      </c>
      <c r="AG48" s="2118" t="s">
        <v>1820</v>
      </c>
    </row>
    <row r="49" spans="1:33" ht="25.5" hidden="1" outlineLevel="4" x14ac:dyDescent="0.2">
      <c r="A49" s="1356">
        <f t="shared" si="109"/>
        <v>42</v>
      </c>
      <c r="B49" s="584" t="s">
        <v>1442</v>
      </c>
      <c r="C49" s="534" t="s">
        <v>842</v>
      </c>
      <c r="D49" s="2023">
        <v>3</v>
      </c>
      <c r="E49" s="499" t="s">
        <v>462</v>
      </c>
      <c r="F49" s="2024" t="s">
        <v>1405</v>
      </c>
      <c r="G49" s="1353">
        <v>7.0999999999999994E-2</v>
      </c>
      <c r="H49" s="501">
        <f>-H46</f>
        <v>0</v>
      </c>
      <c r="I49" s="1359">
        <f t="shared" si="108"/>
        <v>0</v>
      </c>
      <c r="J49" s="503" t="str">
        <f t="shared" si="100"/>
        <v>0:0:00</v>
      </c>
      <c r="K49" s="2024">
        <v>1000</v>
      </c>
      <c r="L49" s="2009">
        <v>4.6900000000000004</v>
      </c>
      <c r="M49" s="502">
        <f t="shared" si="101"/>
        <v>0</v>
      </c>
      <c r="N49" s="504">
        <v>1</v>
      </c>
      <c r="O49" s="502">
        <f t="shared" si="102"/>
        <v>0</v>
      </c>
      <c r="P49" s="502">
        <f t="shared" si="103"/>
        <v>0</v>
      </c>
      <c r="Q49" s="1364">
        <f t="shared" si="104"/>
        <v>0</v>
      </c>
      <c r="R49" s="1365">
        <f t="shared" si="105"/>
        <v>0</v>
      </c>
      <c r="S49" s="1365">
        <f t="shared" si="106"/>
        <v>0</v>
      </c>
      <c r="T49" s="1365">
        <f t="shared" si="107"/>
        <v>0</v>
      </c>
      <c r="U49" s="2028">
        <f t="shared" si="19"/>
        <v>0</v>
      </c>
      <c r="AD49" s="2141">
        <f t="shared" si="89"/>
        <v>4</v>
      </c>
      <c r="AE49" s="2142" t="str">
        <f t="shared" si="90"/>
        <v/>
      </c>
      <c r="AG49" s="2118" t="s">
        <v>1820</v>
      </c>
    </row>
    <row r="50" spans="1:33" ht="25.5" hidden="1" outlineLevel="4" x14ac:dyDescent="0.2">
      <c r="A50" s="1356">
        <f t="shared" si="109"/>
        <v>43</v>
      </c>
      <c r="B50" s="1046" t="s">
        <v>1443</v>
      </c>
      <c r="C50" s="534" t="s">
        <v>842</v>
      </c>
      <c r="D50" s="2023">
        <v>5</v>
      </c>
      <c r="E50" s="499" t="s">
        <v>462</v>
      </c>
      <c r="F50" s="2024" t="s">
        <v>1405</v>
      </c>
      <c r="G50" s="1353">
        <v>0.08</v>
      </c>
      <c r="H50" s="501">
        <f>IF(H70&gt;0,Исх!AD25,0)</f>
        <v>0</v>
      </c>
      <c r="I50" s="1359">
        <f t="shared" ref="I50:I57" si="120">G50*H50/K50</f>
        <v>0</v>
      </c>
      <c r="J50" s="503" t="str">
        <f t="shared" ref="J50:J57" si="121">CONCATENATE(TRUNC(I50,0),":",INT((I50-(TRUNC(I50,0)))*60),":","00")</f>
        <v>0:0:00</v>
      </c>
      <c r="K50" s="2024">
        <v>1000</v>
      </c>
      <c r="L50" s="2009">
        <v>7.92</v>
      </c>
      <c r="M50" s="502">
        <f t="shared" ref="M50:M57" si="122">H50*L50/K50</f>
        <v>0</v>
      </c>
      <c r="N50" s="504">
        <v>1</v>
      </c>
      <c r="O50" s="502">
        <f t="shared" ref="O50:O57" si="123">M50*N50</f>
        <v>0</v>
      </c>
      <c r="P50" s="502">
        <f t="shared" ref="P50:P57" si="124">(M50+O50)*0.15</f>
        <v>0</v>
      </c>
      <c r="Q50" s="1364">
        <f t="shared" ref="Q50:Q57" si="125">M50+O50+P50</f>
        <v>0</v>
      </c>
      <c r="R50" s="1365">
        <f t="shared" ref="R50:R57" si="126">Q50*$R$1</f>
        <v>0</v>
      </c>
      <c r="S50" s="1365">
        <f t="shared" ref="S50:S57" si="127">(Q50+R50)*$S$1</f>
        <v>0</v>
      </c>
      <c r="T50" s="1365">
        <f t="shared" ref="T50:T57" si="128">Q50+R50+S50</f>
        <v>0</v>
      </c>
      <c r="U50" s="2028">
        <f t="shared" ref="U50:U57" si="129">IF(T50&gt;0,1,0)</f>
        <v>0</v>
      </c>
      <c r="AD50" s="2141">
        <f t="shared" si="89"/>
        <v>4</v>
      </c>
      <c r="AE50" s="2142" t="str">
        <f t="shared" si="90"/>
        <v/>
      </c>
      <c r="AG50" s="2118" t="s">
        <v>1820</v>
      </c>
    </row>
    <row r="51" spans="1:33" ht="25.5" hidden="1" outlineLevel="4" x14ac:dyDescent="0.2">
      <c r="A51" s="1356">
        <f t="shared" si="109"/>
        <v>44</v>
      </c>
      <c r="B51" s="1046" t="s">
        <v>1444</v>
      </c>
      <c r="C51" s="534" t="s">
        <v>842</v>
      </c>
      <c r="D51" s="2023">
        <v>4</v>
      </c>
      <c r="E51" s="499" t="s">
        <v>462</v>
      </c>
      <c r="F51" s="2024" t="s">
        <v>1405</v>
      </c>
      <c r="G51" s="1353">
        <v>0.08</v>
      </c>
      <c r="H51" s="501">
        <f>H50</f>
        <v>0</v>
      </c>
      <c r="I51" s="1359">
        <f t="shared" si="120"/>
        <v>0</v>
      </c>
      <c r="J51" s="503" t="str">
        <f t="shared" si="121"/>
        <v>0:0:00</v>
      </c>
      <c r="K51" s="2024">
        <v>1000</v>
      </c>
      <c r="L51" s="2009">
        <v>6.6</v>
      </c>
      <c r="M51" s="502">
        <f t="shared" si="122"/>
        <v>0</v>
      </c>
      <c r="N51" s="504">
        <v>1</v>
      </c>
      <c r="O51" s="502">
        <f t="shared" si="123"/>
        <v>0</v>
      </c>
      <c r="P51" s="502">
        <f t="shared" si="124"/>
        <v>0</v>
      </c>
      <c r="Q51" s="1364">
        <f t="shared" si="125"/>
        <v>0</v>
      </c>
      <c r="R51" s="1365">
        <f t="shared" si="126"/>
        <v>0</v>
      </c>
      <c r="S51" s="1365">
        <f t="shared" si="127"/>
        <v>0</v>
      </c>
      <c r="T51" s="1365">
        <f t="shared" si="128"/>
        <v>0</v>
      </c>
      <c r="U51" s="2028">
        <f t="shared" si="129"/>
        <v>0</v>
      </c>
      <c r="AD51" s="2141">
        <f t="shared" si="89"/>
        <v>4</v>
      </c>
      <c r="AE51" s="2142" t="str">
        <f t="shared" si="90"/>
        <v/>
      </c>
      <c r="AG51" s="2118" t="s">
        <v>1820</v>
      </c>
    </row>
    <row r="52" spans="1:33" ht="25.5" hidden="1" outlineLevel="4" x14ac:dyDescent="0.2">
      <c r="A52" s="1356">
        <f t="shared" si="109"/>
        <v>45</v>
      </c>
      <c r="B52" s="1046" t="s">
        <v>1445</v>
      </c>
      <c r="C52" s="534" t="s">
        <v>842</v>
      </c>
      <c r="D52" s="2023">
        <v>3</v>
      </c>
      <c r="E52" s="499" t="s">
        <v>462</v>
      </c>
      <c r="F52" s="2024" t="s">
        <v>1405</v>
      </c>
      <c r="G52" s="1353">
        <v>0.08</v>
      </c>
      <c r="H52" s="501">
        <f>H50</f>
        <v>0</v>
      </c>
      <c r="I52" s="1359">
        <f t="shared" si="120"/>
        <v>0</v>
      </c>
      <c r="J52" s="503" t="str">
        <f t="shared" si="121"/>
        <v>0:0:00</v>
      </c>
      <c r="K52" s="2024">
        <v>1000</v>
      </c>
      <c r="L52" s="2009">
        <v>5.28</v>
      </c>
      <c r="M52" s="502">
        <f t="shared" si="122"/>
        <v>0</v>
      </c>
      <c r="N52" s="504">
        <v>1</v>
      </c>
      <c r="O52" s="502">
        <f t="shared" si="123"/>
        <v>0</v>
      </c>
      <c r="P52" s="502">
        <f t="shared" si="124"/>
        <v>0</v>
      </c>
      <c r="Q52" s="1364">
        <f t="shared" si="125"/>
        <v>0</v>
      </c>
      <c r="R52" s="1365">
        <f t="shared" si="126"/>
        <v>0</v>
      </c>
      <c r="S52" s="1365">
        <f t="shared" si="127"/>
        <v>0</v>
      </c>
      <c r="T52" s="1365">
        <f t="shared" si="128"/>
        <v>0</v>
      </c>
      <c r="U52" s="2028">
        <f t="shared" si="129"/>
        <v>0</v>
      </c>
      <c r="AD52" s="2141">
        <f t="shared" si="89"/>
        <v>4</v>
      </c>
      <c r="AE52" s="2142" t="str">
        <f t="shared" si="90"/>
        <v/>
      </c>
      <c r="AG52" s="2118" t="s">
        <v>1820</v>
      </c>
    </row>
    <row r="53" spans="1:33" ht="25.5" hidden="1" outlineLevel="4" x14ac:dyDescent="0.2">
      <c r="A53" s="1356">
        <f t="shared" si="109"/>
        <v>46</v>
      </c>
      <c r="B53" s="1046" t="s">
        <v>1446</v>
      </c>
      <c r="C53" s="534" t="s">
        <v>842</v>
      </c>
      <c r="D53" s="2023">
        <v>3</v>
      </c>
      <c r="E53" s="499" t="s">
        <v>462</v>
      </c>
      <c r="F53" s="2024" t="s">
        <v>1405</v>
      </c>
      <c r="G53" s="1353">
        <v>0.08</v>
      </c>
      <c r="H53" s="501">
        <f>H50</f>
        <v>0</v>
      </c>
      <c r="I53" s="1359">
        <f t="shared" si="120"/>
        <v>0</v>
      </c>
      <c r="J53" s="503" t="str">
        <f t="shared" si="121"/>
        <v>0:0:00</v>
      </c>
      <c r="K53" s="2024">
        <v>1000</v>
      </c>
      <c r="L53" s="2009">
        <v>5.28</v>
      </c>
      <c r="M53" s="502">
        <f t="shared" si="122"/>
        <v>0</v>
      </c>
      <c r="N53" s="504">
        <v>1</v>
      </c>
      <c r="O53" s="502">
        <f t="shared" si="123"/>
        <v>0</v>
      </c>
      <c r="P53" s="502">
        <f t="shared" si="124"/>
        <v>0</v>
      </c>
      <c r="Q53" s="1364">
        <f t="shared" si="125"/>
        <v>0</v>
      </c>
      <c r="R53" s="1365">
        <f t="shared" si="126"/>
        <v>0</v>
      </c>
      <c r="S53" s="1365">
        <f t="shared" si="127"/>
        <v>0</v>
      </c>
      <c r="T53" s="1365">
        <f t="shared" si="128"/>
        <v>0</v>
      </c>
      <c r="U53" s="2028">
        <f t="shared" si="129"/>
        <v>0</v>
      </c>
      <c r="AD53" s="2141">
        <f t="shared" si="89"/>
        <v>4</v>
      </c>
      <c r="AE53" s="2142" t="str">
        <f t="shared" si="90"/>
        <v/>
      </c>
      <c r="AG53" s="2118" t="s">
        <v>1820</v>
      </c>
    </row>
    <row r="54" spans="1:33" hidden="1" outlineLevel="4" x14ac:dyDescent="0.2">
      <c r="A54" s="1356">
        <f t="shared" si="109"/>
        <v>47</v>
      </c>
      <c r="B54" s="584" t="s">
        <v>1447</v>
      </c>
      <c r="C54" s="534" t="s">
        <v>842</v>
      </c>
      <c r="D54" s="2023">
        <v>5</v>
      </c>
      <c r="E54" s="499" t="s">
        <v>462</v>
      </c>
      <c r="F54" s="2024" t="s">
        <v>1405</v>
      </c>
      <c r="G54" s="1353">
        <v>6.2E-2</v>
      </c>
      <c r="H54" s="501">
        <f>IF(H70&gt;0,Исх!V25,0)</f>
        <v>0</v>
      </c>
      <c r="I54" s="1359">
        <f t="shared" si="120"/>
        <v>0</v>
      </c>
      <c r="J54" s="503" t="str">
        <f t="shared" si="121"/>
        <v>0:0:00</v>
      </c>
      <c r="K54" s="2024">
        <v>1000</v>
      </c>
      <c r="L54" s="2009">
        <v>6.14</v>
      </c>
      <c r="M54" s="502">
        <f t="shared" si="122"/>
        <v>0</v>
      </c>
      <c r="N54" s="504">
        <v>1</v>
      </c>
      <c r="O54" s="502">
        <f t="shared" si="123"/>
        <v>0</v>
      </c>
      <c r="P54" s="502">
        <f t="shared" si="124"/>
        <v>0</v>
      </c>
      <c r="Q54" s="1364">
        <f t="shared" si="125"/>
        <v>0</v>
      </c>
      <c r="R54" s="1365">
        <f t="shared" si="126"/>
        <v>0</v>
      </c>
      <c r="S54" s="1365">
        <f t="shared" si="127"/>
        <v>0</v>
      </c>
      <c r="T54" s="1365">
        <f t="shared" si="128"/>
        <v>0</v>
      </c>
      <c r="U54" s="2028">
        <f t="shared" si="129"/>
        <v>0</v>
      </c>
      <c r="AD54" s="2141">
        <f t="shared" si="89"/>
        <v>4</v>
      </c>
      <c r="AE54" s="2142" t="str">
        <f t="shared" si="90"/>
        <v/>
      </c>
      <c r="AG54" s="2118" t="s">
        <v>1820</v>
      </c>
    </row>
    <row r="55" spans="1:33" hidden="1" outlineLevel="4" x14ac:dyDescent="0.2">
      <c r="A55" s="1356">
        <f t="shared" si="109"/>
        <v>48</v>
      </c>
      <c r="B55" s="584" t="s">
        <v>1448</v>
      </c>
      <c r="C55" s="534" t="s">
        <v>842</v>
      </c>
      <c r="D55" s="2023">
        <v>4</v>
      </c>
      <c r="E55" s="499" t="s">
        <v>462</v>
      </c>
      <c r="F55" s="2024" t="s">
        <v>1405</v>
      </c>
      <c r="G55" s="1353">
        <v>6.2E-2</v>
      </c>
      <c r="H55" s="501">
        <f>H54</f>
        <v>0</v>
      </c>
      <c r="I55" s="1359">
        <f t="shared" si="120"/>
        <v>0</v>
      </c>
      <c r="J55" s="503" t="str">
        <f t="shared" si="121"/>
        <v>0:0:00</v>
      </c>
      <c r="K55" s="2024">
        <v>1000</v>
      </c>
      <c r="L55" s="2009">
        <v>5.12</v>
      </c>
      <c r="M55" s="502">
        <f t="shared" si="122"/>
        <v>0</v>
      </c>
      <c r="N55" s="504">
        <v>1</v>
      </c>
      <c r="O55" s="502">
        <f t="shared" si="123"/>
        <v>0</v>
      </c>
      <c r="P55" s="502">
        <f t="shared" si="124"/>
        <v>0</v>
      </c>
      <c r="Q55" s="1364">
        <f t="shared" si="125"/>
        <v>0</v>
      </c>
      <c r="R55" s="1365">
        <f t="shared" si="126"/>
        <v>0</v>
      </c>
      <c r="S55" s="1365">
        <f t="shared" si="127"/>
        <v>0</v>
      </c>
      <c r="T55" s="1365">
        <f t="shared" si="128"/>
        <v>0</v>
      </c>
      <c r="U55" s="2028">
        <f t="shared" si="129"/>
        <v>0</v>
      </c>
      <c r="AD55" s="2141">
        <f t="shared" si="89"/>
        <v>4</v>
      </c>
      <c r="AE55" s="2142" t="str">
        <f t="shared" si="90"/>
        <v/>
      </c>
      <c r="AG55" s="2118" t="s">
        <v>1820</v>
      </c>
    </row>
    <row r="56" spans="1:33" hidden="1" outlineLevel="4" x14ac:dyDescent="0.2">
      <c r="A56" s="1356">
        <f t="shared" si="109"/>
        <v>49</v>
      </c>
      <c r="B56" s="584" t="s">
        <v>1449</v>
      </c>
      <c r="C56" s="534" t="s">
        <v>842</v>
      </c>
      <c r="D56" s="2023">
        <v>3</v>
      </c>
      <c r="E56" s="499" t="s">
        <v>462</v>
      </c>
      <c r="F56" s="2024" t="s">
        <v>1405</v>
      </c>
      <c r="G56" s="1353">
        <v>6.2E-2</v>
      </c>
      <c r="H56" s="501">
        <f>H54</f>
        <v>0</v>
      </c>
      <c r="I56" s="1359">
        <f t="shared" si="120"/>
        <v>0</v>
      </c>
      <c r="J56" s="503" t="str">
        <f t="shared" si="121"/>
        <v>0:0:00</v>
      </c>
      <c r="K56" s="2024">
        <v>1000</v>
      </c>
      <c r="L56" s="2009">
        <v>4.08</v>
      </c>
      <c r="M56" s="502">
        <f t="shared" si="122"/>
        <v>0</v>
      </c>
      <c r="N56" s="504">
        <v>1</v>
      </c>
      <c r="O56" s="502">
        <f t="shared" si="123"/>
        <v>0</v>
      </c>
      <c r="P56" s="502">
        <f t="shared" si="124"/>
        <v>0</v>
      </c>
      <c r="Q56" s="1364">
        <f t="shared" si="125"/>
        <v>0</v>
      </c>
      <c r="R56" s="1365">
        <f t="shared" si="126"/>
        <v>0</v>
      </c>
      <c r="S56" s="1365">
        <f t="shared" si="127"/>
        <v>0</v>
      </c>
      <c r="T56" s="1365">
        <f t="shared" si="128"/>
        <v>0</v>
      </c>
      <c r="U56" s="2028">
        <f t="shared" si="129"/>
        <v>0</v>
      </c>
      <c r="AD56" s="2141">
        <f t="shared" si="89"/>
        <v>4</v>
      </c>
      <c r="AE56" s="2142" t="str">
        <f t="shared" si="90"/>
        <v/>
      </c>
      <c r="AG56" s="2118" t="s">
        <v>1820</v>
      </c>
    </row>
    <row r="57" spans="1:33" hidden="1" outlineLevel="4" x14ac:dyDescent="0.2">
      <c r="A57" s="1356">
        <f t="shared" si="109"/>
        <v>50</v>
      </c>
      <c r="B57" s="584" t="s">
        <v>1449</v>
      </c>
      <c r="C57" s="534" t="s">
        <v>842</v>
      </c>
      <c r="D57" s="2023">
        <v>3</v>
      </c>
      <c r="E57" s="499" t="s">
        <v>462</v>
      </c>
      <c r="F57" s="2024" t="s">
        <v>1405</v>
      </c>
      <c r="G57" s="1353">
        <v>6.2E-2</v>
      </c>
      <c r="H57" s="501">
        <f>H54</f>
        <v>0</v>
      </c>
      <c r="I57" s="1359">
        <f t="shared" si="120"/>
        <v>0</v>
      </c>
      <c r="J57" s="503" t="str">
        <f t="shared" si="121"/>
        <v>0:0:00</v>
      </c>
      <c r="K57" s="2024">
        <v>1000</v>
      </c>
      <c r="L57" s="2009">
        <v>4.08</v>
      </c>
      <c r="M57" s="502">
        <f t="shared" si="122"/>
        <v>0</v>
      </c>
      <c r="N57" s="504">
        <v>1</v>
      </c>
      <c r="O57" s="502">
        <f t="shared" si="123"/>
        <v>0</v>
      </c>
      <c r="P57" s="502">
        <f t="shared" si="124"/>
        <v>0</v>
      </c>
      <c r="Q57" s="1364">
        <f t="shared" si="125"/>
        <v>0</v>
      </c>
      <c r="R57" s="1365">
        <f t="shared" si="126"/>
        <v>0</v>
      </c>
      <c r="S57" s="1365">
        <f t="shared" si="127"/>
        <v>0</v>
      </c>
      <c r="T57" s="1365">
        <f t="shared" si="128"/>
        <v>0</v>
      </c>
      <c r="U57" s="2028">
        <f t="shared" si="129"/>
        <v>0</v>
      </c>
      <c r="AD57" s="2141">
        <f t="shared" si="89"/>
        <v>4</v>
      </c>
      <c r="AE57" s="2142" t="str">
        <f t="shared" si="90"/>
        <v/>
      </c>
      <c r="AG57" s="2118" t="s">
        <v>1820</v>
      </c>
    </row>
    <row r="58" spans="1:33" hidden="1" outlineLevel="4" x14ac:dyDescent="0.2">
      <c r="A58" s="1356">
        <f t="shared" si="109"/>
        <v>51</v>
      </c>
      <c r="B58" s="1046" t="s">
        <v>1450</v>
      </c>
      <c r="C58" s="534" t="s">
        <v>842</v>
      </c>
      <c r="D58" s="2023">
        <v>5</v>
      </c>
      <c r="E58" s="499" t="s">
        <v>462</v>
      </c>
      <c r="F58" s="2024" t="s">
        <v>1405</v>
      </c>
      <c r="G58" s="1353">
        <v>6.7000000000000004E-2</v>
      </c>
      <c r="H58" s="501">
        <f>IF(H70&gt;0,Исх!Y25,0)</f>
        <v>0</v>
      </c>
      <c r="I58" s="1359">
        <f t="shared" ref="I58:I65" si="130">G58*H58/K58</f>
        <v>0</v>
      </c>
      <c r="J58" s="503" t="str">
        <f t="shared" ref="J58:J65" si="131">CONCATENATE(TRUNC(I58,0),":",INT((I58-(TRUNC(I58,0)))*60),":","00")</f>
        <v>0:0:00</v>
      </c>
      <c r="K58" s="2024">
        <v>1000</v>
      </c>
      <c r="L58" s="2009">
        <v>6.63</v>
      </c>
      <c r="M58" s="502">
        <f t="shared" ref="M58:M65" si="132">H58*L58/K58</f>
        <v>0</v>
      </c>
      <c r="N58" s="504">
        <v>1</v>
      </c>
      <c r="O58" s="502">
        <f t="shared" ref="O58:O65" si="133">M58*N58</f>
        <v>0</v>
      </c>
      <c r="P58" s="502">
        <f t="shared" ref="P58:P65" si="134">(M58+O58)*0.15</f>
        <v>0</v>
      </c>
      <c r="Q58" s="1364">
        <f t="shared" ref="Q58:Q65" si="135">M58+O58+P58</f>
        <v>0</v>
      </c>
      <c r="R58" s="1365">
        <f t="shared" ref="R58:R65" si="136">Q58*$R$1</f>
        <v>0</v>
      </c>
      <c r="S58" s="1365">
        <f t="shared" ref="S58:S65" si="137">(Q58+R58)*$S$1</f>
        <v>0</v>
      </c>
      <c r="T58" s="1365">
        <f t="shared" ref="T58:T65" si="138">Q58+R58+S58</f>
        <v>0</v>
      </c>
      <c r="U58" s="2028">
        <f t="shared" ref="U58:U65" si="139">IF(T58&gt;0,1,0)</f>
        <v>0</v>
      </c>
      <c r="AD58" s="2141">
        <f t="shared" si="89"/>
        <v>4</v>
      </c>
      <c r="AE58" s="2142" t="str">
        <f t="shared" si="90"/>
        <v/>
      </c>
      <c r="AG58" s="2118" t="s">
        <v>1820</v>
      </c>
    </row>
    <row r="59" spans="1:33" hidden="1" outlineLevel="4" x14ac:dyDescent="0.2">
      <c r="A59" s="1356">
        <f t="shared" si="109"/>
        <v>52</v>
      </c>
      <c r="B59" s="1046" t="s">
        <v>1451</v>
      </c>
      <c r="C59" s="534" t="s">
        <v>842</v>
      </c>
      <c r="D59" s="2023">
        <v>4</v>
      </c>
      <c r="E59" s="499" t="s">
        <v>462</v>
      </c>
      <c r="F59" s="2024" t="s">
        <v>1405</v>
      </c>
      <c r="G59" s="1353">
        <v>6.7000000000000004E-2</v>
      </c>
      <c r="H59" s="501">
        <f>H58</f>
        <v>0</v>
      </c>
      <c r="I59" s="1359">
        <f t="shared" si="130"/>
        <v>0</v>
      </c>
      <c r="J59" s="503" t="str">
        <f t="shared" si="131"/>
        <v>0:0:00</v>
      </c>
      <c r="K59" s="2024">
        <v>1000</v>
      </c>
      <c r="L59" s="2009">
        <v>5.53</v>
      </c>
      <c r="M59" s="502">
        <f t="shared" si="132"/>
        <v>0</v>
      </c>
      <c r="N59" s="504">
        <v>1</v>
      </c>
      <c r="O59" s="502">
        <f t="shared" si="133"/>
        <v>0</v>
      </c>
      <c r="P59" s="502">
        <f t="shared" si="134"/>
        <v>0</v>
      </c>
      <c r="Q59" s="1364">
        <f t="shared" si="135"/>
        <v>0</v>
      </c>
      <c r="R59" s="1365">
        <f t="shared" si="136"/>
        <v>0</v>
      </c>
      <c r="S59" s="1365">
        <f t="shared" si="137"/>
        <v>0</v>
      </c>
      <c r="T59" s="1365">
        <f t="shared" si="138"/>
        <v>0</v>
      </c>
      <c r="U59" s="2028">
        <f t="shared" si="139"/>
        <v>0</v>
      </c>
      <c r="AD59" s="2141">
        <f t="shared" si="89"/>
        <v>4</v>
      </c>
      <c r="AE59" s="2142" t="str">
        <f t="shared" si="90"/>
        <v/>
      </c>
      <c r="AG59" s="2118" t="s">
        <v>1820</v>
      </c>
    </row>
    <row r="60" spans="1:33" hidden="1" outlineLevel="4" x14ac:dyDescent="0.2">
      <c r="A60" s="1356">
        <f t="shared" si="109"/>
        <v>53</v>
      </c>
      <c r="B60" s="1046" t="s">
        <v>1452</v>
      </c>
      <c r="C60" s="534" t="s">
        <v>842</v>
      </c>
      <c r="D60" s="2023">
        <v>3</v>
      </c>
      <c r="E60" s="499" t="s">
        <v>462</v>
      </c>
      <c r="F60" s="2024" t="s">
        <v>1405</v>
      </c>
      <c r="G60" s="1353">
        <v>6.7000000000000004E-2</v>
      </c>
      <c r="H60" s="501">
        <f>H58</f>
        <v>0</v>
      </c>
      <c r="I60" s="1359">
        <f t="shared" si="130"/>
        <v>0</v>
      </c>
      <c r="J60" s="503" t="str">
        <f t="shared" si="131"/>
        <v>0:0:00</v>
      </c>
      <c r="K60" s="2024">
        <v>1000</v>
      </c>
      <c r="L60" s="2009">
        <v>4.43</v>
      </c>
      <c r="M60" s="502">
        <f t="shared" si="132"/>
        <v>0</v>
      </c>
      <c r="N60" s="504">
        <v>1</v>
      </c>
      <c r="O60" s="502">
        <f t="shared" si="133"/>
        <v>0</v>
      </c>
      <c r="P60" s="502">
        <f t="shared" si="134"/>
        <v>0</v>
      </c>
      <c r="Q60" s="1364">
        <f t="shared" si="135"/>
        <v>0</v>
      </c>
      <c r="R60" s="1365">
        <f t="shared" si="136"/>
        <v>0</v>
      </c>
      <c r="S60" s="1365">
        <f t="shared" si="137"/>
        <v>0</v>
      </c>
      <c r="T60" s="1365">
        <f t="shared" si="138"/>
        <v>0</v>
      </c>
      <c r="U60" s="2028">
        <f t="shared" si="139"/>
        <v>0</v>
      </c>
      <c r="AD60" s="2141">
        <f t="shared" si="89"/>
        <v>4</v>
      </c>
      <c r="AE60" s="2142" t="str">
        <f t="shared" si="90"/>
        <v/>
      </c>
      <c r="AG60" s="2118" t="s">
        <v>1820</v>
      </c>
    </row>
    <row r="61" spans="1:33" hidden="1" outlineLevel="4" x14ac:dyDescent="0.2">
      <c r="A61" s="1356">
        <f t="shared" si="109"/>
        <v>54</v>
      </c>
      <c r="B61" s="1046" t="s">
        <v>1452</v>
      </c>
      <c r="C61" s="534" t="s">
        <v>842</v>
      </c>
      <c r="D61" s="2023">
        <v>3</v>
      </c>
      <c r="E61" s="499" t="s">
        <v>462</v>
      </c>
      <c r="F61" s="2024" t="s">
        <v>1405</v>
      </c>
      <c r="G61" s="1353">
        <v>6.7000000000000004E-2</v>
      </c>
      <c r="H61" s="501">
        <f>H58</f>
        <v>0</v>
      </c>
      <c r="I61" s="1359">
        <f t="shared" si="130"/>
        <v>0</v>
      </c>
      <c r="J61" s="503" t="str">
        <f t="shared" si="131"/>
        <v>0:0:00</v>
      </c>
      <c r="K61" s="2024">
        <v>1000</v>
      </c>
      <c r="L61" s="2009">
        <v>4.43</v>
      </c>
      <c r="M61" s="502">
        <f t="shared" si="132"/>
        <v>0</v>
      </c>
      <c r="N61" s="504">
        <v>1</v>
      </c>
      <c r="O61" s="502">
        <f t="shared" si="133"/>
        <v>0</v>
      </c>
      <c r="P61" s="502">
        <f t="shared" si="134"/>
        <v>0</v>
      </c>
      <c r="Q61" s="1364">
        <f t="shared" si="135"/>
        <v>0</v>
      </c>
      <c r="R61" s="1365">
        <f t="shared" si="136"/>
        <v>0</v>
      </c>
      <c r="S61" s="1365">
        <f t="shared" si="137"/>
        <v>0</v>
      </c>
      <c r="T61" s="1365">
        <f t="shared" si="138"/>
        <v>0</v>
      </c>
      <c r="U61" s="2028">
        <f t="shared" si="139"/>
        <v>0</v>
      </c>
      <c r="AD61" s="2141">
        <f t="shared" si="89"/>
        <v>4</v>
      </c>
      <c r="AE61" s="2142" t="str">
        <f t="shared" si="90"/>
        <v/>
      </c>
      <c r="AG61" s="2118" t="s">
        <v>1820</v>
      </c>
    </row>
    <row r="62" spans="1:33" hidden="1" outlineLevel="4" x14ac:dyDescent="0.2">
      <c r="A62" s="1356">
        <f t="shared" si="109"/>
        <v>55</v>
      </c>
      <c r="B62" s="584" t="s">
        <v>1453</v>
      </c>
      <c r="C62" s="534" t="s">
        <v>842</v>
      </c>
      <c r="D62" s="2023">
        <v>5</v>
      </c>
      <c r="E62" s="499" t="s">
        <v>462</v>
      </c>
      <c r="F62" s="2024" t="s">
        <v>1405</v>
      </c>
      <c r="G62" s="1353">
        <v>7.1999999999999995E-2</v>
      </c>
      <c r="H62" s="501">
        <f>IF(H70&gt;0,Исх!AB25,0)</f>
        <v>0</v>
      </c>
      <c r="I62" s="1359">
        <f t="shared" si="130"/>
        <v>0</v>
      </c>
      <c r="J62" s="503" t="str">
        <f t="shared" si="131"/>
        <v>0:0:00</v>
      </c>
      <c r="K62" s="2024">
        <v>1000</v>
      </c>
      <c r="L62" s="2009">
        <v>7.12</v>
      </c>
      <c r="M62" s="502">
        <f t="shared" si="132"/>
        <v>0</v>
      </c>
      <c r="N62" s="504">
        <v>1</v>
      </c>
      <c r="O62" s="502">
        <f t="shared" si="133"/>
        <v>0</v>
      </c>
      <c r="P62" s="502">
        <f t="shared" si="134"/>
        <v>0</v>
      </c>
      <c r="Q62" s="1364">
        <f t="shared" si="135"/>
        <v>0</v>
      </c>
      <c r="R62" s="1365">
        <f t="shared" si="136"/>
        <v>0</v>
      </c>
      <c r="S62" s="1365">
        <f t="shared" si="137"/>
        <v>0</v>
      </c>
      <c r="T62" s="1365">
        <f t="shared" si="138"/>
        <v>0</v>
      </c>
      <c r="U62" s="2028">
        <f t="shared" si="139"/>
        <v>0</v>
      </c>
      <c r="AD62" s="2141">
        <f t="shared" si="89"/>
        <v>4</v>
      </c>
      <c r="AE62" s="2142" t="str">
        <f t="shared" si="90"/>
        <v/>
      </c>
      <c r="AG62" s="2118" t="s">
        <v>1820</v>
      </c>
    </row>
    <row r="63" spans="1:33" hidden="1" outlineLevel="4" x14ac:dyDescent="0.2">
      <c r="A63" s="1356">
        <f t="shared" si="109"/>
        <v>56</v>
      </c>
      <c r="B63" s="584" t="s">
        <v>1454</v>
      </c>
      <c r="C63" s="534" t="s">
        <v>842</v>
      </c>
      <c r="D63" s="2023">
        <v>4</v>
      </c>
      <c r="E63" s="499" t="s">
        <v>462</v>
      </c>
      <c r="F63" s="2024" t="s">
        <v>1405</v>
      </c>
      <c r="G63" s="1353">
        <v>7.1999999999999995E-2</v>
      </c>
      <c r="H63" s="501">
        <f>H62</f>
        <v>0</v>
      </c>
      <c r="I63" s="1359">
        <f t="shared" si="130"/>
        <v>0</v>
      </c>
      <c r="J63" s="503" t="str">
        <f t="shared" si="131"/>
        <v>0:0:00</v>
      </c>
      <c r="K63" s="2024">
        <v>1000</v>
      </c>
      <c r="L63" s="2009">
        <v>5.95</v>
      </c>
      <c r="M63" s="502">
        <f t="shared" si="132"/>
        <v>0</v>
      </c>
      <c r="N63" s="504">
        <v>1</v>
      </c>
      <c r="O63" s="502">
        <f t="shared" si="133"/>
        <v>0</v>
      </c>
      <c r="P63" s="502">
        <f t="shared" si="134"/>
        <v>0</v>
      </c>
      <c r="Q63" s="1364">
        <f t="shared" si="135"/>
        <v>0</v>
      </c>
      <c r="R63" s="1365">
        <f t="shared" si="136"/>
        <v>0</v>
      </c>
      <c r="S63" s="1365">
        <f t="shared" si="137"/>
        <v>0</v>
      </c>
      <c r="T63" s="1365">
        <f t="shared" si="138"/>
        <v>0</v>
      </c>
      <c r="U63" s="2028">
        <f t="shared" si="139"/>
        <v>0</v>
      </c>
      <c r="AD63" s="2141">
        <f t="shared" si="89"/>
        <v>4</v>
      </c>
      <c r="AE63" s="2142" t="str">
        <f t="shared" si="90"/>
        <v/>
      </c>
      <c r="AG63" s="2118" t="s">
        <v>1820</v>
      </c>
    </row>
    <row r="64" spans="1:33" hidden="1" outlineLevel="4" x14ac:dyDescent="0.2">
      <c r="A64" s="1356">
        <f t="shared" si="109"/>
        <v>57</v>
      </c>
      <c r="B64" s="584" t="s">
        <v>1455</v>
      </c>
      <c r="C64" s="534" t="s">
        <v>842</v>
      </c>
      <c r="D64" s="2023">
        <v>3</v>
      </c>
      <c r="E64" s="499" t="s">
        <v>462</v>
      </c>
      <c r="F64" s="2024" t="s">
        <v>1405</v>
      </c>
      <c r="G64" s="1353">
        <v>7.1999999999999995E-2</v>
      </c>
      <c r="H64" s="501">
        <f>H62</f>
        <v>0</v>
      </c>
      <c r="I64" s="1359">
        <f t="shared" si="130"/>
        <v>0</v>
      </c>
      <c r="J64" s="503" t="str">
        <f t="shared" si="131"/>
        <v>0:0:00</v>
      </c>
      <c r="K64" s="2024">
        <v>1000</v>
      </c>
      <c r="L64" s="2009">
        <v>4.75</v>
      </c>
      <c r="M64" s="502">
        <f t="shared" si="132"/>
        <v>0</v>
      </c>
      <c r="N64" s="504">
        <v>1</v>
      </c>
      <c r="O64" s="502">
        <f t="shared" si="133"/>
        <v>0</v>
      </c>
      <c r="P64" s="502">
        <f t="shared" si="134"/>
        <v>0</v>
      </c>
      <c r="Q64" s="1364">
        <f t="shared" si="135"/>
        <v>0</v>
      </c>
      <c r="R64" s="1365">
        <f t="shared" si="136"/>
        <v>0</v>
      </c>
      <c r="S64" s="1365">
        <f t="shared" si="137"/>
        <v>0</v>
      </c>
      <c r="T64" s="1365">
        <f t="shared" si="138"/>
        <v>0</v>
      </c>
      <c r="U64" s="2028">
        <f t="shared" si="139"/>
        <v>0</v>
      </c>
      <c r="AD64" s="2141">
        <f t="shared" si="89"/>
        <v>4</v>
      </c>
      <c r="AE64" s="2142" t="str">
        <f t="shared" si="90"/>
        <v/>
      </c>
      <c r="AG64" s="2118" t="s">
        <v>1820</v>
      </c>
    </row>
    <row r="65" spans="1:33" hidden="1" outlineLevel="4" x14ac:dyDescent="0.2">
      <c r="A65" s="1356">
        <f t="shared" si="109"/>
        <v>58</v>
      </c>
      <c r="B65" s="584" t="s">
        <v>1456</v>
      </c>
      <c r="C65" s="534" t="s">
        <v>842</v>
      </c>
      <c r="D65" s="2023">
        <v>3</v>
      </c>
      <c r="E65" s="499" t="s">
        <v>462</v>
      </c>
      <c r="F65" s="2024" t="s">
        <v>1405</v>
      </c>
      <c r="G65" s="1353">
        <v>7.1999999999999995E-2</v>
      </c>
      <c r="H65" s="501">
        <f>H62</f>
        <v>0</v>
      </c>
      <c r="I65" s="1359">
        <f t="shared" si="130"/>
        <v>0</v>
      </c>
      <c r="J65" s="503" t="str">
        <f t="shared" si="131"/>
        <v>0:0:00</v>
      </c>
      <c r="K65" s="2024">
        <v>1000</v>
      </c>
      <c r="L65" s="2009">
        <v>4.75</v>
      </c>
      <c r="M65" s="502">
        <f t="shared" si="132"/>
        <v>0</v>
      </c>
      <c r="N65" s="504">
        <v>1</v>
      </c>
      <c r="O65" s="502">
        <f t="shared" si="133"/>
        <v>0</v>
      </c>
      <c r="P65" s="502">
        <f t="shared" si="134"/>
        <v>0</v>
      </c>
      <c r="Q65" s="1364">
        <f t="shared" si="135"/>
        <v>0</v>
      </c>
      <c r="R65" s="1365">
        <f t="shared" si="136"/>
        <v>0</v>
      </c>
      <c r="S65" s="1365">
        <f t="shared" si="137"/>
        <v>0</v>
      </c>
      <c r="T65" s="1365">
        <f t="shared" si="138"/>
        <v>0</v>
      </c>
      <c r="U65" s="2028">
        <f t="shared" si="139"/>
        <v>0</v>
      </c>
      <c r="AD65" s="2141">
        <f t="shared" si="89"/>
        <v>4</v>
      </c>
      <c r="AE65" s="2142" t="str">
        <f t="shared" si="90"/>
        <v/>
      </c>
      <c r="AG65" s="2118" t="s">
        <v>1820</v>
      </c>
    </row>
    <row r="66" spans="1:33" hidden="1" outlineLevel="4" x14ac:dyDescent="0.2">
      <c r="A66" s="1356">
        <f t="shared" si="109"/>
        <v>59</v>
      </c>
      <c r="B66" s="1046" t="s">
        <v>1457</v>
      </c>
      <c r="C66" s="534" t="s">
        <v>842</v>
      </c>
      <c r="D66" s="2023">
        <v>5</v>
      </c>
      <c r="E66" s="499" t="s">
        <v>462</v>
      </c>
      <c r="F66" s="2024" t="s">
        <v>1405</v>
      </c>
      <c r="G66" s="1353">
        <v>8.3000000000000004E-2</v>
      </c>
      <c r="H66" s="501">
        <f>IF(H70&gt;0,Исх!AE25,0)</f>
        <v>0</v>
      </c>
      <c r="I66" s="1359">
        <f t="shared" si="108"/>
        <v>0</v>
      </c>
      <c r="J66" s="503" t="str">
        <f t="shared" si="100"/>
        <v>0:0:00</v>
      </c>
      <c r="K66" s="2024">
        <v>1000</v>
      </c>
      <c r="L66" s="2009">
        <v>8.23</v>
      </c>
      <c r="M66" s="502">
        <f t="shared" si="101"/>
        <v>0</v>
      </c>
      <c r="N66" s="504">
        <v>1</v>
      </c>
      <c r="O66" s="502">
        <f t="shared" si="102"/>
        <v>0</v>
      </c>
      <c r="P66" s="502">
        <f t="shared" si="103"/>
        <v>0</v>
      </c>
      <c r="Q66" s="1364">
        <f t="shared" si="104"/>
        <v>0</v>
      </c>
      <c r="R66" s="1365">
        <f t="shared" si="105"/>
        <v>0</v>
      </c>
      <c r="S66" s="1365">
        <f t="shared" si="106"/>
        <v>0</v>
      </c>
      <c r="T66" s="1365">
        <f t="shared" si="107"/>
        <v>0</v>
      </c>
      <c r="U66" s="2028">
        <f t="shared" si="19"/>
        <v>0</v>
      </c>
      <c r="AD66" s="2141">
        <f t="shared" si="89"/>
        <v>4</v>
      </c>
      <c r="AE66" s="2142" t="str">
        <f t="shared" si="90"/>
        <v/>
      </c>
      <c r="AG66" s="2118" t="s">
        <v>1820</v>
      </c>
    </row>
    <row r="67" spans="1:33" hidden="1" outlineLevel="4" x14ac:dyDescent="0.2">
      <c r="A67" s="1356">
        <f t="shared" si="109"/>
        <v>60</v>
      </c>
      <c r="B67" s="1046" t="s">
        <v>1458</v>
      </c>
      <c r="C67" s="534" t="s">
        <v>842</v>
      </c>
      <c r="D67" s="2023">
        <v>4</v>
      </c>
      <c r="E67" s="499" t="s">
        <v>462</v>
      </c>
      <c r="F67" s="2024" t="s">
        <v>1405</v>
      </c>
      <c r="G67" s="1353">
        <v>8.3000000000000004E-2</v>
      </c>
      <c r="H67" s="501">
        <f>H66</f>
        <v>0</v>
      </c>
      <c r="I67" s="1359">
        <f t="shared" si="108"/>
        <v>0</v>
      </c>
      <c r="J67" s="503" t="str">
        <f t="shared" si="100"/>
        <v>0:0:00</v>
      </c>
      <c r="K67" s="2024">
        <v>1000</v>
      </c>
      <c r="L67" s="2009">
        <v>6.85</v>
      </c>
      <c r="M67" s="502">
        <f t="shared" si="101"/>
        <v>0</v>
      </c>
      <c r="N67" s="504">
        <v>1</v>
      </c>
      <c r="O67" s="502">
        <f t="shared" si="102"/>
        <v>0</v>
      </c>
      <c r="P67" s="502">
        <f t="shared" si="103"/>
        <v>0</v>
      </c>
      <c r="Q67" s="1364">
        <f t="shared" si="104"/>
        <v>0</v>
      </c>
      <c r="R67" s="1365">
        <f t="shared" si="105"/>
        <v>0</v>
      </c>
      <c r="S67" s="1365">
        <f t="shared" si="106"/>
        <v>0</v>
      </c>
      <c r="T67" s="1365">
        <f t="shared" si="107"/>
        <v>0</v>
      </c>
      <c r="U67" s="2028">
        <f t="shared" si="19"/>
        <v>0</v>
      </c>
      <c r="AD67" s="2141">
        <f t="shared" si="89"/>
        <v>4</v>
      </c>
      <c r="AE67" s="2142" t="str">
        <f t="shared" si="90"/>
        <v/>
      </c>
      <c r="AG67" s="2118" t="s">
        <v>1820</v>
      </c>
    </row>
    <row r="68" spans="1:33" hidden="1" outlineLevel="4" x14ac:dyDescent="0.2">
      <c r="A68" s="1356">
        <f t="shared" si="109"/>
        <v>61</v>
      </c>
      <c r="B68" s="1046" t="s">
        <v>1459</v>
      </c>
      <c r="C68" s="534" t="s">
        <v>842</v>
      </c>
      <c r="D68" s="2023">
        <v>3</v>
      </c>
      <c r="E68" s="499" t="s">
        <v>462</v>
      </c>
      <c r="F68" s="2024" t="s">
        <v>1405</v>
      </c>
      <c r="G68" s="1353">
        <v>8.3000000000000004E-2</v>
      </c>
      <c r="H68" s="501">
        <f>H66</f>
        <v>0</v>
      </c>
      <c r="I68" s="1359">
        <f t="shared" si="108"/>
        <v>0</v>
      </c>
      <c r="J68" s="503" t="str">
        <f t="shared" si="100"/>
        <v>0:0:00</v>
      </c>
      <c r="K68" s="2024">
        <v>1000</v>
      </c>
      <c r="L68" s="2009">
        <v>5.48</v>
      </c>
      <c r="M68" s="502">
        <f t="shared" si="101"/>
        <v>0</v>
      </c>
      <c r="N68" s="504">
        <v>1</v>
      </c>
      <c r="O68" s="502">
        <f t="shared" si="102"/>
        <v>0</v>
      </c>
      <c r="P68" s="502">
        <f t="shared" si="103"/>
        <v>0</v>
      </c>
      <c r="Q68" s="1364">
        <f t="shared" si="104"/>
        <v>0</v>
      </c>
      <c r="R68" s="1365">
        <f t="shared" si="105"/>
        <v>0</v>
      </c>
      <c r="S68" s="1365">
        <f t="shared" si="106"/>
        <v>0</v>
      </c>
      <c r="T68" s="1365">
        <f t="shared" si="107"/>
        <v>0</v>
      </c>
      <c r="U68" s="2028">
        <f t="shared" si="19"/>
        <v>0</v>
      </c>
      <c r="AD68" s="2141">
        <f t="shared" si="89"/>
        <v>4</v>
      </c>
      <c r="AE68" s="2142" t="str">
        <f t="shared" si="90"/>
        <v/>
      </c>
      <c r="AG68" s="2118" t="s">
        <v>1820</v>
      </c>
    </row>
    <row r="69" spans="1:33" hidden="1" outlineLevel="4" x14ac:dyDescent="0.2">
      <c r="A69" s="1356">
        <f t="shared" si="109"/>
        <v>62</v>
      </c>
      <c r="B69" s="1046" t="s">
        <v>1460</v>
      </c>
      <c r="C69" s="534" t="s">
        <v>842</v>
      </c>
      <c r="D69" s="2023">
        <v>3</v>
      </c>
      <c r="E69" s="499" t="s">
        <v>462</v>
      </c>
      <c r="F69" s="2024" t="s">
        <v>1405</v>
      </c>
      <c r="G69" s="1353">
        <v>8.3000000000000004E-2</v>
      </c>
      <c r="H69" s="501">
        <f>H66</f>
        <v>0</v>
      </c>
      <c r="I69" s="1359">
        <f t="shared" si="108"/>
        <v>0</v>
      </c>
      <c r="J69" s="503" t="str">
        <f t="shared" si="100"/>
        <v>0:0:00</v>
      </c>
      <c r="K69" s="2024">
        <v>1000</v>
      </c>
      <c r="L69" s="2009">
        <v>5.48</v>
      </c>
      <c r="M69" s="502">
        <f t="shared" si="101"/>
        <v>0</v>
      </c>
      <c r="N69" s="504">
        <v>1</v>
      </c>
      <c r="O69" s="502">
        <f t="shared" si="102"/>
        <v>0</v>
      </c>
      <c r="P69" s="502">
        <f t="shared" si="103"/>
        <v>0</v>
      </c>
      <c r="Q69" s="1364">
        <f t="shared" si="104"/>
        <v>0</v>
      </c>
      <c r="R69" s="1365">
        <f t="shared" si="105"/>
        <v>0</v>
      </c>
      <c r="S69" s="1365">
        <f t="shared" si="106"/>
        <v>0</v>
      </c>
      <c r="T69" s="1365">
        <f t="shared" si="107"/>
        <v>0</v>
      </c>
      <c r="U69" s="2028">
        <f t="shared" si="19"/>
        <v>0</v>
      </c>
      <c r="AD69" s="2141">
        <f t="shared" si="89"/>
        <v>4</v>
      </c>
      <c r="AE69" s="2142" t="str">
        <f t="shared" si="90"/>
        <v/>
      </c>
      <c r="AG69" s="2118" t="s">
        <v>1820</v>
      </c>
    </row>
    <row r="70" spans="1:33" hidden="1" outlineLevel="4" x14ac:dyDescent="0.2">
      <c r="A70" s="1356">
        <f t="shared" si="109"/>
        <v>63</v>
      </c>
      <c r="B70" s="497" t="s">
        <v>1461</v>
      </c>
      <c r="C70" s="534" t="s">
        <v>842</v>
      </c>
      <c r="D70" s="2023">
        <v>5</v>
      </c>
      <c r="E70" s="499" t="s">
        <v>462</v>
      </c>
      <c r="F70" s="2024" t="s">
        <v>303</v>
      </c>
      <c r="G70" s="1353">
        <v>8.4000000000000005E-2</v>
      </c>
      <c r="H70" s="501">
        <f>IF(OR(Исх!K3="А4",Исх!K3="А5"),Исх!N25,0)</f>
        <v>0</v>
      </c>
      <c r="I70" s="1359">
        <f t="shared" si="108"/>
        <v>0</v>
      </c>
      <c r="J70" s="503" t="str">
        <f t="shared" si="100"/>
        <v>0:0:00</v>
      </c>
      <c r="K70" s="2024">
        <v>1</v>
      </c>
      <c r="L70" s="2009">
        <v>8.32</v>
      </c>
      <c r="M70" s="502">
        <f t="shared" si="101"/>
        <v>0</v>
      </c>
      <c r="N70" s="504">
        <v>1</v>
      </c>
      <c r="O70" s="502">
        <f t="shared" si="102"/>
        <v>0</v>
      </c>
      <c r="P70" s="502">
        <f t="shared" si="103"/>
        <v>0</v>
      </c>
      <c r="Q70" s="1364">
        <f t="shared" si="104"/>
        <v>0</v>
      </c>
      <c r="R70" s="1365">
        <f t="shared" si="105"/>
        <v>0</v>
      </c>
      <c r="S70" s="1365">
        <f t="shared" si="106"/>
        <v>0</v>
      </c>
      <c r="T70" s="1365">
        <f t="shared" si="107"/>
        <v>0</v>
      </c>
      <c r="U70" s="2028">
        <f t="shared" si="19"/>
        <v>0</v>
      </c>
      <c r="AD70" s="2141">
        <f t="shared" si="89"/>
        <v>4</v>
      </c>
      <c r="AE70" s="2142" t="str">
        <f t="shared" si="90"/>
        <v/>
      </c>
      <c r="AG70" s="2118" t="s">
        <v>1820</v>
      </c>
    </row>
    <row r="71" spans="1:33" hidden="1" outlineLevel="4" x14ac:dyDescent="0.2">
      <c r="A71" s="1356">
        <f t="shared" si="109"/>
        <v>64</v>
      </c>
      <c r="B71" s="497" t="s">
        <v>1462</v>
      </c>
      <c r="C71" s="534" t="s">
        <v>842</v>
      </c>
      <c r="D71" s="2023">
        <v>4</v>
      </c>
      <c r="E71" s="499" t="s">
        <v>462</v>
      </c>
      <c r="F71" s="2024" t="s">
        <v>303</v>
      </c>
      <c r="G71" s="1353">
        <v>8.4000000000000005E-2</v>
      </c>
      <c r="H71" s="501">
        <f>H70</f>
        <v>0</v>
      </c>
      <c r="I71" s="1359">
        <f t="shared" si="108"/>
        <v>0</v>
      </c>
      <c r="J71" s="503" t="str">
        <f t="shared" si="100"/>
        <v>0:0:00</v>
      </c>
      <c r="K71" s="2024">
        <v>1</v>
      </c>
      <c r="L71" s="2009">
        <v>6.93</v>
      </c>
      <c r="M71" s="502">
        <f t="shared" si="101"/>
        <v>0</v>
      </c>
      <c r="N71" s="504">
        <v>1</v>
      </c>
      <c r="O71" s="502">
        <f t="shared" si="102"/>
        <v>0</v>
      </c>
      <c r="P71" s="502">
        <f t="shared" si="103"/>
        <v>0</v>
      </c>
      <c r="Q71" s="1364">
        <f t="shared" si="104"/>
        <v>0</v>
      </c>
      <c r="R71" s="1365">
        <f t="shared" si="105"/>
        <v>0</v>
      </c>
      <c r="S71" s="1365">
        <f t="shared" si="106"/>
        <v>0</v>
      </c>
      <c r="T71" s="1365">
        <f t="shared" si="107"/>
        <v>0</v>
      </c>
      <c r="U71" s="2028">
        <f t="shared" si="19"/>
        <v>0</v>
      </c>
      <c r="AD71" s="2141">
        <f t="shared" si="89"/>
        <v>4</v>
      </c>
      <c r="AE71" s="2142" t="str">
        <f t="shared" si="90"/>
        <v/>
      </c>
      <c r="AG71" s="2118" t="s">
        <v>1820</v>
      </c>
    </row>
    <row r="72" spans="1:33" hidden="1" outlineLevel="4" x14ac:dyDescent="0.2">
      <c r="A72" s="1356">
        <f t="shared" si="109"/>
        <v>65</v>
      </c>
      <c r="B72" s="497" t="s">
        <v>1463</v>
      </c>
      <c r="C72" s="534" t="s">
        <v>842</v>
      </c>
      <c r="D72" s="2023">
        <v>3</v>
      </c>
      <c r="E72" s="499" t="s">
        <v>462</v>
      </c>
      <c r="F72" s="2024" t="s">
        <v>303</v>
      </c>
      <c r="G72" s="1353">
        <v>8.4000000000000005E-2</v>
      </c>
      <c r="H72" s="501">
        <f>H70</f>
        <v>0</v>
      </c>
      <c r="I72" s="1359">
        <f t="shared" si="108"/>
        <v>0</v>
      </c>
      <c r="J72" s="503" t="str">
        <f t="shared" si="100"/>
        <v>0:0:00</v>
      </c>
      <c r="K72" s="2024">
        <v>1</v>
      </c>
      <c r="L72" s="2009">
        <v>5.54</v>
      </c>
      <c r="M72" s="502">
        <f t="shared" si="101"/>
        <v>0</v>
      </c>
      <c r="N72" s="504">
        <v>1</v>
      </c>
      <c r="O72" s="502">
        <f t="shared" si="102"/>
        <v>0</v>
      </c>
      <c r="P72" s="502">
        <f t="shared" si="103"/>
        <v>0</v>
      </c>
      <c r="Q72" s="1364">
        <f t="shared" si="104"/>
        <v>0</v>
      </c>
      <c r="R72" s="1365">
        <f t="shared" si="105"/>
        <v>0</v>
      </c>
      <c r="S72" s="1365">
        <f t="shared" si="106"/>
        <v>0</v>
      </c>
      <c r="T72" s="1365">
        <f t="shared" si="107"/>
        <v>0</v>
      </c>
      <c r="U72" s="2028">
        <f t="shared" si="19"/>
        <v>0</v>
      </c>
      <c r="AD72" s="2141">
        <f t="shared" si="89"/>
        <v>4</v>
      </c>
      <c r="AE72" s="2142" t="str">
        <f t="shared" si="90"/>
        <v/>
      </c>
      <c r="AG72" s="2118" t="s">
        <v>1820</v>
      </c>
    </row>
    <row r="73" spans="1:33" hidden="1" outlineLevel="4" x14ac:dyDescent="0.2">
      <c r="A73" s="1356">
        <f t="shared" si="109"/>
        <v>66</v>
      </c>
      <c r="B73" s="497" t="s">
        <v>1463</v>
      </c>
      <c r="C73" s="534" t="s">
        <v>842</v>
      </c>
      <c r="D73" s="2023">
        <v>3</v>
      </c>
      <c r="E73" s="499" t="s">
        <v>462</v>
      </c>
      <c r="F73" s="2024" t="s">
        <v>303</v>
      </c>
      <c r="G73" s="1353">
        <v>8.4000000000000005E-2</v>
      </c>
      <c r="H73" s="501">
        <f>H70</f>
        <v>0</v>
      </c>
      <c r="I73" s="1359">
        <f t="shared" si="108"/>
        <v>0</v>
      </c>
      <c r="J73" s="503" t="str">
        <f t="shared" si="100"/>
        <v>0:0:00</v>
      </c>
      <c r="K73" s="2024">
        <v>1</v>
      </c>
      <c r="L73" s="2009">
        <v>5.54</v>
      </c>
      <c r="M73" s="502">
        <f t="shared" si="101"/>
        <v>0</v>
      </c>
      <c r="N73" s="504">
        <v>1</v>
      </c>
      <c r="O73" s="502">
        <f t="shared" si="102"/>
        <v>0</v>
      </c>
      <c r="P73" s="502">
        <f t="shared" si="103"/>
        <v>0</v>
      </c>
      <c r="Q73" s="1364">
        <f t="shared" si="104"/>
        <v>0</v>
      </c>
      <c r="R73" s="1365">
        <f t="shared" si="105"/>
        <v>0</v>
      </c>
      <c r="S73" s="1365">
        <f t="shared" si="106"/>
        <v>0</v>
      </c>
      <c r="T73" s="1365">
        <f t="shared" si="107"/>
        <v>0</v>
      </c>
      <c r="U73" s="2028">
        <f t="shared" si="19"/>
        <v>0</v>
      </c>
      <c r="AD73" s="2141">
        <f t="shared" si="89"/>
        <v>4</v>
      </c>
      <c r="AE73" s="2142" t="str">
        <f t="shared" si="90"/>
        <v/>
      </c>
      <c r="AG73" s="2118" t="s">
        <v>1820</v>
      </c>
    </row>
    <row r="74" spans="1:33" ht="14.25" hidden="1" outlineLevel="2" x14ac:dyDescent="0.2">
      <c r="A74" s="1356"/>
      <c r="B74" s="1040" t="s">
        <v>830</v>
      </c>
      <c r="C74" s="1041"/>
      <c r="D74" s="2150"/>
      <c r="E74" s="1042" t="s">
        <v>218</v>
      </c>
      <c r="F74" s="2162"/>
      <c r="G74" s="2175"/>
      <c r="H74" s="1044"/>
      <c r="I74" s="2065">
        <f>I75+I79+I83+I87+I91+I95+I99+I103+I107</f>
        <v>2.472</v>
      </c>
      <c r="J74" s="2066"/>
      <c r="K74" s="1043"/>
      <c r="L74" s="1045"/>
      <c r="M74" s="1043"/>
      <c r="N74" s="1043"/>
      <c r="O74" s="1043"/>
      <c r="P74" s="1043"/>
      <c r="Q74" s="1448"/>
      <c r="R74" s="1449"/>
      <c r="S74" s="1449"/>
      <c r="T74" s="1449"/>
      <c r="U74" s="2028">
        <f t="shared" ref="U74" si="140">IF(T74&gt;0,1,0)</f>
        <v>0</v>
      </c>
      <c r="AD74" s="2141" t="str">
        <f t="shared" si="89"/>
        <v/>
      </c>
      <c r="AE74" s="2142" t="str">
        <f t="shared" si="90"/>
        <v/>
      </c>
      <c r="AG74" s="2118" t="s">
        <v>1820</v>
      </c>
    </row>
    <row r="75" spans="1:33" hidden="1" outlineLevel="4" x14ac:dyDescent="0.2">
      <c r="A75" s="1356">
        <f>A73+1</f>
        <v>67</v>
      </c>
      <c r="B75" s="584" t="s">
        <v>1464</v>
      </c>
      <c r="C75" s="534" t="s">
        <v>842</v>
      </c>
      <c r="D75" s="2023">
        <v>5</v>
      </c>
      <c r="E75" s="499" t="s">
        <v>462</v>
      </c>
      <c r="F75" s="2024" t="s">
        <v>1405</v>
      </c>
      <c r="G75" s="1353">
        <v>0.05</v>
      </c>
      <c r="H75" s="501">
        <f>IF(H107&gt;0,Исх!U25,0)</f>
        <v>0</v>
      </c>
      <c r="I75" s="1359">
        <f>G75*H75/K75</f>
        <v>0</v>
      </c>
      <c r="J75" s="503" t="str">
        <f t="shared" ref="J75:J110" si="141">CONCATENATE(TRUNC(I75,0),":",INT((I75-(TRUNC(I75,0)))*60),":","00")</f>
        <v>0:0:00</v>
      </c>
      <c r="K75" s="2024">
        <v>1000</v>
      </c>
      <c r="L75" s="2009">
        <v>4.95</v>
      </c>
      <c r="M75" s="502">
        <f t="shared" ref="M75:M110" si="142">H75*L75/K75</f>
        <v>0</v>
      </c>
      <c r="N75" s="504">
        <v>1</v>
      </c>
      <c r="O75" s="502">
        <f t="shared" ref="O75:O110" si="143">M75*N75</f>
        <v>0</v>
      </c>
      <c r="P75" s="502">
        <f t="shared" ref="P75:P110" si="144">(M75+O75)*0.15</f>
        <v>0</v>
      </c>
      <c r="Q75" s="1364">
        <f t="shared" ref="Q75:Q110" si="145">M75+O75+P75</f>
        <v>0</v>
      </c>
      <c r="R75" s="1365">
        <f t="shared" ref="R75:R110" si="146">Q75*$R$1</f>
        <v>0</v>
      </c>
      <c r="S75" s="1365">
        <f t="shared" ref="S75:S110" si="147">(Q75+R75)*$S$1</f>
        <v>0</v>
      </c>
      <c r="T75" s="1365">
        <f t="shared" ref="T75:T110" si="148">Q75+R75+S75</f>
        <v>0</v>
      </c>
      <c r="U75" s="2028">
        <f t="shared" si="19"/>
        <v>0</v>
      </c>
      <c r="AD75" s="2141">
        <f t="shared" si="89"/>
        <v>4</v>
      </c>
      <c r="AE75" s="2142" t="str">
        <f t="shared" si="90"/>
        <v/>
      </c>
      <c r="AG75" s="2118" t="s">
        <v>1820</v>
      </c>
    </row>
    <row r="76" spans="1:33" hidden="1" outlineLevel="4" x14ac:dyDescent="0.2">
      <c r="A76" s="1356">
        <f>A75+1</f>
        <v>68</v>
      </c>
      <c r="B76" s="584" t="s">
        <v>1465</v>
      </c>
      <c r="C76" s="534" t="s">
        <v>842</v>
      </c>
      <c r="D76" s="2023">
        <v>4</v>
      </c>
      <c r="E76" s="499" t="s">
        <v>462</v>
      </c>
      <c r="F76" s="2024" t="s">
        <v>1405</v>
      </c>
      <c r="G76" s="1353">
        <v>0.05</v>
      </c>
      <c r="H76" s="501">
        <f>H75</f>
        <v>0</v>
      </c>
      <c r="I76" s="1359">
        <f t="shared" ref="I76:I110" si="149">G76*H76/K76</f>
        <v>0</v>
      </c>
      <c r="J76" s="503" t="str">
        <f t="shared" si="141"/>
        <v>0:0:00</v>
      </c>
      <c r="K76" s="2024">
        <v>1000</v>
      </c>
      <c r="L76" s="2009">
        <v>4.13</v>
      </c>
      <c r="M76" s="502">
        <f t="shared" si="142"/>
        <v>0</v>
      </c>
      <c r="N76" s="504">
        <v>1</v>
      </c>
      <c r="O76" s="502">
        <f t="shared" si="143"/>
        <v>0</v>
      </c>
      <c r="P76" s="502">
        <f t="shared" si="144"/>
        <v>0</v>
      </c>
      <c r="Q76" s="1364">
        <f t="shared" si="145"/>
        <v>0</v>
      </c>
      <c r="R76" s="1365">
        <f t="shared" si="146"/>
        <v>0</v>
      </c>
      <c r="S76" s="1365">
        <f t="shared" si="147"/>
        <v>0</v>
      </c>
      <c r="T76" s="1365">
        <f t="shared" si="148"/>
        <v>0</v>
      </c>
      <c r="U76" s="2028">
        <f t="shared" si="19"/>
        <v>0</v>
      </c>
      <c r="AD76" s="2141">
        <f t="shared" si="89"/>
        <v>4</v>
      </c>
      <c r="AE76" s="2142" t="str">
        <f t="shared" si="90"/>
        <v/>
      </c>
      <c r="AG76" s="2118" t="s">
        <v>1820</v>
      </c>
    </row>
    <row r="77" spans="1:33" hidden="1" outlineLevel="4" x14ac:dyDescent="0.2">
      <c r="A77" s="1356">
        <f t="shared" ref="A77:A111" si="150">A76+1</f>
        <v>69</v>
      </c>
      <c r="B77" s="584" t="s">
        <v>1466</v>
      </c>
      <c r="C77" s="534" t="s">
        <v>842</v>
      </c>
      <c r="D77" s="2023">
        <v>3</v>
      </c>
      <c r="E77" s="499" t="s">
        <v>462</v>
      </c>
      <c r="F77" s="2024" t="s">
        <v>1405</v>
      </c>
      <c r="G77" s="1353">
        <v>0.05</v>
      </c>
      <c r="H77" s="501">
        <f>H75</f>
        <v>0</v>
      </c>
      <c r="I77" s="1359">
        <f t="shared" si="149"/>
        <v>0</v>
      </c>
      <c r="J77" s="503" t="str">
        <f t="shared" si="141"/>
        <v>0:0:00</v>
      </c>
      <c r="K77" s="2024">
        <v>1000</v>
      </c>
      <c r="L77" s="2009">
        <v>3.3</v>
      </c>
      <c r="M77" s="502">
        <f t="shared" si="142"/>
        <v>0</v>
      </c>
      <c r="N77" s="504">
        <v>1</v>
      </c>
      <c r="O77" s="502">
        <f t="shared" si="143"/>
        <v>0</v>
      </c>
      <c r="P77" s="502">
        <f t="shared" si="144"/>
        <v>0</v>
      </c>
      <c r="Q77" s="1364">
        <f t="shared" si="145"/>
        <v>0</v>
      </c>
      <c r="R77" s="1365">
        <f t="shared" si="146"/>
        <v>0</v>
      </c>
      <c r="S77" s="1365">
        <f t="shared" si="147"/>
        <v>0</v>
      </c>
      <c r="T77" s="1365">
        <f t="shared" si="148"/>
        <v>0</v>
      </c>
      <c r="U77" s="2028">
        <f t="shared" si="19"/>
        <v>0</v>
      </c>
      <c r="AD77" s="2141">
        <f t="shared" si="89"/>
        <v>4</v>
      </c>
      <c r="AE77" s="2142" t="str">
        <f t="shared" si="90"/>
        <v/>
      </c>
      <c r="AG77" s="2118" t="s">
        <v>1820</v>
      </c>
    </row>
    <row r="78" spans="1:33" hidden="1" outlineLevel="4" x14ac:dyDescent="0.2">
      <c r="A78" s="1356">
        <f t="shared" si="150"/>
        <v>70</v>
      </c>
      <c r="B78" s="584" t="s">
        <v>1466</v>
      </c>
      <c r="C78" s="534" t="s">
        <v>842</v>
      </c>
      <c r="D78" s="2023">
        <v>3</v>
      </c>
      <c r="E78" s="499" t="s">
        <v>462</v>
      </c>
      <c r="F78" s="2024" t="s">
        <v>1405</v>
      </c>
      <c r="G78" s="1353">
        <v>0.05</v>
      </c>
      <c r="H78" s="501">
        <f>H75</f>
        <v>0</v>
      </c>
      <c r="I78" s="1359">
        <f t="shared" si="149"/>
        <v>0</v>
      </c>
      <c r="J78" s="503" t="str">
        <f t="shared" si="141"/>
        <v>0:0:00</v>
      </c>
      <c r="K78" s="2024">
        <v>1000</v>
      </c>
      <c r="L78" s="2009">
        <v>3.3</v>
      </c>
      <c r="M78" s="502">
        <f t="shared" si="142"/>
        <v>0</v>
      </c>
      <c r="N78" s="504">
        <v>1</v>
      </c>
      <c r="O78" s="502">
        <f t="shared" si="143"/>
        <v>0</v>
      </c>
      <c r="P78" s="502">
        <f t="shared" si="144"/>
        <v>0</v>
      </c>
      <c r="Q78" s="1364">
        <f t="shared" si="145"/>
        <v>0</v>
      </c>
      <c r="R78" s="1365">
        <f t="shared" si="146"/>
        <v>0</v>
      </c>
      <c r="S78" s="1365">
        <f t="shared" si="147"/>
        <v>0</v>
      </c>
      <c r="T78" s="1365">
        <f t="shared" si="148"/>
        <v>0</v>
      </c>
      <c r="U78" s="2028">
        <f t="shared" si="19"/>
        <v>0</v>
      </c>
      <c r="AD78" s="2141">
        <f t="shared" si="89"/>
        <v>4</v>
      </c>
      <c r="AE78" s="2142" t="str">
        <f t="shared" si="90"/>
        <v/>
      </c>
      <c r="AG78" s="2118" t="s">
        <v>1820</v>
      </c>
    </row>
    <row r="79" spans="1:33" ht="25.5" hidden="1" outlineLevel="4" x14ac:dyDescent="0.2">
      <c r="A79" s="1356">
        <f t="shared" si="150"/>
        <v>71</v>
      </c>
      <c r="B79" s="1046" t="s">
        <v>1467</v>
      </c>
      <c r="C79" s="534" t="s">
        <v>842</v>
      </c>
      <c r="D79" s="2023">
        <v>5</v>
      </c>
      <c r="E79" s="499" t="s">
        <v>462</v>
      </c>
      <c r="F79" s="2024" t="s">
        <v>1405</v>
      </c>
      <c r="G79" s="1353">
        <v>5.1999999999999998E-2</v>
      </c>
      <c r="H79" s="501">
        <f>IF(H107&gt;0,Исх!X25,0)</f>
        <v>0</v>
      </c>
      <c r="I79" s="1359">
        <f t="shared" si="149"/>
        <v>0</v>
      </c>
      <c r="J79" s="503" t="str">
        <f t="shared" si="141"/>
        <v>0:0:00</v>
      </c>
      <c r="K79" s="2024">
        <v>1000</v>
      </c>
      <c r="L79" s="2009">
        <v>5.15</v>
      </c>
      <c r="M79" s="502">
        <f t="shared" si="142"/>
        <v>0</v>
      </c>
      <c r="N79" s="504">
        <v>1</v>
      </c>
      <c r="O79" s="502">
        <f t="shared" si="143"/>
        <v>0</v>
      </c>
      <c r="P79" s="502">
        <f t="shared" si="144"/>
        <v>0</v>
      </c>
      <c r="Q79" s="1364">
        <f t="shared" si="145"/>
        <v>0</v>
      </c>
      <c r="R79" s="1365">
        <f t="shared" si="146"/>
        <v>0</v>
      </c>
      <c r="S79" s="1365">
        <f t="shared" si="147"/>
        <v>0</v>
      </c>
      <c r="T79" s="1365">
        <f t="shared" si="148"/>
        <v>0</v>
      </c>
      <c r="U79" s="2028">
        <f t="shared" si="19"/>
        <v>0</v>
      </c>
      <c r="AD79" s="2141">
        <f t="shared" si="89"/>
        <v>4</v>
      </c>
      <c r="AE79" s="2142" t="str">
        <f t="shared" si="90"/>
        <v/>
      </c>
      <c r="AG79" s="2118" t="s">
        <v>1820</v>
      </c>
    </row>
    <row r="80" spans="1:33" ht="25.5" hidden="1" outlineLevel="4" x14ac:dyDescent="0.2">
      <c r="A80" s="1356">
        <f t="shared" si="150"/>
        <v>72</v>
      </c>
      <c r="B80" s="1046" t="s">
        <v>1468</v>
      </c>
      <c r="C80" s="534" t="s">
        <v>842</v>
      </c>
      <c r="D80" s="2023">
        <v>4</v>
      </c>
      <c r="E80" s="499" t="s">
        <v>462</v>
      </c>
      <c r="F80" s="2024" t="s">
        <v>1405</v>
      </c>
      <c r="G80" s="1353">
        <v>5.1999999999999998E-2</v>
      </c>
      <c r="H80" s="501">
        <f>H79</f>
        <v>0</v>
      </c>
      <c r="I80" s="1359">
        <f t="shared" si="149"/>
        <v>0</v>
      </c>
      <c r="J80" s="503" t="str">
        <f t="shared" si="141"/>
        <v>0:0:00</v>
      </c>
      <c r="K80" s="2024">
        <v>1000</v>
      </c>
      <c r="L80" s="2009">
        <v>4.29</v>
      </c>
      <c r="M80" s="502">
        <f t="shared" si="142"/>
        <v>0</v>
      </c>
      <c r="N80" s="504">
        <v>1</v>
      </c>
      <c r="O80" s="502">
        <f t="shared" si="143"/>
        <v>0</v>
      </c>
      <c r="P80" s="502">
        <f t="shared" si="144"/>
        <v>0</v>
      </c>
      <c r="Q80" s="1364">
        <f t="shared" si="145"/>
        <v>0</v>
      </c>
      <c r="R80" s="1365">
        <f t="shared" si="146"/>
        <v>0</v>
      </c>
      <c r="S80" s="1365">
        <f t="shared" si="147"/>
        <v>0</v>
      </c>
      <c r="T80" s="1365">
        <f t="shared" si="148"/>
        <v>0</v>
      </c>
      <c r="U80" s="2028">
        <f t="shared" si="19"/>
        <v>0</v>
      </c>
      <c r="AD80" s="2141">
        <f t="shared" si="89"/>
        <v>4</v>
      </c>
      <c r="AE80" s="2142" t="str">
        <f t="shared" si="90"/>
        <v/>
      </c>
      <c r="AG80" s="2118" t="s">
        <v>1820</v>
      </c>
    </row>
    <row r="81" spans="1:33" ht="25.5" hidden="1" outlineLevel="4" x14ac:dyDescent="0.2">
      <c r="A81" s="1356">
        <f t="shared" si="150"/>
        <v>73</v>
      </c>
      <c r="B81" s="1046" t="s">
        <v>1469</v>
      </c>
      <c r="C81" s="534" t="s">
        <v>842</v>
      </c>
      <c r="D81" s="2023">
        <v>3</v>
      </c>
      <c r="E81" s="499" t="s">
        <v>462</v>
      </c>
      <c r="F81" s="2024" t="s">
        <v>1405</v>
      </c>
      <c r="G81" s="1353">
        <v>5.1999999999999998E-2</v>
      </c>
      <c r="H81" s="501">
        <f>H79</f>
        <v>0</v>
      </c>
      <c r="I81" s="1359">
        <f t="shared" si="149"/>
        <v>0</v>
      </c>
      <c r="J81" s="503" t="str">
        <f t="shared" si="141"/>
        <v>0:0:00</v>
      </c>
      <c r="K81" s="2024">
        <v>1000</v>
      </c>
      <c r="L81" s="2009">
        <v>3.43</v>
      </c>
      <c r="M81" s="502">
        <f t="shared" si="142"/>
        <v>0</v>
      </c>
      <c r="N81" s="504">
        <v>1</v>
      </c>
      <c r="O81" s="502">
        <f t="shared" si="143"/>
        <v>0</v>
      </c>
      <c r="P81" s="502">
        <f t="shared" si="144"/>
        <v>0</v>
      </c>
      <c r="Q81" s="1364">
        <f t="shared" si="145"/>
        <v>0</v>
      </c>
      <c r="R81" s="1365">
        <f t="shared" si="146"/>
        <v>0</v>
      </c>
      <c r="S81" s="1365">
        <f t="shared" si="147"/>
        <v>0</v>
      </c>
      <c r="T81" s="1365">
        <f t="shared" si="148"/>
        <v>0</v>
      </c>
      <c r="U81" s="2028">
        <f t="shared" si="19"/>
        <v>0</v>
      </c>
      <c r="AD81" s="2141">
        <f t="shared" si="89"/>
        <v>4</v>
      </c>
      <c r="AE81" s="2142" t="str">
        <f t="shared" si="90"/>
        <v/>
      </c>
      <c r="AG81" s="2118" t="s">
        <v>1820</v>
      </c>
    </row>
    <row r="82" spans="1:33" ht="25.5" hidden="1" outlineLevel="4" x14ac:dyDescent="0.2">
      <c r="A82" s="1356">
        <f t="shared" si="150"/>
        <v>74</v>
      </c>
      <c r="B82" s="1046" t="s">
        <v>1469</v>
      </c>
      <c r="C82" s="534" t="s">
        <v>842</v>
      </c>
      <c r="D82" s="2023">
        <v>3</v>
      </c>
      <c r="E82" s="499" t="s">
        <v>462</v>
      </c>
      <c r="F82" s="2024" t="s">
        <v>1405</v>
      </c>
      <c r="G82" s="1353">
        <v>5.1999999999999998E-2</v>
      </c>
      <c r="H82" s="501">
        <f>H79</f>
        <v>0</v>
      </c>
      <c r="I82" s="1359">
        <f t="shared" si="149"/>
        <v>0</v>
      </c>
      <c r="J82" s="503" t="str">
        <f t="shared" si="141"/>
        <v>0:0:00</v>
      </c>
      <c r="K82" s="2024">
        <v>1000</v>
      </c>
      <c r="L82" s="2009">
        <v>3.43</v>
      </c>
      <c r="M82" s="502">
        <f t="shared" si="142"/>
        <v>0</v>
      </c>
      <c r="N82" s="504">
        <v>1</v>
      </c>
      <c r="O82" s="502">
        <f t="shared" si="143"/>
        <v>0</v>
      </c>
      <c r="P82" s="502">
        <f t="shared" si="144"/>
        <v>0</v>
      </c>
      <c r="Q82" s="1364">
        <f t="shared" si="145"/>
        <v>0</v>
      </c>
      <c r="R82" s="1365">
        <f t="shared" si="146"/>
        <v>0</v>
      </c>
      <c r="S82" s="1365">
        <f t="shared" si="147"/>
        <v>0</v>
      </c>
      <c r="T82" s="1365">
        <f t="shared" si="148"/>
        <v>0</v>
      </c>
      <c r="U82" s="2028">
        <f t="shared" si="19"/>
        <v>0</v>
      </c>
      <c r="AD82" s="2141">
        <f t="shared" si="89"/>
        <v>4</v>
      </c>
      <c r="AE82" s="2142" t="str">
        <f t="shared" si="90"/>
        <v/>
      </c>
      <c r="AG82" s="2118" t="s">
        <v>1820</v>
      </c>
    </row>
    <row r="83" spans="1:33" ht="25.5" hidden="1" outlineLevel="4" x14ac:dyDescent="0.2">
      <c r="A83" s="1356">
        <f t="shared" si="150"/>
        <v>75</v>
      </c>
      <c r="B83" s="584" t="s">
        <v>1470</v>
      </c>
      <c r="C83" s="534" t="s">
        <v>842</v>
      </c>
      <c r="D83" s="2023">
        <v>5</v>
      </c>
      <c r="E83" s="499" t="s">
        <v>462</v>
      </c>
      <c r="F83" s="2024" t="s">
        <v>1405</v>
      </c>
      <c r="G83" s="1353">
        <v>5.3999999999999999E-2</v>
      </c>
      <c r="H83" s="501">
        <f>IF(H107&gt;0,Исх!AA25,0)</f>
        <v>0</v>
      </c>
      <c r="I83" s="1359">
        <f t="shared" ref="I83:I95" si="151">G83*H83/K83</f>
        <v>0</v>
      </c>
      <c r="J83" s="503" t="str">
        <f t="shared" ref="J83:J95" si="152">CONCATENATE(TRUNC(I83,0),":",INT((I83-(TRUNC(I83,0)))*60),":","00")</f>
        <v>0:0:00</v>
      </c>
      <c r="K83" s="2024">
        <v>1000</v>
      </c>
      <c r="L83" s="2009">
        <v>5.35</v>
      </c>
      <c r="M83" s="502">
        <f t="shared" ref="M83:M95" si="153">H83*L83/K83</f>
        <v>0</v>
      </c>
      <c r="N83" s="504">
        <v>1</v>
      </c>
      <c r="O83" s="502">
        <f t="shared" ref="O83:O95" si="154">M83*N83</f>
        <v>0</v>
      </c>
      <c r="P83" s="502">
        <f t="shared" ref="P83:P95" si="155">(M83+O83)*0.15</f>
        <v>0</v>
      </c>
      <c r="Q83" s="1364">
        <f t="shared" ref="Q83:Q95" si="156">M83+O83+P83</f>
        <v>0</v>
      </c>
      <c r="R83" s="1365">
        <f t="shared" ref="R83:R95" si="157">Q83*$R$1</f>
        <v>0</v>
      </c>
      <c r="S83" s="1365">
        <f t="shared" ref="S83:S95" si="158">(Q83+R83)*$S$1</f>
        <v>0</v>
      </c>
      <c r="T83" s="1365">
        <f t="shared" ref="T83:T95" si="159">Q83+R83+S83</f>
        <v>0</v>
      </c>
      <c r="U83" s="2028">
        <f t="shared" ref="U83:U95" si="160">IF(T83&gt;0,1,0)</f>
        <v>0</v>
      </c>
      <c r="AD83" s="2141">
        <f t="shared" si="89"/>
        <v>4</v>
      </c>
      <c r="AE83" s="2142" t="str">
        <f t="shared" si="90"/>
        <v/>
      </c>
      <c r="AG83" s="2118" t="s">
        <v>1820</v>
      </c>
    </row>
    <row r="84" spans="1:33" ht="25.5" hidden="1" outlineLevel="4" x14ac:dyDescent="0.2">
      <c r="A84" s="1356">
        <f t="shared" si="150"/>
        <v>76</v>
      </c>
      <c r="B84" s="584" t="s">
        <v>1471</v>
      </c>
      <c r="C84" s="534" t="s">
        <v>842</v>
      </c>
      <c r="D84" s="2023">
        <v>4</v>
      </c>
      <c r="E84" s="499" t="s">
        <v>462</v>
      </c>
      <c r="F84" s="2024" t="s">
        <v>1405</v>
      </c>
      <c r="G84" s="1353">
        <v>5.3999999999999999E-2</v>
      </c>
      <c r="H84" s="501">
        <f>H83</f>
        <v>0</v>
      </c>
      <c r="I84" s="1359">
        <f t="shared" si="151"/>
        <v>0</v>
      </c>
      <c r="J84" s="503" t="str">
        <f t="shared" si="152"/>
        <v>0:0:00</v>
      </c>
      <c r="K84" s="2024">
        <v>1000</v>
      </c>
      <c r="L84" s="2009">
        <v>4.46</v>
      </c>
      <c r="M84" s="502">
        <f t="shared" si="153"/>
        <v>0</v>
      </c>
      <c r="N84" s="504">
        <v>1</v>
      </c>
      <c r="O84" s="502">
        <f t="shared" si="154"/>
        <v>0</v>
      </c>
      <c r="P84" s="502">
        <f t="shared" si="155"/>
        <v>0</v>
      </c>
      <c r="Q84" s="1364">
        <f t="shared" si="156"/>
        <v>0</v>
      </c>
      <c r="R84" s="1365">
        <f t="shared" si="157"/>
        <v>0</v>
      </c>
      <c r="S84" s="1365">
        <f t="shared" si="158"/>
        <v>0</v>
      </c>
      <c r="T84" s="1365">
        <f t="shared" si="159"/>
        <v>0</v>
      </c>
      <c r="U84" s="2028">
        <f t="shared" si="160"/>
        <v>0</v>
      </c>
      <c r="AD84" s="2141">
        <f t="shared" si="89"/>
        <v>4</v>
      </c>
      <c r="AE84" s="2142" t="str">
        <f t="shared" si="90"/>
        <v/>
      </c>
      <c r="AG84" s="2118" t="s">
        <v>1820</v>
      </c>
    </row>
    <row r="85" spans="1:33" ht="25.5" hidden="1" outlineLevel="4" x14ac:dyDescent="0.2">
      <c r="A85" s="1356">
        <f t="shared" si="150"/>
        <v>77</v>
      </c>
      <c r="B85" s="584" t="s">
        <v>1472</v>
      </c>
      <c r="C85" s="534" t="s">
        <v>842</v>
      </c>
      <c r="D85" s="2023">
        <v>3</v>
      </c>
      <c r="E85" s="499" t="s">
        <v>462</v>
      </c>
      <c r="F85" s="2024" t="s">
        <v>1405</v>
      </c>
      <c r="G85" s="1353">
        <v>5.3999999999999999E-2</v>
      </c>
      <c r="H85" s="501">
        <f>H83</f>
        <v>0</v>
      </c>
      <c r="I85" s="1359">
        <f t="shared" si="151"/>
        <v>0</v>
      </c>
      <c r="J85" s="503" t="str">
        <f t="shared" si="152"/>
        <v>0:0:00</v>
      </c>
      <c r="K85" s="2024">
        <v>1000</v>
      </c>
      <c r="L85" s="2009">
        <v>3.56</v>
      </c>
      <c r="M85" s="502">
        <f t="shared" si="153"/>
        <v>0</v>
      </c>
      <c r="N85" s="504">
        <v>1</v>
      </c>
      <c r="O85" s="502">
        <f t="shared" si="154"/>
        <v>0</v>
      </c>
      <c r="P85" s="502">
        <f t="shared" si="155"/>
        <v>0</v>
      </c>
      <c r="Q85" s="1364">
        <f t="shared" si="156"/>
        <v>0</v>
      </c>
      <c r="R85" s="1365">
        <f t="shared" si="157"/>
        <v>0</v>
      </c>
      <c r="S85" s="1365">
        <f t="shared" si="158"/>
        <v>0</v>
      </c>
      <c r="T85" s="1365">
        <f t="shared" si="159"/>
        <v>0</v>
      </c>
      <c r="U85" s="2028">
        <f t="shared" si="160"/>
        <v>0</v>
      </c>
      <c r="AD85" s="2141">
        <f t="shared" si="89"/>
        <v>4</v>
      </c>
      <c r="AE85" s="2142" t="str">
        <f t="shared" si="90"/>
        <v/>
      </c>
      <c r="AG85" s="2118" t="s">
        <v>1820</v>
      </c>
    </row>
    <row r="86" spans="1:33" ht="25.5" hidden="1" outlineLevel="4" x14ac:dyDescent="0.2">
      <c r="A86" s="1356">
        <f t="shared" si="150"/>
        <v>78</v>
      </c>
      <c r="B86" s="584" t="s">
        <v>1472</v>
      </c>
      <c r="C86" s="534" t="s">
        <v>842</v>
      </c>
      <c r="D86" s="2023">
        <v>3</v>
      </c>
      <c r="E86" s="499" t="s">
        <v>462</v>
      </c>
      <c r="F86" s="2024" t="s">
        <v>1405</v>
      </c>
      <c r="G86" s="1353">
        <v>5.3999999999999999E-2</v>
      </c>
      <c r="H86" s="501">
        <f>H83</f>
        <v>0</v>
      </c>
      <c r="I86" s="1359">
        <f t="shared" si="151"/>
        <v>0</v>
      </c>
      <c r="J86" s="503" t="str">
        <f t="shared" si="152"/>
        <v>0:0:00</v>
      </c>
      <c r="K86" s="2024">
        <v>1000</v>
      </c>
      <c r="L86" s="2009">
        <v>3.56</v>
      </c>
      <c r="M86" s="502">
        <f t="shared" si="153"/>
        <v>0</v>
      </c>
      <c r="N86" s="504">
        <v>1</v>
      </c>
      <c r="O86" s="502">
        <f t="shared" si="154"/>
        <v>0</v>
      </c>
      <c r="P86" s="502">
        <f t="shared" si="155"/>
        <v>0</v>
      </c>
      <c r="Q86" s="1364">
        <f t="shared" si="156"/>
        <v>0</v>
      </c>
      <c r="R86" s="1365">
        <f t="shared" si="157"/>
        <v>0</v>
      </c>
      <c r="S86" s="1365">
        <f t="shared" si="158"/>
        <v>0</v>
      </c>
      <c r="T86" s="1365">
        <f t="shared" si="159"/>
        <v>0</v>
      </c>
      <c r="U86" s="2028">
        <f t="shared" si="160"/>
        <v>0</v>
      </c>
      <c r="AD86" s="2141">
        <f t="shared" si="89"/>
        <v>4</v>
      </c>
      <c r="AE86" s="2142" t="str">
        <f t="shared" si="90"/>
        <v/>
      </c>
      <c r="AG86" s="2118" t="s">
        <v>1820</v>
      </c>
    </row>
    <row r="87" spans="1:33" ht="25.5" hidden="1" outlineLevel="4" x14ac:dyDescent="0.2">
      <c r="A87" s="1356">
        <f t="shared" si="150"/>
        <v>79</v>
      </c>
      <c r="B87" s="1046" t="s">
        <v>1473</v>
      </c>
      <c r="C87" s="534" t="s">
        <v>842</v>
      </c>
      <c r="D87" s="2023">
        <v>5</v>
      </c>
      <c r="E87" s="499" t="s">
        <v>462</v>
      </c>
      <c r="F87" s="2024" t="s">
        <v>1405</v>
      </c>
      <c r="G87" s="1353">
        <v>5.7000000000000002E-2</v>
      </c>
      <c r="H87" s="501">
        <f>IF(H107&gt;0,Исх!AD25,0)</f>
        <v>0</v>
      </c>
      <c r="I87" s="1359">
        <f t="shared" si="151"/>
        <v>0</v>
      </c>
      <c r="J87" s="503" t="str">
        <f t="shared" si="152"/>
        <v>0:0:00</v>
      </c>
      <c r="K87" s="2024">
        <v>1000</v>
      </c>
      <c r="L87" s="2009">
        <v>5.64</v>
      </c>
      <c r="M87" s="502">
        <f t="shared" si="153"/>
        <v>0</v>
      </c>
      <c r="N87" s="504">
        <v>1</v>
      </c>
      <c r="O87" s="502">
        <f t="shared" si="154"/>
        <v>0</v>
      </c>
      <c r="P87" s="502">
        <f t="shared" si="155"/>
        <v>0</v>
      </c>
      <c r="Q87" s="1364">
        <f t="shared" si="156"/>
        <v>0</v>
      </c>
      <c r="R87" s="1365">
        <f t="shared" si="157"/>
        <v>0</v>
      </c>
      <c r="S87" s="1365">
        <f t="shared" si="158"/>
        <v>0</v>
      </c>
      <c r="T87" s="1365">
        <f t="shared" si="159"/>
        <v>0</v>
      </c>
      <c r="U87" s="2028">
        <f t="shared" si="160"/>
        <v>0</v>
      </c>
      <c r="AD87" s="2141">
        <f t="shared" si="89"/>
        <v>4</v>
      </c>
      <c r="AE87" s="2142" t="str">
        <f t="shared" si="90"/>
        <v/>
      </c>
      <c r="AG87" s="2118" t="s">
        <v>1820</v>
      </c>
    </row>
    <row r="88" spans="1:33" ht="25.5" hidden="1" outlineLevel="4" x14ac:dyDescent="0.2">
      <c r="A88" s="1356">
        <f t="shared" si="150"/>
        <v>80</v>
      </c>
      <c r="B88" s="1046" t="s">
        <v>1474</v>
      </c>
      <c r="C88" s="534" t="s">
        <v>842</v>
      </c>
      <c r="D88" s="2023">
        <v>4</v>
      </c>
      <c r="E88" s="499" t="s">
        <v>462</v>
      </c>
      <c r="F88" s="2024" t="s">
        <v>1405</v>
      </c>
      <c r="G88" s="1353">
        <v>5.7000000000000002E-2</v>
      </c>
      <c r="H88" s="501">
        <f>H87</f>
        <v>0</v>
      </c>
      <c r="I88" s="1359">
        <f t="shared" si="151"/>
        <v>0</v>
      </c>
      <c r="J88" s="503" t="str">
        <f t="shared" si="152"/>
        <v>0:0:00</v>
      </c>
      <c r="K88" s="2024">
        <v>1000</v>
      </c>
      <c r="L88" s="2009">
        <v>4.7</v>
      </c>
      <c r="M88" s="502">
        <f t="shared" si="153"/>
        <v>0</v>
      </c>
      <c r="N88" s="504">
        <v>1</v>
      </c>
      <c r="O88" s="502">
        <f t="shared" si="154"/>
        <v>0</v>
      </c>
      <c r="P88" s="502">
        <f t="shared" si="155"/>
        <v>0</v>
      </c>
      <c r="Q88" s="1364">
        <f t="shared" si="156"/>
        <v>0</v>
      </c>
      <c r="R88" s="1365">
        <f t="shared" si="157"/>
        <v>0</v>
      </c>
      <c r="S88" s="1365">
        <f t="shared" si="158"/>
        <v>0</v>
      </c>
      <c r="T88" s="1365">
        <f t="shared" si="159"/>
        <v>0</v>
      </c>
      <c r="U88" s="2028">
        <f t="shared" si="160"/>
        <v>0</v>
      </c>
      <c r="AD88" s="2141">
        <f t="shared" si="89"/>
        <v>4</v>
      </c>
      <c r="AE88" s="2142" t="str">
        <f t="shared" si="90"/>
        <v/>
      </c>
      <c r="AG88" s="2118" t="s">
        <v>1820</v>
      </c>
    </row>
    <row r="89" spans="1:33" ht="25.5" hidden="1" outlineLevel="4" x14ac:dyDescent="0.2">
      <c r="A89" s="1356">
        <f t="shared" si="150"/>
        <v>81</v>
      </c>
      <c r="B89" s="1046" t="s">
        <v>1475</v>
      </c>
      <c r="C89" s="534" t="s">
        <v>842</v>
      </c>
      <c r="D89" s="2023">
        <v>3</v>
      </c>
      <c r="E89" s="499" t="s">
        <v>462</v>
      </c>
      <c r="F89" s="2024" t="s">
        <v>1405</v>
      </c>
      <c r="G89" s="1353">
        <v>5.7000000000000002E-2</v>
      </c>
      <c r="H89" s="501">
        <f>H87</f>
        <v>0</v>
      </c>
      <c r="I89" s="1359">
        <f t="shared" si="151"/>
        <v>0</v>
      </c>
      <c r="J89" s="503" t="str">
        <f t="shared" si="152"/>
        <v>0:0:00</v>
      </c>
      <c r="K89" s="2024">
        <v>1000</v>
      </c>
      <c r="L89" s="2009">
        <v>3.76</v>
      </c>
      <c r="M89" s="502">
        <f t="shared" si="153"/>
        <v>0</v>
      </c>
      <c r="N89" s="504">
        <v>1</v>
      </c>
      <c r="O89" s="502">
        <f t="shared" si="154"/>
        <v>0</v>
      </c>
      <c r="P89" s="502">
        <f t="shared" si="155"/>
        <v>0</v>
      </c>
      <c r="Q89" s="1364">
        <f t="shared" si="156"/>
        <v>0</v>
      </c>
      <c r="R89" s="1365">
        <f t="shared" si="157"/>
        <v>0</v>
      </c>
      <c r="S89" s="1365">
        <f t="shared" si="158"/>
        <v>0</v>
      </c>
      <c r="T89" s="1365">
        <f t="shared" si="159"/>
        <v>0</v>
      </c>
      <c r="U89" s="2028">
        <f t="shared" si="160"/>
        <v>0</v>
      </c>
      <c r="AD89" s="2141">
        <f t="shared" si="89"/>
        <v>4</v>
      </c>
      <c r="AE89" s="2142" t="str">
        <f t="shared" si="90"/>
        <v/>
      </c>
      <c r="AG89" s="2118" t="s">
        <v>1820</v>
      </c>
    </row>
    <row r="90" spans="1:33" ht="25.5" hidden="1" outlineLevel="4" x14ac:dyDescent="0.2">
      <c r="A90" s="1356">
        <f t="shared" si="150"/>
        <v>82</v>
      </c>
      <c r="B90" s="1046" t="s">
        <v>1475</v>
      </c>
      <c r="C90" s="534" t="s">
        <v>842</v>
      </c>
      <c r="D90" s="2023">
        <v>3</v>
      </c>
      <c r="E90" s="499" t="s">
        <v>462</v>
      </c>
      <c r="F90" s="2024" t="s">
        <v>1405</v>
      </c>
      <c r="G90" s="1353">
        <v>5.7000000000000002E-2</v>
      </c>
      <c r="H90" s="501">
        <f>H87</f>
        <v>0</v>
      </c>
      <c r="I90" s="1359">
        <f t="shared" si="151"/>
        <v>0</v>
      </c>
      <c r="J90" s="503" t="str">
        <f t="shared" si="152"/>
        <v>0:0:00</v>
      </c>
      <c r="K90" s="2024">
        <v>1000</v>
      </c>
      <c r="L90" s="2009">
        <v>3.76</v>
      </c>
      <c r="M90" s="502">
        <f t="shared" si="153"/>
        <v>0</v>
      </c>
      <c r="N90" s="504">
        <v>1</v>
      </c>
      <c r="O90" s="502">
        <f t="shared" si="154"/>
        <v>0</v>
      </c>
      <c r="P90" s="502">
        <f t="shared" si="155"/>
        <v>0</v>
      </c>
      <c r="Q90" s="1364">
        <f t="shared" si="156"/>
        <v>0</v>
      </c>
      <c r="R90" s="1365">
        <f t="shared" si="157"/>
        <v>0</v>
      </c>
      <c r="S90" s="1365">
        <f t="shared" si="158"/>
        <v>0</v>
      </c>
      <c r="T90" s="1365">
        <f t="shared" si="159"/>
        <v>0</v>
      </c>
      <c r="U90" s="2028">
        <f t="shared" si="160"/>
        <v>0</v>
      </c>
      <c r="AD90" s="2141">
        <f t="shared" ref="AD90:AD111" si="161">IF(D90&gt;0,LOOKUP(D90,$Z$26:$Z$29,$AA$26:$AA$29),"")</f>
        <v>4</v>
      </c>
      <c r="AE90" s="2142" t="str">
        <f t="shared" ref="AE90:AE153" si="162">IF(T90&gt;0,T90*AD90,"")</f>
        <v/>
      </c>
      <c r="AG90" s="2118" t="s">
        <v>1820</v>
      </c>
    </row>
    <row r="91" spans="1:33" hidden="1" outlineLevel="4" x14ac:dyDescent="0.2">
      <c r="A91" s="1356">
        <f t="shared" si="150"/>
        <v>83</v>
      </c>
      <c r="B91" s="584" t="s">
        <v>1476</v>
      </c>
      <c r="C91" s="534" t="s">
        <v>842</v>
      </c>
      <c r="D91" s="2023">
        <v>5</v>
      </c>
      <c r="E91" s="499" t="s">
        <v>462</v>
      </c>
      <c r="F91" s="2024" t="s">
        <v>1405</v>
      </c>
      <c r="G91" s="1353">
        <v>0.05</v>
      </c>
      <c r="H91" s="501">
        <f>IF(H107&gt;0,Исх!V25,0)</f>
        <v>0</v>
      </c>
      <c r="I91" s="1359">
        <f t="shared" si="151"/>
        <v>0</v>
      </c>
      <c r="J91" s="503" t="str">
        <f t="shared" si="152"/>
        <v>0:0:00</v>
      </c>
      <c r="K91" s="2024">
        <v>1000</v>
      </c>
      <c r="L91" s="2009">
        <v>5.15</v>
      </c>
      <c r="M91" s="502">
        <f t="shared" si="153"/>
        <v>0</v>
      </c>
      <c r="N91" s="504">
        <v>1</v>
      </c>
      <c r="O91" s="502">
        <f t="shared" si="154"/>
        <v>0</v>
      </c>
      <c r="P91" s="502">
        <f t="shared" si="155"/>
        <v>0</v>
      </c>
      <c r="Q91" s="1364">
        <f t="shared" si="156"/>
        <v>0</v>
      </c>
      <c r="R91" s="1365">
        <f t="shared" si="157"/>
        <v>0</v>
      </c>
      <c r="S91" s="1365">
        <f t="shared" si="158"/>
        <v>0</v>
      </c>
      <c r="T91" s="1365">
        <f t="shared" si="159"/>
        <v>0</v>
      </c>
      <c r="U91" s="2028">
        <f t="shared" si="160"/>
        <v>0</v>
      </c>
      <c r="AD91" s="2141">
        <f t="shared" si="161"/>
        <v>4</v>
      </c>
      <c r="AE91" s="2142" t="str">
        <f t="shared" si="162"/>
        <v/>
      </c>
      <c r="AG91" s="2118" t="s">
        <v>1820</v>
      </c>
    </row>
    <row r="92" spans="1:33" hidden="1" outlineLevel="4" x14ac:dyDescent="0.2">
      <c r="A92" s="1356">
        <f t="shared" si="150"/>
        <v>84</v>
      </c>
      <c r="B92" s="584" t="s">
        <v>1477</v>
      </c>
      <c r="C92" s="534" t="s">
        <v>842</v>
      </c>
      <c r="D92" s="2023">
        <v>4</v>
      </c>
      <c r="E92" s="499" t="s">
        <v>462</v>
      </c>
      <c r="F92" s="2024" t="s">
        <v>1405</v>
      </c>
      <c r="G92" s="1353">
        <v>0.05</v>
      </c>
      <c r="H92" s="501">
        <f>H91</f>
        <v>0</v>
      </c>
      <c r="I92" s="1359">
        <f t="shared" si="151"/>
        <v>0</v>
      </c>
      <c r="J92" s="503" t="str">
        <f t="shared" si="152"/>
        <v>0:0:00</v>
      </c>
      <c r="K92" s="2024">
        <v>1000</v>
      </c>
      <c r="L92" s="2009">
        <v>4.29</v>
      </c>
      <c r="M92" s="502">
        <f t="shared" si="153"/>
        <v>0</v>
      </c>
      <c r="N92" s="504">
        <v>1</v>
      </c>
      <c r="O92" s="502">
        <f t="shared" si="154"/>
        <v>0</v>
      </c>
      <c r="P92" s="502">
        <f t="shared" si="155"/>
        <v>0</v>
      </c>
      <c r="Q92" s="1364">
        <f t="shared" si="156"/>
        <v>0</v>
      </c>
      <c r="R92" s="1365">
        <f t="shared" si="157"/>
        <v>0</v>
      </c>
      <c r="S92" s="1365">
        <f t="shared" si="158"/>
        <v>0</v>
      </c>
      <c r="T92" s="1365">
        <f t="shared" si="159"/>
        <v>0</v>
      </c>
      <c r="U92" s="2028">
        <f t="shared" si="160"/>
        <v>0</v>
      </c>
      <c r="AD92" s="2141">
        <f t="shared" si="161"/>
        <v>4</v>
      </c>
      <c r="AE92" s="2142" t="str">
        <f t="shared" si="162"/>
        <v/>
      </c>
      <c r="AG92" s="2118" t="s">
        <v>1820</v>
      </c>
    </row>
    <row r="93" spans="1:33" hidden="1" outlineLevel="4" x14ac:dyDescent="0.2">
      <c r="A93" s="1356">
        <f t="shared" si="150"/>
        <v>85</v>
      </c>
      <c r="B93" s="584" t="s">
        <v>1478</v>
      </c>
      <c r="C93" s="534" t="s">
        <v>842</v>
      </c>
      <c r="D93" s="2023">
        <v>3</v>
      </c>
      <c r="E93" s="499" t="s">
        <v>462</v>
      </c>
      <c r="F93" s="2024" t="s">
        <v>1405</v>
      </c>
      <c r="G93" s="1353">
        <v>0.05</v>
      </c>
      <c r="H93" s="501">
        <f>H91</f>
        <v>0</v>
      </c>
      <c r="I93" s="1359">
        <f t="shared" si="151"/>
        <v>0</v>
      </c>
      <c r="J93" s="503" t="str">
        <f t="shared" si="152"/>
        <v>0:0:00</v>
      </c>
      <c r="K93" s="2024">
        <v>1000</v>
      </c>
      <c r="L93" s="2009">
        <v>3.43</v>
      </c>
      <c r="M93" s="502">
        <f t="shared" si="153"/>
        <v>0</v>
      </c>
      <c r="N93" s="504">
        <v>1</v>
      </c>
      <c r="O93" s="502">
        <f t="shared" si="154"/>
        <v>0</v>
      </c>
      <c r="P93" s="502">
        <f t="shared" si="155"/>
        <v>0</v>
      </c>
      <c r="Q93" s="1364">
        <f t="shared" si="156"/>
        <v>0</v>
      </c>
      <c r="R93" s="1365">
        <f t="shared" si="157"/>
        <v>0</v>
      </c>
      <c r="S93" s="1365">
        <f t="shared" si="158"/>
        <v>0</v>
      </c>
      <c r="T93" s="1365">
        <f t="shared" si="159"/>
        <v>0</v>
      </c>
      <c r="U93" s="2028">
        <f t="shared" si="160"/>
        <v>0</v>
      </c>
      <c r="AD93" s="2141">
        <f t="shared" si="161"/>
        <v>4</v>
      </c>
      <c r="AE93" s="2142" t="str">
        <f t="shared" si="162"/>
        <v/>
      </c>
      <c r="AG93" s="2118" t="s">
        <v>1820</v>
      </c>
    </row>
    <row r="94" spans="1:33" hidden="1" outlineLevel="4" x14ac:dyDescent="0.2">
      <c r="A94" s="1356">
        <f t="shared" si="150"/>
        <v>86</v>
      </c>
      <c r="B94" s="584" t="s">
        <v>1478</v>
      </c>
      <c r="C94" s="534" t="s">
        <v>842</v>
      </c>
      <c r="D94" s="2023">
        <v>3</v>
      </c>
      <c r="E94" s="499" t="s">
        <v>462</v>
      </c>
      <c r="F94" s="2024" t="s">
        <v>1405</v>
      </c>
      <c r="G94" s="1353">
        <v>0.05</v>
      </c>
      <c r="H94" s="501">
        <f>H91</f>
        <v>0</v>
      </c>
      <c r="I94" s="1359">
        <f t="shared" si="151"/>
        <v>0</v>
      </c>
      <c r="J94" s="503" t="str">
        <f t="shared" si="152"/>
        <v>0:0:00</v>
      </c>
      <c r="K94" s="2024">
        <v>1000</v>
      </c>
      <c r="L94" s="2009">
        <v>3.43</v>
      </c>
      <c r="M94" s="502">
        <f t="shared" si="153"/>
        <v>0</v>
      </c>
      <c r="N94" s="504">
        <v>1</v>
      </c>
      <c r="O94" s="502">
        <f t="shared" si="154"/>
        <v>0</v>
      </c>
      <c r="P94" s="502">
        <f t="shared" si="155"/>
        <v>0</v>
      </c>
      <c r="Q94" s="1364">
        <f t="shared" si="156"/>
        <v>0</v>
      </c>
      <c r="R94" s="1365">
        <f t="shared" si="157"/>
        <v>0</v>
      </c>
      <c r="S94" s="1365">
        <f t="shared" si="158"/>
        <v>0</v>
      </c>
      <c r="T94" s="1365">
        <f t="shared" si="159"/>
        <v>0</v>
      </c>
      <c r="U94" s="2028">
        <f t="shared" si="160"/>
        <v>0</v>
      </c>
      <c r="AD94" s="2141">
        <f t="shared" si="161"/>
        <v>4</v>
      </c>
      <c r="AE94" s="2142" t="str">
        <f t="shared" si="162"/>
        <v/>
      </c>
      <c r="AG94" s="2118" t="s">
        <v>1820</v>
      </c>
    </row>
    <row r="95" spans="1:33" outlineLevel="4" x14ac:dyDescent="0.2">
      <c r="A95" s="1356">
        <f t="shared" si="150"/>
        <v>87</v>
      </c>
      <c r="B95" s="1046" t="s">
        <v>1479</v>
      </c>
      <c r="C95" s="534" t="s">
        <v>842</v>
      </c>
      <c r="D95" s="2023">
        <v>5</v>
      </c>
      <c r="E95" s="499" t="s">
        <v>462</v>
      </c>
      <c r="F95" s="2024" t="s">
        <v>1405</v>
      </c>
      <c r="G95" s="1353">
        <v>5.6000000000000001E-2</v>
      </c>
      <c r="H95" s="501">
        <f>IF(H107&gt;0,Исх!Y25,0)</f>
        <v>25000</v>
      </c>
      <c r="I95" s="1359">
        <f t="shared" si="151"/>
        <v>1.4</v>
      </c>
      <c r="J95" s="503" t="str">
        <f t="shared" si="152"/>
        <v>1:24:00</v>
      </c>
      <c r="K95" s="2024">
        <v>1000</v>
      </c>
      <c r="L95" s="2009">
        <v>5.54</v>
      </c>
      <c r="M95" s="502">
        <f t="shared" si="153"/>
        <v>138.5</v>
      </c>
      <c r="N95" s="504">
        <v>1</v>
      </c>
      <c r="O95" s="502">
        <f t="shared" si="154"/>
        <v>138.5</v>
      </c>
      <c r="P95" s="502">
        <f t="shared" si="155"/>
        <v>41.55</v>
      </c>
      <c r="Q95" s="1364">
        <f t="shared" si="156"/>
        <v>318.55</v>
      </c>
      <c r="R95" s="1365">
        <f t="shared" si="157"/>
        <v>0</v>
      </c>
      <c r="S95" s="1365">
        <f t="shared" si="158"/>
        <v>96.202100000000002</v>
      </c>
      <c r="T95" s="1365">
        <f t="shared" si="159"/>
        <v>414.75210000000004</v>
      </c>
      <c r="U95" s="2028">
        <f t="shared" si="160"/>
        <v>1</v>
      </c>
      <c r="AD95" s="2141">
        <f t="shared" si="161"/>
        <v>4</v>
      </c>
      <c r="AE95" s="2142">
        <f t="shared" si="162"/>
        <v>1659.0084000000002</v>
      </c>
      <c r="AG95" s="2118" t="s">
        <v>1820</v>
      </c>
    </row>
    <row r="96" spans="1:33" outlineLevel="4" x14ac:dyDescent="0.2">
      <c r="A96" s="1356">
        <f t="shared" si="150"/>
        <v>88</v>
      </c>
      <c r="B96" s="1046" t="s">
        <v>1480</v>
      </c>
      <c r="C96" s="534" t="s">
        <v>842</v>
      </c>
      <c r="D96" s="2023">
        <v>4</v>
      </c>
      <c r="E96" s="499" t="s">
        <v>462</v>
      </c>
      <c r="F96" s="2024" t="s">
        <v>1405</v>
      </c>
      <c r="G96" s="1353">
        <v>5.6000000000000001E-2</v>
      </c>
      <c r="H96" s="501">
        <f>H95</f>
        <v>25000</v>
      </c>
      <c r="I96" s="1359">
        <f t="shared" ref="I96:I102" si="163">G96*H96/K96</f>
        <v>1.4</v>
      </c>
      <c r="J96" s="503" t="str">
        <f t="shared" ref="J96:J102" si="164">CONCATENATE(TRUNC(I96,0),":",INT((I96-(TRUNC(I96,0)))*60),":","00")</f>
        <v>1:24:00</v>
      </c>
      <c r="K96" s="2024">
        <v>1000</v>
      </c>
      <c r="L96" s="2009">
        <v>4.62</v>
      </c>
      <c r="M96" s="502">
        <f t="shared" ref="M96:M102" si="165">H96*L96/K96</f>
        <v>115.5</v>
      </c>
      <c r="N96" s="504">
        <v>1</v>
      </c>
      <c r="O96" s="502">
        <f t="shared" ref="O96:O102" si="166">M96*N96</f>
        <v>115.5</v>
      </c>
      <c r="P96" s="502">
        <f t="shared" ref="P96:P102" si="167">(M96+O96)*0.15</f>
        <v>34.65</v>
      </c>
      <c r="Q96" s="1364">
        <f t="shared" ref="Q96:Q102" si="168">M96+O96+P96</f>
        <v>265.64999999999998</v>
      </c>
      <c r="R96" s="1365">
        <f t="shared" ref="R96:R102" si="169">Q96*$R$1</f>
        <v>0</v>
      </c>
      <c r="S96" s="1365">
        <f t="shared" ref="S96:S102" si="170">(Q96+R96)*$S$1</f>
        <v>80.226299999999995</v>
      </c>
      <c r="T96" s="1365">
        <f t="shared" ref="T96:T102" si="171">Q96+R96+S96</f>
        <v>345.87629999999996</v>
      </c>
      <c r="U96" s="2028">
        <f t="shared" ref="U96:U102" si="172">IF(T96&gt;0,1,0)</f>
        <v>1</v>
      </c>
      <c r="AD96" s="2141">
        <f t="shared" si="161"/>
        <v>4</v>
      </c>
      <c r="AE96" s="2142">
        <f t="shared" si="162"/>
        <v>1383.5051999999998</v>
      </c>
      <c r="AG96" s="2118" t="s">
        <v>1820</v>
      </c>
    </row>
    <row r="97" spans="1:33" outlineLevel="4" x14ac:dyDescent="0.2">
      <c r="A97" s="1356">
        <f t="shared" si="150"/>
        <v>89</v>
      </c>
      <c r="B97" s="1046" t="s">
        <v>1481</v>
      </c>
      <c r="C97" s="534" t="s">
        <v>842</v>
      </c>
      <c r="D97" s="2023">
        <v>3</v>
      </c>
      <c r="E97" s="499" t="s">
        <v>462</v>
      </c>
      <c r="F97" s="2024" t="s">
        <v>1405</v>
      </c>
      <c r="G97" s="1353">
        <v>5.6000000000000001E-2</v>
      </c>
      <c r="H97" s="501">
        <f>H95</f>
        <v>25000</v>
      </c>
      <c r="I97" s="1359">
        <f t="shared" si="163"/>
        <v>1.4</v>
      </c>
      <c r="J97" s="503" t="str">
        <f t="shared" si="164"/>
        <v>1:24:00</v>
      </c>
      <c r="K97" s="2024">
        <v>1000</v>
      </c>
      <c r="L97" s="2009">
        <v>3.7</v>
      </c>
      <c r="M97" s="502">
        <f t="shared" si="165"/>
        <v>92.5</v>
      </c>
      <c r="N97" s="504">
        <v>1</v>
      </c>
      <c r="O97" s="502">
        <f t="shared" si="166"/>
        <v>92.5</v>
      </c>
      <c r="P97" s="502">
        <f t="shared" si="167"/>
        <v>27.75</v>
      </c>
      <c r="Q97" s="1364">
        <f t="shared" si="168"/>
        <v>212.75</v>
      </c>
      <c r="R97" s="1365">
        <f t="shared" si="169"/>
        <v>0</v>
      </c>
      <c r="S97" s="1365">
        <f t="shared" si="170"/>
        <v>64.250500000000002</v>
      </c>
      <c r="T97" s="1365">
        <f t="shared" si="171"/>
        <v>277.00049999999999</v>
      </c>
      <c r="U97" s="2028">
        <f t="shared" si="172"/>
        <v>1</v>
      </c>
      <c r="AD97" s="2141">
        <f t="shared" si="161"/>
        <v>4</v>
      </c>
      <c r="AE97" s="2142">
        <f t="shared" si="162"/>
        <v>1108.002</v>
      </c>
      <c r="AG97" s="2118" t="s">
        <v>1820</v>
      </c>
    </row>
    <row r="98" spans="1:33" outlineLevel="4" x14ac:dyDescent="0.2">
      <c r="A98" s="1356">
        <f t="shared" si="150"/>
        <v>90</v>
      </c>
      <c r="B98" s="1046" t="s">
        <v>1481</v>
      </c>
      <c r="C98" s="534" t="s">
        <v>842</v>
      </c>
      <c r="D98" s="2023">
        <v>3</v>
      </c>
      <c r="E98" s="499" t="s">
        <v>462</v>
      </c>
      <c r="F98" s="2024" t="s">
        <v>1405</v>
      </c>
      <c r="G98" s="1353">
        <v>5.6000000000000001E-2</v>
      </c>
      <c r="H98" s="501">
        <f>H95</f>
        <v>25000</v>
      </c>
      <c r="I98" s="1359">
        <f t="shared" si="163"/>
        <v>1.4</v>
      </c>
      <c r="J98" s="503" t="str">
        <f t="shared" si="164"/>
        <v>1:24:00</v>
      </c>
      <c r="K98" s="2024">
        <v>1000</v>
      </c>
      <c r="L98" s="2009">
        <v>3.7</v>
      </c>
      <c r="M98" s="502">
        <f t="shared" si="165"/>
        <v>92.5</v>
      </c>
      <c r="N98" s="504">
        <v>1</v>
      </c>
      <c r="O98" s="502">
        <f t="shared" si="166"/>
        <v>92.5</v>
      </c>
      <c r="P98" s="502">
        <f t="shared" si="167"/>
        <v>27.75</v>
      </c>
      <c r="Q98" s="1364">
        <f t="shared" si="168"/>
        <v>212.75</v>
      </c>
      <c r="R98" s="1365">
        <f t="shared" si="169"/>
        <v>0</v>
      </c>
      <c r="S98" s="1365">
        <f t="shared" si="170"/>
        <v>64.250500000000002</v>
      </c>
      <c r="T98" s="1365">
        <f t="shared" si="171"/>
        <v>277.00049999999999</v>
      </c>
      <c r="U98" s="2028">
        <f t="shared" si="172"/>
        <v>1</v>
      </c>
      <c r="AD98" s="2141">
        <f t="shared" si="161"/>
        <v>4</v>
      </c>
      <c r="AE98" s="2142">
        <f t="shared" si="162"/>
        <v>1108.002</v>
      </c>
      <c r="AG98" s="2118" t="s">
        <v>1820</v>
      </c>
    </row>
    <row r="99" spans="1:33" hidden="1" outlineLevel="4" x14ac:dyDescent="0.2">
      <c r="A99" s="1356">
        <f t="shared" si="150"/>
        <v>91</v>
      </c>
      <c r="B99" s="584" t="s">
        <v>1482</v>
      </c>
      <c r="C99" s="534" t="s">
        <v>842</v>
      </c>
      <c r="D99" s="2023">
        <v>5</v>
      </c>
      <c r="E99" s="499" t="s">
        <v>462</v>
      </c>
      <c r="F99" s="2024" t="s">
        <v>1405</v>
      </c>
      <c r="G99" s="1353">
        <v>5.8999999999999997E-2</v>
      </c>
      <c r="H99" s="501">
        <f>IF(H107&gt;0,Исх!AB25,0)</f>
        <v>0</v>
      </c>
      <c r="I99" s="1359">
        <f t="shared" si="163"/>
        <v>0</v>
      </c>
      <c r="J99" s="503" t="str">
        <f t="shared" si="164"/>
        <v>0:0:00</v>
      </c>
      <c r="K99" s="2024">
        <v>1000</v>
      </c>
      <c r="L99" s="2009">
        <v>5.84</v>
      </c>
      <c r="M99" s="502">
        <f t="shared" si="165"/>
        <v>0</v>
      </c>
      <c r="N99" s="504">
        <v>1</v>
      </c>
      <c r="O99" s="502">
        <f t="shared" si="166"/>
        <v>0</v>
      </c>
      <c r="P99" s="502">
        <f t="shared" si="167"/>
        <v>0</v>
      </c>
      <c r="Q99" s="1364">
        <f t="shared" si="168"/>
        <v>0</v>
      </c>
      <c r="R99" s="1365">
        <f t="shared" si="169"/>
        <v>0</v>
      </c>
      <c r="S99" s="1365">
        <f t="shared" si="170"/>
        <v>0</v>
      </c>
      <c r="T99" s="1365">
        <f t="shared" si="171"/>
        <v>0</v>
      </c>
      <c r="U99" s="2028">
        <f t="shared" si="172"/>
        <v>0</v>
      </c>
      <c r="AD99" s="2141">
        <f t="shared" si="161"/>
        <v>4</v>
      </c>
      <c r="AE99" s="2142" t="str">
        <f t="shared" si="162"/>
        <v/>
      </c>
      <c r="AG99" s="2118" t="s">
        <v>1820</v>
      </c>
    </row>
    <row r="100" spans="1:33" hidden="1" outlineLevel="4" x14ac:dyDescent="0.2">
      <c r="A100" s="1356">
        <f t="shared" si="150"/>
        <v>92</v>
      </c>
      <c r="B100" s="584" t="s">
        <v>1483</v>
      </c>
      <c r="C100" s="534" t="s">
        <v>842</v>
      </c>
      <c r="D100" s="2023">
        <v>4</v>
      </c>
      <c r="E100" s="499" t="s">
        <v>462</v>
      </c>
      <c r="F100" s="2024" t="s">
        <v>1405</v>
      </c>
      <c r="G100" s="1353">
        <v>5.8999999999999997E-2</v>
      </c>
      <c r="H100" s="501">
        <f>H99</f>
        <v>0</v>
      </c>
      <c r="I100" s="1359">
        <f t="shared" si="163"/>
        <v>0</v>
      </c>
      <c r="J100" s="503" t="str">
        <f t="shared" si="164"/>
        <v>0:0:00</v>
      </c>
      <c r="K100" s="2024">
        <v>1000</v>
      </c>
      <c r="L100" s="2009">
        <v>4.87</v>
      </c>
      <c r="M100" s="502">
        <f t="shared" si="165"/>
        <v>0</v>
      </c>
      <c r="N100" s="504">
        <v>1</v>
      </c>
      <c r="O100" s="502">
        <f t="shared" si="166"/>
        <v>0</v>
      </c>
      <c r="P100" s="502">
        <f t="shared" si="167"/>
        <v>0</v>
      </c>
      <c r="Q100" s="1364">
        <f t="shared" si="168"/>
        <v>0</v>
      </c>
      <c r="R100" s="1365">
        <f t="shared" si="169"/>
        <v>0</v>
      </c>
      <c r="S100" s="1365">
        <f t="shared" si="170"/>
        <v>0</v>
      </c>
      <c r="T100" s="1365">
        <f t="shared" si="171"/>
        <v>0</v>
      </c>
      <c r="U100" s="2028">
        <f t="shared" si="172"/>
        <v>0</v>
      </c>
      <c r="AD100" s="2141">
        <f t="shared" si="161"/>
        <v>4</v>
      </c>
      <c r="AE100" s="2142" t="str">
        <f t="shared" si="162"/>
        <v/>
      </c>
      <c r="AG100" s="2118" t="s">
        <v>1820</v>
      </c>
    </row>
    <row r="101" spans="1:33" hidden="1" outlineLevel="4" x14ac:dyDescent="0.2">
      <c r="A101" s="1356">
        <f t="shared" si="150"/>
        <v>93</v>
      </c>
      <c r="B101" s="584" t="s">
        <v>1484</v>
      </c>
      <c r="C101" s="534" t="s">
        <v>842</v>
      </c>
      <c r="D101" s="2023">
        <v>3</v>
      </c>
      <c r="E101" s="499" t="s">
        <v>462</v>
      </c>
      <c r="F101" s="2024" t="s">
        <v>1405</v>
      </c>
      <c r="G101" s="1353">
        <v>5.8999999999999997E-2</v>
      </c>
      <c r="H101" s="501">
        <f>H99</f>
        <v>0</v>
      </c>
      <c r="I101" s="1359">
        <f t="shared" si="163"/>
        <v>0</v>
      </c>
      <c r="J101" s="503" t="str">
        <f t="shared" si="164"/>
        <v>0:0:00</v>
      </c>
      <c r="K101" s="2024">
        <v>1000</v>
      </c>
      <c r="L101" s="2009">
        <v>3.89</v>
      </c>
      <c r="M101" s="502">
        <f t="shared" si="165"/>
        <v>0</v>
      </c>
      <c r="N101" s="504">
        <v>1</v>
      </c>
      <c r="O101" s="502">
        <f t="shared" si="166"/>
        <v>0</v>
      </c>
      <c r="P101" s="502">
        <f t="shared" si="167"/>
        <v>0</v>
      </c>
      <c r="Q101" s="1364">
        <f t="shared" si="168"/>
        <v>0</v>
      </c>
      <c r="R101" s="1365">
        <f t="shared" si="169"/>
        <v>0</v>
      </c>
      <c r="S101" s="1365">
        <f t="shared" si="170"/>
        <v>0</v>
      </c>
      <c r="T101" s="1365">
        <f t="shared" si="171"/>
        <v>0</v>
      </c>
      <c r="U101" s="2028">
        <f t="shared" si="172"/>
        <v>0</v>
      </c>
      <c r="AD101" s="2141">
        <f t="shared" si="161"/>
        <v>4</v>
      </c>
      <c r="AE101" s="2142" t="str">
        <f t="shared" si="162"/>
        <v/>
      </c>
      <c r="AG101" s="2118" t="s">
        <v>1820</v>
      </c>
    </row>
    <row r="102" spans="1:33" hidden="1" outlineLevel="4" x14ac:dyDescent="0.2">
      <c r="A102" s="1356">
        <f t="shared" si="150"/>
        <v>94</v>
      </c>
      <c r="B102" s="584" t="s">
        <v>1484</v>
      </c>
      <c r="C102" s="534" t="s">
        <v>842</v>
      </c>
      <c r="D102" s="2023">
        <v>3</v>
      </c>
      <c r="E102" s="499" t="s">
        <v>462</v>
      </c>
      <c r="F102" s="2024" t="s">
        <v>1405</v>
      </c>
      <c r="G102" s="1353">
        <v>5.8999999999999997E-2</v>
      </c>
      <c r="H102" s="501">
        <f>H99</f>
        <v>0</v>
      </c>
      <c r="I102" s="1359">
        <f t="shared" si="163"/>
        <v>0</v>
      </c>
      <c r="J102" s="503" t="str">
        <f t="shared" si="164"/>
        <v>0:0:00</v>
      </c>
      <c r="K102" s="2024">
        <v>1000</v>
      </c>
      <c r="L102" s="2009">
        <v>3.89</v>
      </c>
      <c r="M102" s="502">
        <f t="shared" si="165"/>
        <v>0</v>
      </c>
      <c r="N102" s="504">
        <v>1</v>
      </c>
      <c r="O102" s="502">
        <f t="shared" si="166"/>
        <v>0</v>
      </c>
      <c r="P102" s="502">
        <f t="shared" si="167"/>
        <v>0</v>
      </c>
      <c r="Q102" s="1364">
        <f t="shared" si="168"/>
        <v>0</v>
      </c>
      <c r="R102" s="1365">
        <f t="shared" si="169"/>
        <v>0</v>
      </c>
      <c r="S102" s="1365">
        <f t="shared" si="170"/>
        <v>0</v>
      </c>
      <c r="T102" s="1365">
        <f t="shared" si="171"/>
        <v>0</v>
      </c>
      <c r="U102" s="2028">
        <f t="shared" si="172"/>
        <v>0</v>
      </c>
      <c r="AD102" s="2141">
        <f t="shared" si="161"/>
        <v>4</v>
      </c>
      <c r="AE102" s="2142" t="str">
        <f t="shared" si="162"/>
        <v/>
      </c>
      <c r="AG102" s="2118" t="s">
        <v>1820</v>
      </c>
    </row>
    <row r="103" spans="1:33" hidden="1" outlineLevel="4" x14ac:dyDescent="0.2">
      <c r="A103" s="1356">
        <f t="shared" si="150"/>
        <v>95</v>
      </c>
      <c r="B103" s="1046" t="s">
        <v>1485</v>
      </c>
      <c r="C103" s="534" t="s">
        <v>842</v>
      </c>
      <c r="D103" s="2023">
        <v>5</v>
      </c>
      <c r="E103" s="499" t="s">
        <v>462</v>
      </c>
      <c r="F103" s="2024" t="s">
        <v>1405</v>
      </c>
      <c r="G103" s="1353">
        <v>6.3E-2</v>
      </c>
      <c r="H103" s="501">
        <f>IF(H107&gt;0,Исх!AE25,0)</f>
        <v>0</v>
      </c>
      <c r="I103" s="1359">
        <f t="shared" si="149"/>
        <v>0</v>
      </c>
      <c r="J103" s="503" t="str">
        <f t="shared" si="141"/>
        <v>0:0:00</v>
      </c>
      <c r="K103" s="2024">
        <v>1000</v>
      </c>
      <c r="L103" s="2009">
        <v>6.24</v>
      </c>
      <c r="M103" s="502">
        <f t="shared" si="142"/>
        <v>0</v>
      </c>
      <c r="N103" s="504">
        <v>1</v>
      </c>
      <c r="O103" s="502">
        <f t="shared" si="143"/>
        <v>0</v>
      </c>
      <c r="P103" s="502">
        <f t="shared" si="144"/>
        <v>0</v>
      </c>
      <c r="Q103" s="1364">
        <f t="shared" si="145"/>
        <v>0</v>
      </c>
      <c r="R103" s="1365">
        <f t="shared" si="146"/>
        <v>0</v>
      </c>
      <c r="S103" s="1365">
        <f t="shared" si="147"/>
        <v>0</v>
      </c>
      <c r="T103" s="1365">
        <f t="shared" si="148"/>
        <v>0</v>
      </c>
      <c r="U103" s="2028">
        <f t="shared" si="19"/>
        <v>0</v>
      </c>
      <c r="AD103" s="2141">
        <f t="shared" si="161"/>
        <v>4</v>
      </c>
      <c r="AE103" s="2142" t="str">
        <f t="shared" si="162"/>
        <v/>
      </c>
      <c r="AG103" s="2118" t="s">
        <v>1820</v>
      </c>
    </row>
    <row r="104" spans="1:33" hidden="1" outlineLevel="4" x14ac:dyDescent="0.2">
      <c r="A104" s="1356">
        <f t="shared" si="150"/>
        <v>96</v>
      </c>
      <c r="B104" s="1046" t="s">
        <v>1486</v>
      </c>
      <c r="C104" s="534" t="s">
        <v>842</v>
      </c>
      <c r="D104" s="2023">
        <v>4</v>
      </c>
      <c r="E104" s="499" t="s">
        <v>462</v>
      </c>
      <c r="F104" s="2024" t="s">
        <v>1405</v>
      </c>
      <c r="G104" s="1353">
        <v>6.3E-2</v>
      </c>
      <c r="H104" s="501">
        <f>H103</f>
        <v>0</v>
      </c>
      <c r="I104" s="1359">
        <f t="shared" si="149"/>
        <v>0</v>
      </c>
      <c r="J104" s="503" t="str">
        <f t="shared" si="141"/>
        <v>0:0:00</v>
      </c>
      <c r="K104" s="2024">
        <v>1000</v>
      </c>
      <c r="L104" s="2009">
        <v>5.2</v>
      </c>
      <c r="M104" s="502">
        <f t="shared" si="142"/>
        <v>0</v>
      </c>
      <c r="N104" s="504">
        <v>1</v>
      </c>
      <c r="O104" s="502">
        <f t="shared" si="143"/>
        <v>0</v>
      </c>
      <c r="P104" s="502">
        <f t="shared" si="144"/>
        <v>0</v>
      </c>
      <c r="Q104" s="1364">
        <f t="shared" si="145"/>
        <v>0</v>
      </c>
      <c r="R104" s="1365">
        <f t="shared" si="146"/>
        <v>0</v>
      </c>
      <c r="S104" s="1365">
        <f t="shared" si="147"/>
        <v>0</v>
      </c>
      <c r="T104" s="1365">
        <f t="shared" si="148"/>
        <v>0</v>
      </c>
      <c r="U104" s="2028">
        <f t="shared" si="19"/>
        <v>0</v>
      </c>
      <c r="AD104" s="2141">
        <f t="shared" si="161"/>
        <v>4</v>
      </c>
      <c r="AE104" s="2142" t="str">
        <f t="shared" si="162"/>
        <v/>
      </c>
      <c r="AG104" s="2118" t="s">
        <v>1820</v>
      </c>
    </row>
    <row r="105" spans="1:33" hidden="1" outlineLevel="4" x14ac:dyDescent="0.2">
      <c r="A105" s="1356">
        <f t="shared" si="150"/>
        <v>97</v>
      </c>
      <c r="B105" s="1046" t="s">
        <v>1487</v>
      </c>
      <c r="C105" s="534" t="s">
        <v>842</v>
      </c>
      <c r="D105" s="2023">
        <v>3</v>
      </c>
      <c r="E105" s="499" t="s">
        <v>462</v>
      </c>
      <c r="F105" s="2024" t="s">
        <v>1405</v>
      </c>
      <c r="G105" s="1353">
        <v>6.3E-2</v>
      </c>
      <c r="H105" s="501">
        <f>H103</f>
        <v>0</v>
      </c>
      <c r="I105" s="1359">
        <f t="shared" si="149"/>
        <v>0</v>
      </c>
      <c r="J105" s="503" t="str">
        <f t="shared" si="141"/>
        <v>0:0:00</v>
      </c>
      <c r="K105" s="2024">
        <v>1000</v>
      </c>
      <c r="L105" s="2009">
        <v>4.16</v>
      </c>
      <c r="M105" s="502">
        <f t="shared" si="142"/>
        <v>0</v>
      </c>
      <c r="N105" s="504">
        <v>1</v>
      </c>
      <c r="O105" s="502">
        <f t="shared" si="143"/>
        <v>0</v>
      </c>
      <c r="P105" s="502">
        <f t="shared" si="144"/>
        <v>0</v>
      </c>
      <c r="Q105" s="1364">
        <f t="shared" si="145"/>
        <v>0</v>
      </c>
      <c r="R105" s="1365">
        <f t="shared" si="146"/>
        <v>0</v>
      </c>
      <c r="S105" s="1365">
        <f t="shared" si="147"/>
        <v>0</v>
      </c>
      <c r="T105" s="1365">
        <f t="shared" si="148"/>
        <v>0</v>
      </c>
      <c r="U105" s="2028">
        <f t="shared" si="19"/>
        <v>0</v>
      </c>
      <c r="AD105" s="2141">
        <f t="shared" si="161"/>
        <v>4</v>
      </c>
      <c r="AE105" s="2142" t="str">
        <f t="shared" si="162"/>
        <v/>
      </c>
      <c r="AG105" s="2118" t="s">
        <v>1820</v>
      </c>
    </row>
    <row r="106" spans="1:33" hidden="1" outlineLevel="4" x14ac:dyDescent="0.2">
      <c r="A106" s="1356">
        <f t="shared" si="150"/>
        <v>98</v>
      </c>
      <c r="B106" s="1046" t="s">
        <v>1487</v>
      </c>
      <c r="C106" s="534" t="s">
        <v>842</v>
      </c>
      <c r="D106" s="2023">
        <v>3</v>
      </c>
      <c r="E106" s="499" t="s">
        <v>462</v>
      </c>
      <c r="F106" s="2024" t="s">
        <v>1405</v>
      </c>
      <c r="G106" s="1353">
        <v>6.3E-2</v>
      </c>
      <c r="H106" s="501">
        <f>H103</f>
        <v>0</v>
      </c>
      <c r="I106" s="1359">
        <f t="shared" si="149"/>
        <v>0</v>
      </c>
      <c r="J106" s="503" t="str">
        <f t="shared" si="141"/>
        <v>0:0:00</v>
      </c>
      <c r="K106" s="2024">
        <v>1000</v>
      </c>
      <c r="L106" s="2009">
        <v>4.16</v>
      </c>
      <c r="M106" s="502">
        <f t="shared" si="142"/>
        <v>0</v>
      </c>
      <c r="N106" s="504">
        <v>1</v>
      </c>
      <c r="O106" s="502">
        <f t="shared" si="143"/>
        <v>0</v>
      </c>
      <c r="P106" s="502">
        <f t="shared" si="144"/>
        <v>0</v>
      </c>
      <c r="Q106" s="1364">
        <f t="shared" si="145"/>
        <v>0</v>
      </c>
      <c r="R106" s="1365">
        <f t="shared" si="146"/>
        <v>0</v>
      </c>
      <c r="S106" s="1365">
        <f t="shared" si="147"/>
        <v>0</v>
      </c>
      <c r="T106" s="1365">
        <f t="shared" si="148"/>
        <v>0</v>
      </c>
      <c r="U106" s="2028">
        <f t="shared" si="19"/>
        <v>0</v>
      </c>
      <c r="AD106" s="2141">
        <f t="shared" si="161"/>
        <v>4</v>
      </c>
      <c r="AE106" s="2142" t="str">
        <f t="shared" si="162"/>
        <v/>
      </c>
      <c r="AG106" s="2118" t="s">
        <v>1820</v>
      </c>
    </row>
    <row r="107" spans="1:33" outlineLevel="4" x14ac:dyDescent="0.2">
      <c r="A107" s="1356">
        <f t="shared" si="150"/>
        <v>99</v>
      </c>
      <c r="B107" s="497" t="s">
        <v>1488</v>
      </c>
      <c r="C107" s="534" t="s">
        <v>842</v>
      </c>
      <c r="D107" s="2023">
        <v>5</v>
      </c>
      <c r="E107" s="499" t="s">
        <v>462</v>
      </c>
      <c r="F107" s="2024" t="s">
        <v>303</v>
      </c>
      <c r="G107" s="1353">
        <v>6.7000000000000004E-2</v>
      </c>
      <c r="H107" s="501">
        <f>IF(OR(Исх!K3="А3",Исх!K3="А2"),Исх!N25,0)</f>
        <v>16</v>
      </c>
      <c r="I107" s="1359">
        <f t="shared" si="149"/>
        <v>1.0720000000000001</v>
      </c>
      <c r="J107" s="503" t="str">
        <f t="shared" si="141"/>
        <v>1:4:00</v>
      </c>
      <c r="K107" s="2024">
        <v>1</v>
      </c>
      <c r="L107" s="2009">
        <v>6.63</v>
      </c>
      <c r="M107" s="502">
        <f t="shared" si="142"/>
        <v>106.08</v>
      </c>
      <c r="N107" s="504">
        <v>1</v>
      </c>
      <c r="O107" s="502">
        <f t="shared" si="143"/>
        <v>106.08</v>
      </c>
      <c r="P107" s="502">
        <f t="shared" si="144"/>
        <v>31.823999999999998</v>
      </c>
      <c r="Q107" s="1364">
        <f t="shared" si="145"/>
        <v>243.98399999999998</v>
      </c>
      <c r="R107" s="1365">
        <f t="shared" si="146"/>
        <v>0</v>
      </c>
      <c r="S107" s="1365">
        <f t="shared" si="147"/>
        <v>73.683167999999995</v>
      </c>
      <c r="T107" s="1365">
        <f t="shared" si="148"/>
        <v>317.66716799999995</v>
      </c>
      <c r="U107" s="2028">
        <f t="shared" si="19"/>
        <v>1</v>
      </c>
      <c r="AD107" s="2141">
        <f t="shared" si="161"/>
        <v>4</v>
      </c>
      <c r="AE107" s="2142">
        <f t="shared" si="162"/>
        <v>1270.6686719999998</v>
      </c>
      <c r="AG107" s="2118" t="s">
        <v>1820</v>
      </c>
    </row>
    <row r="108" spans="1:33" outlineLevel="4" x14ac:dyDescent="0.2">
      <c r="A108" s="1356">
        <f t="shared" si="150"/>
        <v>100</v>
      </c>
      <c r="B108" s="497" t="s">
        <v>1489</v>
      </c>
      <c r="C108" s="534" t="s">
        <v>842</v>
      </c>
      <c r="D108" s="2023">
        <v>4</v>
      </c>
      <c r="E108" s="499" t="s">
        <v>462</v>
      </c>
      <c r="F108" s="2024" t="s">
        <v>303</v>
      </c>
      <c r="G108" s="1353">
        <v>6.7000000000000004E-2</v>
      </c>
      <c r="H108" s="501">
        <f>H107</f>
        <v>16</v>
      </c>
      <c r="I108" s="1359">
        <f t="shared" si="149"/>
        <v>1.0720000000000001</v>
      </c>
      <c r="J108" s="503" t="str">
        <f t="shared" si="141"/>
        <v>1:4:00</v>
      </c>
      <c r="K108" s="2024">
        <v>1</v>
      </c>
      <c r="L108" s="2009">
        <v>5.53</v>
      </c>
      <c r="M108" s="502">
        <f t="shared" si="142"/>
        <v>88.48</v>
      </c>
      <c r="N108" s="504">
        <v>1</v>
      </c>
      <c r="O108" s="502">
        <f t="shared" si="143"/>
        <v>88.48</v>
      </c>
      <c r="P108" s="502">
        <f t="shared" si="144"/>
        <v>26.544</v>
      </c>
      <c r="Q108" s="1364">
        <f t="shared" si="145"/>
        <v>203.50400000000002</v>
      </c>
      <c r="R108" s="1365">
        <f t="shared" si="146"/>
        <v>0</v>
      </c>
      <c r="S108" s="1365">
        <f t="shared" si="147"/>
        <v>61.458208000000006</v>
      </c>
      <c r="T108" s="1365">
        <f t="shared" si="148"/>
        <v>264.96220800000003</v>
      </c>
      <c r="U108" s="2028">
        <f t="shared" si="19"/>
        <v>1</v>
      </c>
      <c r="AD108" s="2141">
        <f t="shared" si="161"/>
        <v>4</v>
      </c>
      <c r="AE108" s="2142">
        <f t="shared" si="162"/>
        <v>1059.8488320000001</v>
      </c>
      <c r="AG108" s="2118" t="s">
        <v>1820</v>
      </c>
    </row>
    <row r="109" spans="1:33" outlineLevel="4" x14ac:dyDescent="0.2">
      <c r="A109" s="1356">
        <f t="shared" si="150"/>
        <v>101</v>
      </c>
      <c r="B109" s="497" t="s">
        <v>1490</v>
      </c>
      <c r="C109" s="534" t="s">
        <v>842</v>
      </c>
      <c r="D109" s="2023">
        <v>3</v>
      </c>
      <c r="E109" s="499" t="s">
        <v>462</v>
      </c>
      <c r="F109" s="2024" t="s">
        <v>303</v>
      </c>
      <c r="G109" s="1353">
        <v>6.7000000000000004E-2</v>
      </c>
      <c r="H109" s="501">
        <f>H107</f>
        <v>16</v>
      </c>
      <c r="I109" s="1359">
        <f t="shared" si="149"/>
        <v>1.0720000000000001</v>
      </c>
      <c r="J109" s="503" t="str">
        <f t="shared" si="141"/>
        <v>1:4:00</v>
      </c>
      <c r="K109" s="2024">
        <v>1</v>
      </c>
      <c r="L109" s="2009">
        <v>4.43</v>
      </c>
      <c r="M109" s="502">
        <f t="shared" si="142"/>
        <v>70.88</v>
      </c>
      <c r="N109" s="504">
        <v>1</v>
      </c>
      <c r="O109" s="502">
        <f t="shared" si="143"/>
        <v>70.88</v>
      </c>
      <c r="P109" s="502">
        <f t="shared" si="144"/>
        <v>21.263999999999999</v>
      </c>
      <c r="Q109" s="1364">
        <f t="shared" si="145"/>
        <v>163.024</v>
      </c>
      <c r="R109" s="1365">
        <f t="shared" si="146"/>
        <v>0</v>
      </c>
      <c r="S109" s="1365">
        <f t="shared" si="147"/>
        <v>49.233247999999996</v>
      </c>
      <c r="T109" s="1365">
        <f t="shared" si="148"/>
        <v>212.257248</v>
      </c>
      <c r="U109" s="2028">
        <f t="shared" si="19"/>
        <v>1</v>
      </c>
      <c r="AD109" s="2141">
        <f t="shared" si="161"/>
        <v>4</v>
      </c>
      <c r="AE109" s="2142">
        <f t="shared" si="162"/>
        <v>849.02899200000002</v>
      </c>
      <c r="AG109" s="2118" t="s">
        <v>1820</v>
      </c>
    </row>
    <row r="110" spans="1:33" outlineLevel="4" x14ac:dyDescent="0.2">
      <c r="A110" s="1356">
        <f t="shared" si="150"/>
        <v>102</v>
      </c>
      <c r="B110" s="497" t="s">
        <v>1490</v>
      </c>
      <c r="C110" s="534" t="s">
        <v>842</v>
      </c>
      <c r="D110" s="2023">
        <v>3</v>
      </c>
      <c r="E110" s="499" t="s">
        <v>462</v>
      </c>
      <c r="F110" s="2024" t="s">
        <v>303</v>
      </c>
      <c r="G110" s="1353">
        <v>6.7000000000000004E-2</v>
      </c>
      <c r="H110" s="501">
        <f>H107</f>
        <v>16</v>
      </c>
      <c r="I110" s="1359">
        <f t="shared" si="149"/>
        <v>1.0720000000000001</v>
      </c>
      <c r="J110" s="503" t="str">
        <f t="shared" si="141"/>
        <v>1:4:00</v>
      </c>
      <c r="K110" s="2024">
        <v>1</v>
      </c>
      <c r="L110" s="2009">
        <v>4.43</v>
      </c>
      <c r="M110" s="502">
        <f t="shared" si="142"/>
        <v>70.88</v>
      </c>
      <c r="N110" s="504">
        <v>1</v>
      </c>
      <c r="O110" s="502">
        <f t="shared" si="143"/>
        <v>70.88</v>
      </c>
      <c r="P110" s="502">
        <f t="shared" si="144"/>
        <v>21.263999999999999</v>
      </c>
      <c r="Q110" s="1364">
        <f t="shared" si="145"/>
        <v>163.024</v>
      </c>
      <c r="R110" s="1365">
        <f t="shared" si="146"/>
        <v>0</v>
      </c>
      <c r="S110" s="1365">
        <f t="shared" si="147"/>
        <v>49.233247999999996</v>
      </c>
      <c r="T110" s="1365">
        <f t="shared" si="148"/>
        <v>212.257248</v>
      </c>
      <c r="U110" s="2028">
        <f t="shared" si="19"/>
        <v>1</v>
      </c>
      <c r="AD110" s="2141">
        <f t="shared" si="161"/>
        <v>4</v>
      </c>
      <c r="AE110" s="2142">
        <f t="shared" si="162"/>
        <v>849.02899200000002</v>
      </c>
      <c r="AG110" s="2118" t="s">
        <v>1820</v>
      </c>
    </row>
    <row r="111" spans="1:33" s="512" customFormat="1" x14ac:dyDescent="0.2">
      <c r="A111" s="1356">
        <f t="shared" si="150"/>
        <v>103</v>
      </c>
      <c r="B111" s="505" t="s">
        <v>213</v>
      </c>
      <c r="C111" s="506"/>
      <c r="D111" s="507"/>
      <c r="E111" s="507"/>
      <c r="F111" s="508"/>
      <c r="G111" s="509"/>
      <c r="H111" s="506"/>
      <c r="I111" s="1433">
        <f>I4+I19+I37+I74</f>
        <v>2.472</v>
      </c>
      <c r="J111" s="510" t="str">
        <f t="shared" ref="J111" si="173">CONCATENATE(TRUNC(I111,0),":",INT((I111-(TRUNC(I111,0)))*60),":","00")</f>
        <v>2:28:00</v>
      </c>
      <c r="K111" s="508"/>
      <c r="L111" s="1444"/>
      <c r="M111" s="1440">
        <f>SUM(M4:M110)</f>
        <v>775.32</v>
      </c>
      <c r="N111" s="1441"/>
      <c r="O111" s="1440">
        <f>SUM(O4:O110)</f>
        <v>775.32</v>
      </c>
      <c r="P111" s="1441"/>
      <c r="Q111" s="1439">
        <f>SUM(Q4:Q110)</f>
        <v>1783.2359999999999</v>
      </c>
      <c r="R111" s="1439"/>
      <c r="S111" s="1439"/>
      <c r="T111" s="1439">
        <f>SUM(T4:T110)</f>
        <v>2321.7732719999999</v>
      </c>
      <c r="U111" s="2028">
        <f t="shared" si="19"/>
        <v>1</v>
      </c>
      <c r="AD111" s="2141" t="str">
        <f t="shared" si="161"/>
        <v/>
      </c>
      <c r="AE111" s="1439">
        <f>SUM(AE4:AE110)</f>
        <v>9287.0930879999996</v>
      </c>
      <c r="AG111" s="2118" t="s">
        <v>1815</v>
      </c>
    </row>
    <row r="112" spans="1:33" collapsed="1" x14ac:dyDescent="0.2">
      <c r="A112" s="1356"/>
      <c r="B112" s="485" t="s">
        <v>431</v>
      </c>
      <c r="C112" s="513"/>
      <c r="D112" s="2151"/>
      <c r="E112" s="513"/>
      <c r="F112" s="2163"/>
      <c r="G112" s="2176"/>
      <c r="H112" s="513"/>
      <c r="I112" s="1434"/>
      <c r="J112" s="514"/>
      <c r="K112" s="514"/>
      <c r="L112" s="515"/>
      <c r="M112" s="514"/>
      <c r="N112" s="514"/>
      <c r="O112" s="514"/>
      <c r="P112" s="514"/>
      <c r="Q112" s="1450"/>
      <c r="R112" s="1451"/>
      <c r="S112" s="1451"/>
      <c r="T112" s="1451"/>
      <c r="U112" s="2028">
        <v>1</v>
      </c>
      <c r="AD112" s="2141" t="str">
        <f>IF(D112&gt;0,LOOKUP(D112,$Z$30:$Z$33,$AA$30:$AA$33),"")</f>
        <v/>
      </c>
      <c r="AE112" s="2142" t="str">
        <f t="shared" si="162"/>
        <v/>
      </c>
      <c r="AG112" s="2118" t="s">
        <v>1816</v>
      </c>
    </row>
    <row r="113" spans="1:33" ht="15.75" hidden="1" outlineLevel="1" x14ac:dyDescent="0.2">
      <c r="A113" s="1356"/>
      <c r="B113" s="516" t="s">
        <v>464</v>
      </c>
      <c r="C113" s="517"/>
      <c r="D113" s="538"/>
      <c r="E113" s="518" t="s">
        <v>218</v>
      </c>
      <c r="F113" s="539"/>
      <c r="G113" s="2177"/>
      <c r="H113" s="520"/>
      <c r="I113" s="1435"/>
      <c r="J113" s="519"/>
      <c r="K113" s="519"/>
      <c r="L113" s="521"/>
      <c r="M113" s="519"/>
      <c r="N113" s="519"/>
      <c r="O113" s="519"/>
      <c r="P113" s="519"/>
      <c r="Q113" s="1452"/>
      <c r="R113" s="1453"/>
      <c r="S113" s="1453"/>
      <c r="T113" s="1453"/>
      <c r="U113" s="2028">
        <f t="shared" si="19"/>
        <v>0</v>
      </c>
      <c r="AD113" s="2141" t="str">
        <f t="shared" ref="AD113:AD176" si="174">IF(D113&gt;0,LOOKUP(D113,$Z$30:$Z$33,$AA$30:$AA$33),"")</f>
        <v/>
      </c>
      <c r="AE113" s="2142" t="str">
        <f t="shared" si="162"/>
        <v/>
      </c>
      <c r="AG113" s="2118" t="s">
        <v>1816</v>
      </c>
    </row>
    <row r="114" spans="1:33" ht="15" hidden="1" outlineLevel="1" x14ac:dyDescent="0.2">
      <c r="A114" s="1360"/>
      <c r="B114" s="1366" t="s">
        <v>1912</v>
      </c>
      <c r="C114" s="522"/>
      <c r="D114" s="2152"/>
      <c r="E114" s="523" t="s">
        <v>218</v>
      </c>
      <c r="F114" s="2164"/>
      <c r="G114" s="2178"/>
      <c r="H114" s="1367"/>
      <c r="I114" s="2043">
        <f>SUM(I115:I122)</f>
        <v>0</v>
      </c>
      <c r="J114" s="524"/>
      <c r="K114" s="524"/>
      <c r="L114" s="526"/>
      <c r="M114" s="1368"/>
      <c r="N114" s="524"/>
      <c r="O114" s="1369"/>
      <c r="P114" s="1368"/>
      <c r="Q114" s="1370"/>
      <c r="R114" s="1368"/>
      <c r="S114" s="1371">
        <f>SUM(T115:T122)</f>
        <v>0</v>
      </c>
      <c r="T114" s="1370"/>
      <c r="U114" s="2028">
        <f t="shared" si="19"/>
        <v>0</v>
      </c>
      <c r="V114" s="1357"/>
      <c r="W114" s="1357"/>
      <c r="X114" s="1357"/>
      <c r="Y114" s="1357"/>
      <c r="AD114" s="2141" t="str">
        <f t="shared" si="174"/>
        <v/>
      </c>
      <c r="AE114" s="2142" t="str">
        <f t="shared" si="162"/>
        <v/>
      </c>
      <c r="AG114" s="2118" t="s">
        <v>1816</v>
      </c>
    </row>
    <row r="115" spans="1:33" ht="28.5" hidden="1" outlineLevel="2" x14ac:dyDescent="0.2">
      <c r="A115" s="1360">
        <v>1</v>
      </c>
      <c r="B115" s="1372" t="s">
        <v>1425</v>
      </c>
      <c r="C115" s="1379" t="s">
        <v>704</v>
      </c>
      <c r="D115" s="1358">
        <v>4</v>
      </c>
      <c r="E115" s="499" t="s">
        <v>465</v>
      </c>
      <c r="F115" s="2024" t="s">
        <v>1405</v>
      </c>
      <c r="G115" s="1353">
        <v>7.1429999999999998</v>
      </c>
      <c r="H115" s="1373"/>
      <c r="I115" s="1359">
        <f t="shared" ref="I115:I122" si="175">IF(G115=0,0,IF(H115&gt;0,IF((G115*H115/K115)&lt;0.084,0.084,(G115*H115/K115)),0))</f>
        <v>0</v>
      </c>
      <c r="J115" s="1374" t="str">
        <f t="shared" ref="J115:J122" si="176">CONCATENATE(TRUNC(I115,0),":",INT((I115-(TRUNC(I115,0)))*60),":","00")</f>
        <v>0:0:00</v>
      </c>
      <c r="K115" s="2024">
        <v>1000</v>
      </c>
      <c r="L115" s="2009">
        <v>679.64</v>
      </c>
      <c r="M115" s="1375">
        <f t="shared" ref="M115:M122" si="177">H115*L115/K115</f>
        <v>0</v>
      </c>
      <c r="N115" s="1376">
        <v>1</v>
      </c>
      <c r="O115" s="1377">
        <f t="shared" ref="O115:O122" si="178">M115*N115</f>
        <v>0</v>
      </c>
      <c r="P115" s="1375">
        <f t="shared" ref="P115:P122" si="179">(M115+O115)*0.15</f>
        <v>0</v>
      </c>
      <c r="Q115" s="1378">
        <f t="shared" ref="Q115:Q122" si="180">M115+O115+P115</f>
        <v>0</v>
      </c>
      <c r="R115" s="1375">
        <f t="shared" ref="R115:R122" si="181">Q115*$R$1</f>
        <v>0</v>
      </c>
      <c r="S115" s="1375">
        <f t="shared" ref="S115:S122" si="182">(Q115+R115)*$S$1</f>
        <v>0</v>
      </c>
      <c r="T115" s="1375">
        <f t="shared" ref="T115:T122" si="183">Q115+R115+S115</f>
        <v>0</v>
      </c>
      <c r="U115" s="2028">
        <f t="shared" si="19"/>
        <v>0</v>
      </c>
      <c r="V115" s="1357"/>
      <c r="W115" s="1357"/>
      <c r="X115" s="1357"/>
      <c r="Y115" s="1357"/>
      <c r="AD115" s="2141">
        <f t="shared" si="174"/>
        <v>2.6</v>
      </c>
      <c r="AE115" s="2142" t="str">
        <f t="shared" si="162"/>
        <v/>
      </c>
      <c r="AG115" s="2118" t="s">
        <v>1816</v>
      </c>
    </row>
    <row r="116" spans="1:33" ht="28.5" hidden="1" outlineLevel="2" x14ac:dyDescent="0.2">
      <c r="A116" s="1360">
        <f>A115+1</f>
        <v>2</v>
      </c>
      <c r="B116" s="1372" t="s">
        <v>1426</v>
      </c>
      <c r="C116" s="1379" t="s">
        <v>704</v>
      </c>
      <c r="D116" s="1358">
        <v>4</v>
      </c>
      <c r="E116" s="499" t="s">
        <v>465</v>
      </c>
      <c r="F116" s="2024" t="s">
        <v>1405</v>
      </c>
      <c r="G116" s="1353">
        <v>5</v>
      </c>
      <c r="H116" s="1373">
        <f>IF(H115&gt;0,1,0)</f>
        <v>0</v>
      </c>
      <c r="I116" s="1359">
        <f t="shared" si="175"/>
        <v>0</v>
      </c>
      <c r="J116" s="1374" t="str">
        <f t="shared" si="176"/>
        <v>0:0:00</v>
      </c>
      <c r="K116" s="2024">
        <v>1000</v>
      </c>
      <c r="L116" s="2009">
        <v>475.75</v>
      </c>
      <c r="M116" s="1375">
        <f t="shared" si="177"/>
        <v>0</v>
      </c>
      <c r="N116" s="1376">
        <v>1</v>
      </c>
      <c r="O116" s="1377">
        <f t="shared" si="178"/>
        <v>0</v>
      </c>
      <c r="P116" s="1375">
        <f t="shared" si="179"/>
        <v>0</v>
      </c>
      <c r="Q116" s="1378">
        <f t="shared" si="180"/>
        <v>0</v>
      </c>
      <c r="R116" s="1375">
        <f t="shared" si="181"/>
        <v>0</v>
      </c>
      <c r="S116" s="1375">
        <f t="shared" si="182"/>
        <v>0</v>
      </c>
      <c r="T116" s="1375">
        <f t="shared" si="183"/>
        <v>0</v>
      </c>
      <c r="U116" s="2028">
        <f t="shared" si="19"/>
        <v>0</v>
      </c>
      <c r="V116" s="1357"/>
      <c r="W116" s="1357"/>
      <c r="X116" s="1357"/>
      <c r="Y116" s="1357"/>
      <c r="AD116" s="2141">
        <f t="shared" si="174"/>
        <v>2.6</v>
      </c>
      <c r="AE116" s="2142" t="str">
        <f t="shared" si="162"/>
        <v/>
      </c>
      <c r="AG116" s="2118" t="s">
        <v>1816</v>
      </c>
    </row>
    <row r="117" spans="1:33" ht="28.5" hidden="1" outlineLevel="2" x14ac:dyDescent="0.2">
      <c r="A117" s="1360">
        <f t="shared" ref="A117:A122" si="184">A116+1</f>
        <v>3</v>
      </c>
      <c r="B117" s="1372" t="s">
        <v>1427</v>
      </c>
      <c r="C117" s="1379" t="s">
        <v>705</v>
      </c>
      <c r="D117" s="1358">
        <v>4</v>
      </c>
      <c r="E117" s="499" t="s">
        <v>465</v>
      </c>
      <c r="F117" s="2024" t="s">
        <v>1405</v>
      </c>
      <c r="G117" s="1353">
        <v>5.2629999999999999</v>
      </c>
      <c r="H117" s="1373"/>
      <c r="I117" s="1359">
        <f t="shared" si="175"/>
        <v>0</v>
      </c>
      <c r="J117" s="1374" t="str">
        <f t="shared" si="176"/>
        <v>0:0:00</v>
      </c>
      <c r="K117" s="2024">
        <v>1000</v>
      </c>
      <c r="L117" s="2009">
        <v>500.79</v>
      </c>
      <c r="M117" s="1375">
        <f t="shared" si="177"/>
        <v>0</v>
      </c>
      <c r="N117" s="1376">
        <v>1</v>
      </c>
      <c r="O117" s="1377">
        <f t="shared" si="178"/>
        <v>0</v>
      </c>
      <c r="P117" s="1375">
        <f t="shared" si="179"/>
        <v>0</v>
      </c>
      <c r="Q117" s="1378">
        <f t="shared" si="180"/>
        <v>0</v>
      </c>
      <c r="R117" s="1375">
        <f t="shared" si="181"/>
        <v>0</v>
      </c>
      <c r="S117" s="1375">
        <f t="shared" si="182"/>
        <v>0</v>
      </c>
      <c r="T117" s="1375">
        <f t="shared" si="183"/>
        <v>0</v>
      </c>
      <c r="U117" s="2028">
        <f t="shared" ref="U117:U118" si="185">IF(T117&gt;0,1,0)</f>
        <v>0</v>
      </c>
      <c r="V117" s="1357"/>
      <c r="W117" s="1357"/>
      <c r="X117" s="1357"/>
      <c r="Y117" s="1357"/>
      <c r="AD117" s="2141">
        <f t="shared" si="174"/>
        <v>2.6</v>
      </c>
      <c r="AE117" s="2142" t="str">
        <f t="shared" si="162"/>
        <v/>
      </c>
      <c r="AG117" s="2118" t="s">
        <v>1816</v>
      </c>
    </row>
    <row r="118" spans="1:33" ht="28.5" hidden="1" outlineLevel="2" x14ac:dyDescent="0.2">
      <c r="A118" s="1360">
        <f t="shared" si="184"/>
        <v>4</v>
      </c>
      <c r="B118" s="1372" t="s">
        <v>1428</v>
      </c>
      <c r="C118" s="1379" t="s">
        <v>705</v>
      </c>
      <c r="D118" s="1358">
        <v>4</v>
      </c>
      <c r="E118" s="499" t="s">
        <v>465</v>
      </c>
      <c r="F118" s="2024" t="s">
        <v>1405</v>
      </c>
      <c r="G118" s="1353">
        <v>2.5</v>
      </c>
      <c r="H118" s="1373">
        <f>IF(H117&gt;0,1,0)</f>
        <v>0</v>
      </c>
      <c r="I118" s="1359">
        <f t="shared" si="175"/>
        <v>0</v>
      </c>
      <c r="J118" s="1374" t="str">
        <f t="shared" si="176"/>
        <v>0:0:00</v>
      </c>
      <c r="K118" s="2024">
        <v>1000</v>
      </c>
      <c r="L118" s="2009">
        <v>237.88</v>
      </c>
      <c r="M118" s="1375">
        <f t="shared" si="177"/>
        <v>0</v>
      </c>
      <c r="N118" s="1376">
        <v>1</v>
      </c>
      <c r="O118" s="1377">
        <f t="shared" si="178"/>
        <v>0</v>
      </c>
      <c r="P118" s="1375">
        <f t="shared" si="179"/>
        <v>0</v>
      </c>
      <c r="Q118" s="1378">
        <f t="shared" si="180"/>
        <v>0</v>
      </c>
      <c r="R118" s="1375">
        <f t="shared" si="181"/>
        <v>0</v>
      </c>
      <c r="S118" s="1375">
        <f t="shared" si="182"/>
        <v>0</v>
      </c>
      <c r="T118" s="1375">
        <f t="shared" si="183"/>
        <v>0</v>
      </c>
      <c r="U118" s="2028">
        <f t="shared" si="185"/>
        <v>0</v>
      </c>
      <c r="V118" s="1357"/>
      <c r="W118" s="1357"/>
      <c r="X118" s="1357"/>
      <c r="Y118" s="1357"/>
      <c r="AD118" s="2141">
        <f t="shared" si="174"/>
        <v>2.6</v>
      </c>
      <c r="AE118" s="2142" t="str">
        <f t="shared" si="162"/>
        <v/>
      </c>
      <c r="AG118" s="2118" t="s">
        <v>1816</v>
      </c>
    </row>
    <row r="119" spans="1:33" ht="14.25" hidden="1" outlineLevel="2" x14ac:dyDescent="0.2">
      <c r="A119" s="1360">
        <f t="shared" si="184"/>
        <v>5</v>
      </c>
      <c r="B119" s="1372" t="s">
        <v>1429</v>
      </c>
      <c r="C119" s="1379" t="s">
        <v>613</v>
      </c>
      <c r="D119" s="1358">
        <v>4</v>
      </c>
      <c r="E119" s="499" t="s">
        <v>465</v>
      </c>
      <c r="F119" s="2024" t="s">
        <v>303</v>
      </c>
      <c r="G119" s="1353">
        <v>1.5</v>
      </c>
      <c r="H119" s="1373"/>
      <c r="I119" s="1359">
        <f t="shared" si="175"/>
        <v>0</v>
      </c>
      <c r="J119" s="1374" t="str">
        <f t="shared" si="176"/>
        <v>0:0:00</v>
      </c>
      <c r="K119" s="2024">
        <v>1</v>
      </c>
      <c r="L119" s="2009">
        <v>142.65</v>
      </c>
      <c r="M119" s="1375">
        <f t="shared" si="177"/>
        <v>0</v>
      </c>
      <c r="N119" s="1376">
        <v>1</v>
      </c>
      <c r="O119" s="1377">
        <f t="shared" si="178"/>
        <v>0</v>
      </c>
      <c r="P119" s="1375">
        <f t="shared" si="179"/>
        <v>0</v>
      </c>
      <c r="Q119" s="1378">
        <f t="shared" si="180"/>
        <v>0</v>
      </c>
      <c r="R119" s="1375">
        <f t="shared" si="181"/>
        <v>0</v>
      </c>
      <c r="S119" s="1375">
        <f t="shared" si="182"/>
        <v>0</v>
      </c>
      <c r="T119" s="1375">
        <f t="shared" si="183"/>
        <v>0</v>
      </c>
      <c r="U119" s="2028">
        <f t="shared" ref="U119:U120" si="186">IF(T119&gt;0,1,0)</f>
        <v>0</v>
      </c>
      <c r="V119" s="1357"/>
      <c r="W119" s="1357"/>
      <c r="X119" s="1357"/>
      <c r="Y119" s="1357"/>
      <c r="AD119" s="2141">
        <f t="shared" si="174"/>
        <v>2.6</v>
      </c>
      <c r="AE119" s="2142" t="str">
        <f t="shared" si="162"/>
        <v/>
      </c>
      <c r="AG119" s="2118" t="s">
        <v>1816</v>
      </c>
    </row>
    <row r="120" spans="1:33" ht="14.25" hidden="1" outlineLevel="2" x14ac:dyDescent="0.2">
      <c r="A120" s="1360">
        <f t="shared" si="184"/>
        <v>6</v>
      </c>
      <c r="B120" s="1372" t="s">
        <v>1430</v>
      </c>
      <c r="C120" s="1379" t="s">
        <v>613</v>
      </c>
      <c r="D120" s="1358">
        <v>4</v>
      </c>
      <c r="E120" s="499" t="s">
        <v>465</v>
      </c>
      <c r="F120" s="2024" t="s">
        <v>303</v>
      </c>
      <c r="G120" s="1353">
        <v>1</v>
      </c>
      <c r="H120" s="1373">
        <f>IF(H119&gt;0,1,0)</f>
        <v>0</v>
      </c>
      <c r="I120" s="1359">
        <f t="shared" si="175"/>
        <v>0</v>
      </c>
      <c r="J120" s="1374" t="str">
        <f t="shared" si="176"/>
        <v>0:0:00</v>
      </c>
      <c r="K120" s="2024">
        <v>1</v>
      </c>
      <c r="L120" s="2009">
        <v>95.15</v>
      </c>
      <c r="M120" s="1375">
        <f t="shared" si="177"/>
        <v>0</v>
      </c>
      <c r="N120" s="1376">
        <v>1</v>
      </c>
      <c r="O120" s="1377">
        <f t="shared" si="178"/>
        <v>0</v>
      </c>
      <c r="P120" s="1375">
        <f t="shared" si="179"/>
        <v>0</v>
      </c>
      <c r="Q120" s="1378">
        <f t="shared" si="180"/>
        <v>0</v>
      </c>
      <c r="R120" s="1375">
        <f t="shared" si="181"/>
        <v>0</v>
      </c>
      <c r="S120" s="1375">
        <f t="shared" si="182"/>
        <v>0</v>
      </c>
      <c r="T120" s="1375">
        <f t="shared" si="183"/>
        <v>0</v>
      </c>
      <c r="U120" s="2028">
        <f t="shared" si="186"/>
        <v>0</v>
      </c>
      <c r="V120" s="1357"/>
      <c r="W120" s="1357"/>
      <c r="X120" s="1357"/>
      <c r="Y120" s="1357"/>
      <c r="AD120" s="2141">
        <f t="shared" si="174"/>
        <v>2.6</v>
      </c>
      <c r="AE120" s="2142" t="str">
        <f t="shared" si="162"/>
        <v/>
      </c>
      <c r="AG120" s="2118" t="s">
        <v>1816</v>
      </c>
    </row>
    <row r="121" spans="1:33" ht="14.25" hidden="1" outlineLevel="2" x14ac:dyDescent="0.2">
      <c r="A121" s="1360">
        <f t="shared" si="184"/>
        <v>7</v>
      </c>
      <c r="B121" s="1372" t="s">
        <v>1431</v>
      </c>
      <c r="C121" s="1379" t="s">
        <v>613</v>
      </c>
      <c r="D121" s="1358">
        <v>4</v>
      </c>
      <c r="E121" s="499" t="s">
        <v>465</v>
      </c>
      <c r="F121" s="2024" t="s">
        <v>303</v>
      </c>
      <c r="G121" s="1353">
        <v>0.66700000000000004</v>
      </c>
      <c r="H121" s="1373"/>
      <c r="I121" s="1359">
        <f t="shared" si="175"/>
        <v>0</v>
      </c>
      <c r="J121" s="1374" t="str">
        <f t="shared" si="176"/>
        <v>0:0:00</v>
      </c>
      <c r="K121" s="2024">
        <v>1</v>
      </c>
      <c r="L121" s="2009">
        <v>63.48</v>
      </c>
      <c r="M121" s="1375">
        <f t="shared" si="177"/>
        <v>0</v>
      </c>
      <c r="N121" s="1376">
        <v>1</v>
      </c>
      <c r="O121" s="1377">
        <f t="shared" si="178"/>
        <v>0</v>
      </c>
      <c r="P121" s="1375">
        <f t="shared" si="179"/>
        <v>0</v>
      </c>
      <c r="Q121" s="1378">
        <f t="shared" si="180"/>
        <v>0</v>
      </c>
      <c r="R121" s="1375">
        <f t="shared" si="181"/>
        <v>0</v>
      </c>
      <c r="S121" s="1375">
        <f t="shared" si="182"/>
        <v>0</v>
      </c>
      <c r="T121" s="1375">
        <f t="shared" si="183"/>
        <v>0</v>
      </c>
      <c r="U121" s="2028">
        <f t="shared" si="19"/>
        <v>0</v>
      </c>
      <c r="V121" s="1357"/>
      <c r="W121" s="1357"/>
      <c r="X121" s="1357"/>
      <c r="Y121" s="1357"/>
      <c r="AD121" s="2141">
        <f t="shared" si="174"/>
        <v>2.6</v>
      </c>
      <c r="AE121" s="2142" t="str">
        <f t="shared" si="162"/>
        <v/>
      </c>
      <c r="AG121" s="2118" t="s">
        <v>1816</v>
      </c>
    </row>
    <row r="122" spans="1:33" ht="14.25" hidden="1" outlineLevel="2" x14ac:dyDescent="0.2">
      <c r="A122" s="1360">
        <f t="shared" si="184"/>
        <v>8</v>
      </c>
      <c r="B122" s="1372" t="s">
        <v>1432</v>
      </c>
      <c r="C122" s="1379" t="s">
        <v>613</v>
      </c>
      <c r="D122" s="1358">
        <v>4</v>
      </c>
      <c r="E122" s="499" t="s">
        <v>465</v>
      </c>
      <c r="F122" s="2024" t="s">
        <v>303</v>
      </c>
      <c r="G122" s="1353">
        <v>0.33400000000000002</v>
      </c>
      <c r="H122" s="1373">
        <f>IF(H121&gt;0,1,0)</f>
        <v>0</v>
      </c>
      <c r="I122" s="1359">
        <f t="shared" si="175"/>
        <v>0</v>
      </c>
      <c r="J122" s="1374" t="str">
        <f t="shared" si="176"/>
        <v>0:0:00</v>
      </c>
      <c r="K122" s="2024">
        <v>1</v>
      </c>
      <c r="L122" s="2009">
        <v>31.78</v>
      </c>
      <c r="M122" s="1375">
        <f t="shared" si="177"/>
        <v>0</v>
      </c>
      <c r="N122" s="1376">
        <v>1</v>
      </c>
      <c r="O122" s="1377">
        <f t="shared" si="178"/>
        <v>0</v>
      </c>
      <c r="P122" s="1375">
        <f t="shared" si="179"/>
        <v>0</v>
      </c>
      <c r="Q122" s="1378">
        <f t="shared" si="180"/>
        <v>0</v>
      </c>
      <c r="R122" s="1375">
        <f t="shared" si="181"/>
        <v>0</v>
      </c>
      <c r="S122" s="1375">
        <f t="shared" si="182"/>
        <v>0</v>
      </c>
      <c r="T122" s="1375">
        <f t="shared" si="183"/>
        <v>0</v>
      </c>
      <c r="U122" s="2028">
        <f t="shared" si="19"/>
        <v>0</v>
      </c>
      <c r="V122" s="1357"/>
      <c r="W122" s="1357"/>
      <c r="X122" s="1357"/>
      <c r="Y122" s="1357"/>
      <c r="AD122" s="2141">
        <f t="shared" si="174"/>
        <v>2.6</v>
      </c>
      <c r="AE122" s="2142" t="str">
        <f t="shared" si="162"/>
        <v/>
      </c>
      <c r="AG122" s="2118" t="s">
        <v>1816</v>
      </c>
    </row>
    <row r="123" spans="1:33" ht="15" hidden="1" outlineLevel="1" x14ac:dyDescent="0.2">
      <c r="A123" s="1360"/>
      <c r="B123" s="1366" t="s">
        <v>437</v>
      </c>
      <c r="C123" s="522"/>
      <c r="D123" s="2152"/>
      <c r="E123" s="523" t="s">
        <v>218</v>
      </c>
      <c r="F123" s="2164"/>
      <c r="G123" s="2178"/>
      <c r="H123" s="1367"/>
      <c r="I123" s="2043">
        <f>SUM(I124:I127)</f>
        <v>0</v>
      </c>
      <c r="J123" s="524"/>
      <c r="K123" s="524"/>
      <c r="L123" s="526"/>
      <c r="M123" s="1368"/>
      <c r="N123" s="524"/>
      <c r="O123" s="1369"/>
      <c r="P123" s="1368"/>
      <c r="Q123" s="1370"/>
      <c r="R123" s="1368"/>
      <c r="S123" s="1371">
        <f>SUM(T124:T127)</f>
        <v>0</v>
      </c>
      <c r="T123" s="1370"/>
      <c r="U123" s="2028">
        <f t="shared" ref="U123:U127" si="187">IF(T123&gt;0,1,0)</f>
        <v>0</v>
      </c>
      <c r="V123" s="1357"/>
      <c r="W123" s="1357"/>
      <c r="X123" s="1357"/>
      <c r="Y123" s="1357"/>
      <c r="AD123" s="2141" t="str">
        <f t="shared" si="174"/>
        <v/>
      </c>
      <c r="AE123" s="2142" t="str">
        <f t="shared" si="162"/>
        <v/>
      </c>
      <c r="AG123" s="2118" t="s">
        <v>1816</v>
      </c>
    </row>
    <row r="124" spans="1:33" ht="14.25" hidden="1" outlineLevel="2" x14ac:dyDescent="0.2">
      <c r="A124" s="1360">
        <f>A122+1</f>
        <v>9</v>
      </c>
      <c r="B124" s="1372" t="s">
        <v>1491</v>
      </c>
      <c r="C124" s="1379" t="s">
        <v>437</v>
      </c>
      <c r="D124" s="1358">
        <v>4</v>
      </c>
      <c r="E124" s="499" t="s">
        <v>465</v>
      </c>
      <c r="F124" s="2024" t="s">
        <v>1492</v>
      </c>
      <c r="G124" s="1355">
        <v>1</v>
      </c>
      <c r="H124" s="1373"/>
      <c r="I124" s="1359">
        <f>IF(G124=0,0,IF(H124&gt;0,IF((G124*H124/K124)&lt;0.084,0.084,(G124*H124/K124)),0))</f>
        <v>0</v>
      </c>
      <c r="J124" s="1374" t="str">
        <f>CONCATENATE(TRUNC(I124,0),":",INT((I124-(TRUNC(I124,0)))*60),":","00")</f>
        <v>0:0:00</v>
      </c>
      <c r="K124" s="500">
        <v>1</v>
      </c>
      <c r="L124" s="2009">
        <v>95.15</v>
      </c>
      <c r="M124" s="1375">
        <f>H124*L124/K124</f>
        <v>0</v>
      </c>
      <c r="N124" s="1376">
        <v>1</v>
      </c>
      <c r="O124" s="1377">
        <f>M124*N124</f>
        <v>0</v>
      </c>
      <c r="P124" s="1375">
        <f>(M124+O124)*0.15</f>
        <v>0</v>
      </c>
      <c r="Q124" s="1378">
        <f>M124+O124+P124</f>
        <v>0</v>
      </c>
      <c r="R124" s="1375">
        <f>Q124*$R$1</f>
        <v>0</v>
      </c>
      <c r="S124" s="1375">
        <f>(Q124+R124)*$S$1</f>
        <v>0</v>
      </c>
      <c r="T124" s="1375">
        <f>Q124+R124+S124</f>
        <v>0</v>
      </c>
      <c r="U124" s="2028">
        <f t="shared" si="187"/>
        <v>0</v>
      </c>
      <c r="V124" s="1357"/>
      <c r="W124" s="1357"/>
      <c r="X124" s="1357"/>
      <c r="Y124" s="1357"/>
      <c r="Z124" s="2126">
        <v>95.15</v>
      </c>
      <c r="AD124" s="2141">
        <f t="shared" si="174"/>
        <v>2.6</v>
      </c>
      <c r="AE124" s="2142" t="str">
        <f t="shared" si="162"/>
        <v/>
      </c>
      <c r="AG124" s="2118" t="s">
        <v>1816</v>
      </c>
    </row>
    <row r="125" spans="1:33" ht="14.25" hidden="1" outlineLevel="2" x14ac:dyDescent="0.2">
      <c r="A125" s="1360">
        <f>A124+1</f>
        <v>10</v>
      </c>
      <c r="B125" s="1372" t="s">
        <v>1913</v>
      </c>
      <c r="C125" s="1379" t="s">
        <v>437</v>
      </c>
      <c r="D125" s="1358">
        <v>4</v>
      </c>
      <c r="E125" s="499" t="s">
        <v>465</v>
      </c>
      <c r="F125" s="2024" t="s">
        <v>1492</v>
      </c>
      <c r="G125" s="2040">
        <v>1</v>
      </c>
      <c r="H125" s="1373">
        <f>IF(H124&gt;0,1,0)</f>
        <v>0</v>
      </c>
      <c r="I125" s="1359">
        <f>IF(G125=0,0,IF(H125&gt;0,IF((G125*H125/K125)&lt;0.084,0.084,(G125*H125/K125)),0))</f>
        <v>0</v>
      </c>
      <c r="J125" s="1374" t="str">
        <f>CONCATENATE(TRUNC(I125,0),":",INT((I125-(TRUNC(I125,0)))*60),":","00")</f>
        <v>0:0:00</v>
      </c>
      <c r="K125" s="500">
        <v>1</v>
      </c>
      <c r="L125" s="2009">
        <v>104.66500000000002</v>
      </c>
      <c r="M125" s="1375">
        <f>H125*L125/K125</f>
        <v>0</v>
      </c>
      <c r="N125" s="1376">
        <v>1</v>
      </c>
      <c r="O125" s="1377">
        <f>M125*N125</f>
        <v>0</v>
      </c>
      <c r="P125" s="1375">
        <f>(M125+O125)*0.15</f>
        <v>0</v>
      </c>
      <c r="Q125" s="1378">
        <f>M125+O125+P125</f>
        <v>0</v>
      </c>
      <c r="R125" s="1375">
        <f>Q125*$R$1</f>
        <v>0</v>
      </c>
      <c r="S125" s="1375">
        <f>(Q125+R125)*$S$1</f>
        <v>0</v>
      </c>
      <c r="T125" s="1375">
        <f>Q125+R125+S125</f>
        <v>0</v>
      </c>
      <c r="U125" s="2028">
        <f t="shared" si="187"/>
        <v>0</v>
      </c>
      <c r="V125" s="1357"/>
      <c r="W125" s="1357"/>
      <c r="X125" s="1357"/>
      <c r="Y125" s="1357"/>
      <c r="AD125" s="2141">
        <f t="shared" si="174"/>
        <v>2.6</v>
      </c>
      <c r="AE125" s="2142" t="str">
        <f t="shared" si="162"/>
        <v/>
      </c>
      <c r="AG125" s="2118" t="s">
        <v>1816</v>
      </c>
    </row>
    <row r="126" spans="1:33" ht="14.25" hidden="1" outlineLevel="2" x14ac:dyDescent="0.2">
      <c r="A126" s="1360">
        <f t="shared" ref="A126:A127" si="188">A125+1</f>
        <v>11</v>
      </c>
      <c r="B126" s="1372" t="s">
        <v>1493</v>
      </c>
      <c r="C126" s="1379" t="s">
        <v>437</v>
      </c>
      <c r="D126" s="1358">
        <v>4</v>
      </c>
      <c r="E126" s="499" t="s">
        <v>465</v>
      </c>
      <c r="F126" s="2024" t="s">
        <v>303</v>
      </c>
      <c r="G126" s="1355">
        <v>3.2</v>
      </c>
      <c r="H126" s="1373"/>
      <c r="I126" s="1359">
        <f>IF(G126=0,0,IF(H126&gt;0,IF((G126*H126/K126)&lt;0.084,0.084,(G126*H126/K126)),0))</f>
        <v>0</v>
      </c>
      <c r="J126" s="1374" t="str">
        <f>CONCATENATE(TRUNC(I126,0),":",INT((I126-(TRUNC(I126,0)))*60),":","00")</f>
        <v>0:0:00</v>
      </c>
      <c r="K126" s="500">
        <v>1000</v>
      </c>
      <c r="L126" s="2009">
        <v>303.99</v>
      </c>
      <c r="M126" s="1375">
        <f>H126*L126/K126</f>
        <v>0</v>
      </c>
      <c r="N126" s="1376">
        <v>1</v>
      </c>
      <c r="O126" s="1377">
        <f>M126*N126</f>
        <v>0</v>
      </c>
      <c r="P126" s="1375">
        <f>(M126+O126)*0.15</f>
        <v>0</v>
      </c>
      <c r="Q126" s="1378">
        <f>M126+O126+P126</f>
        <v>0</v>
      </c>
      <c r="R126" s="1375">
        <f>Q126*$R$1</f>
        <v>0</v>
      </c>
      <c r="S126" s="1375">
        <f>(Q126+R126)*$S$1</f>
        <v>0</v>
      </c>
      <c r="T126" s="1375">
        <f>Q126+R126+S126</f>
        <v>0</v>
      </c>
      <c r="U126" s="2028">
        <f t="shared" si="187"/>
        <v>0</v>
      </c>
      <c r="V126" s="1357"/>
      <c r="W126" s="1357"/>
      <c r="X126" s="1357"/>
      <c r="Y126" s="1357"/>
      <c r="AD126" s="2141">
        <f t="shared" si="174"/>
        <v>2.6</v>
      </c>
      <c r="AE126" s="2142" t="str">
        <f t="shared" si="162"/>
        <v/>
      </c>
      <c r="AG126" s="2118" t="s">
        <v>1816</v>
      </c>
    </row>
    <row r="127" spans="1:33" ht="14.25" hidden="1" outlineLevel="2" x14ac:dyDescent="0.2">
      <c r="A127" s="1360">
        <f t="shared" si="188"/>
        <v>12</v>
      </c>
      <c r="B127" s="1372" t="s">
        <v>1494</v>
      </c>
      <c r="C127" s="1379" t="s">
        <v>437</v>
      </c>
      <c r="D127" s="1358">
        <v>4</v>
      </c>
      <c r="E127" s="499" t="s">
        <v>465</v>
      </c>
      <c r="F127" s="2024" t="s">
        <v>1492</v>
      </c>
      <c r="G127" s="1355">
        <v>0.28499999999999998</v>
      </c>
      <c r="H127" s="1373">
        <f>IF(H126&gt;0,1,0)</f>
        <v>0</v>
      </c>
      <c r="I127" s="1359">
        <f>IF(G127=0,0,IF(H127&gt;0,IF((G127*H127/K127)&lt;0.084,0.084,(G127*H127/K127)),0))</f>
        <v>0</v>
      </c>
      <c r="J127" s="1374" t="str">
        <f>CONCATENATE(TRUNC(I127,0),":",INT((I127-(TRUNC(I127,0)))*60),":","00")</f>
        <v>0:0:00</v>
      </c>
      <c r="K127" s="500">
        <v>1</v>
      </c>
      <c r="L127" s="2009">
        <v>27.12</v>
      </c>
      <c r="M127" s="1375">
        <f>H127*L127/K127</f>
        <v>0</v>
      </c>
      <c r="N127" s="1376">
        <v>1</v>
      </c>
      <c r="O127" s="1377">
        <f>M127*N127</f>
        <v>0</v>
      </c>
      <c r="P127" s="1375">
        <f>(M127+O127)*0.15</f>
        <v>0</v>
      </c>
      <c r="Q127" s="1378">
        <f>M127+O127+P127</f>
        <v>0</v>
      </c>
      <c r="R127" s="1375">
        <f>Q127*$R$1</f>
        <v>0</v>
      </c>
      <c r="S127" s="1375">
        <f>(Q127+R127)*$S$1</f>
        <v>0</v>
      </c>
      <c r="T127" s="1375">
        <f>Q127+R127+S127</f>
        <v>0</v>
      </c>
      <c r="U127" s="2028">
        <f t="shared" si="187"/>
        <v>0</v>
      </c>
      <c r="V127" s="1357"/>
      <c r="W127" s="1357"/>
      <c r="X127" s="1357"/>
      <c r="Y127" s="1357"/>
      <c r="AD127" s="2141">
        <f t="shared" si="174"/>
        <v>2.6</v>
      </c>
      <c r="AE127" s="2142" t="str">
        <f t="shared" si="162"/>
        <v/>
      </c>
      <c r="AG127" s="2118" t="s">
        <v>1816</v>
      </c>
    </row>
    <row r="128" spans="1:33" ht="15" hidden="1" outlineLevel="1" x14ac:dyDescent="0.2">
      <c r="A128" s="1356"/>
      <c r="B128" s="1366" t="s">
        <v>1914</v>
      </c>
      <c r="C128" s="522"/>
      <c r="D128" s="2152"/>
      <c r="E128" s="523" t="s">
        <v>218</v>
      </c>
      <c r="F128" s="2164"/>
      <c r="G128" s="2179"/>
      <c r="H128" s="525"/>
      <c r="I128" s="2043">
        <f>I129+I147+I166+I185+I204+I223+I225+I239+I253+I267+I281+I295+I297+I307+I317+I327+I337+I347+I349+I357+I365+I373+I381+I389</f>
        <v>0</v>
      </c>
      <c r="J128" s="524"/>
      <c r="K128" s="524"/>
      <c r="L128" s="526"/>
      <c r="M128" s="524"/>
      <c r="N128" s="524"/>
      <c r="O128" s="524"/>
      <c r="P128" s="524"/>
      <c r="Q128" s="1454"/>
      <c r="R128" s="1369"/>
      <c r="S128" s="2125">
        <f>SUM(T128:T390)</f>
        <v>0</v>
      </c>
      <c r="T128" s="1369"/>
      <c r="U128" s="2028">
        <f>IF(T128&gt;0,1,0)</f>
        <v>0</v>
      </c>
      <c r="AD128" s="2141" t="str">
        <f t="shared" si="174"/>
        <v/>
      </c>
      <c r="AE128" s="2142" t="str">
        <f t="shared" si="162"/>
        <v/>
      </c>
      <c r="AG128" s="2118" t="s">
        <v>1816</v>
      </c>
    </row>
    <row r="129" spans="1:33" ht="14.25" hidden="1" outlineLevel="2" x14ac:dyDescent="0.2">
      <c r="A129" s="1360"/>
      <c r="B129" s="557" t="s">
        <v>1072</v>
      </c>
      <c r="C129" s="522"/>
      <c r="D129" s="2152"/>
      <c r="E129" s="523" t="s">
        <v>218</v>
      </c>
      <c r="F129" s="2164"/>
      <c r="G129" s="2178"/>
      <c r="H129" s="525"/>
      <c r="I129" s="2043">
        <f>SUM(I130:I146)</f>
        <v>0</v>
      </c>
      <c r="J129" s="524"/>
      <c r="K129" s="524"/>
      <c r="L129" s="526"/>
      <c r="M129" s="524"/>
      <c r="N129" s="524"/>
      <c r="O129" s="524"/>
      <c r="P129" s="524"/>
      <c r="Q129" s="1454"/>
      <c r="R129" s="1369"/>
      <c r="S129" s="1369"/>
      <c r="T129" s="1369"/>
      <c r="U129" s="2028">
        <f t="shared" si="19"/>
        <v>0</v>
      </c>
      <c r="V129" s="1357"/>
      <c r="W129" s="1357"/>
      <c r="X129" s="1357"/>
      <c r="Y129" s="1357"/>
      <c r="AD129" s="2141" t="str">
        <f t="shared" si="174"/>
        <v/>
      </c>
      <c r="AE129" s="2142" t="str">
        <f t="shared" si="162"/>
        <v/>
      </c>
      <c r="AG129" s="2118" t="s">
        <v>1816</v>
      </c>
    </row>
    <row r="130" spans="1:33" ht="25.5" hidden="1" outlineLevel="3" x14ac:dyDescent="0.2">
      <c r="A130" s="1360">
        <v>600</v>
      </c>
      <c r="B130" s="738" t="s">
        <v>617</v>
      </c>
      <c r="C130" s="532" t="s">
        <v>1071</v>
      </c>
      <c r="D130" s="2153">
        <v>4</v>
      </c>
      <c r="E130" s="560" t="s">
        <v>502</v>
      </c>
      <c r="F130" s="2165" t="s">
        <v>312</v>
      </c>
      <c r="G130" s="2180">
        <f>0.013+0.097</f>
        <v>0.11</v>
      </c>
      <c r="H130" s="740">
        <f>SUMIFS(Исх!$BP$30:$BP$41,Исх!$BQ$30:$BQ$41,Трудозатраты!$W130,Исх!$BN$30:$BN$41,Трудозатраты!Y130)</f>
        <v>0</v>
      </c>
      <c r="I130" s="1359">
        <f t="shared" ref="I130:I146" si="189">IF(H130&gt;0,IF((G130*H130/K130)&lt;0.084,0.084,(G130*H130/K130)),0)</f>
        <v>0</v>
      </c>
      <c r="J130" s="562" t="str">
        <f t="shared" ref="J130:J146" si="190">CONCATENATE(TRUNC(I130,0),":",INT((I130-(TRUNC(I130,0)))*60),":","00")</f>
        <v>0:0:00</v>
      </c>
      <c r="K130" s="563">
        <v>1000</v>
      </c>
      <c r="L130" s="2127">
        <f t="shared" ref="L130:L146" si="191">РезкаПодрезка</f>
        <v>95.15</v>
      </c>
      <c r="M130" s="561">
        <f t="shared" ref="M130:M146" si="192">I130*L130</f>
        <v>0</v>
      </c>
      <c r="N130" s="564">
        <v>1</v>
      </c>
      <c r="O130" s="561">
        <f t="shared" ref="O130:O146" si="193">M130*N130</f>
        <v>0</v>
      </c>
      <c r="P130" s="561">
        <f t="shared" ref="P130:P146" si="194">(M130+O130)*0.15</f>
        <v>0</v>
      </c>
      <c r="Q130" s="1455">
        <f t="shared" ref="Q130:Q146" si="195">M130+O130+P130</f>
        <v>0</v>
      </c>
      <c r="R130" s="1456">
        <f t="shared" ref="R130:R146" si="196">Q130*$R$1</f>
        <v>0</v>
      </c>
      <c r="S130" s="1456">
        <f t="shared" ref="S130:S146" si="197">(Q130+R130)*$S$1</f>
        <v>0</v>
      </c>
      <c r="T130" s="1456">
        <f t="shared" ref="T130" si="198">Q130+R130+S130</f>
        <v>0</v>
      </c>
      <c r="U130" s="2028">
        <f>IF(T130&gt;0,1,0)</f>
        <v>0</v>
      </c>
      <c r="V130" s="1357"/>
      <c r="W130" s="1361">
        <v>90</v>
      </c>
      <c r="X130" s="1362"/>
      <c r="Y130" s="1363" t="s">
        <v>642</v>
      </c>
      <c r="AD130" s="2141">
        <f t="shared" si="174"/>
        <v>2.6</v>
      </c>
      <c r="AE130" s="2142" t="str">
        <f t="shared" si="162"/>
        <v/>
      </c>
      <c r="AG130" s="2118" t="s">
        <v>1816</v>
      </c>
    </row>
    <row r="131" spans="1:33" ht="25.5" hidden="1" outlineLevel="3" x14ac:dyDescent="0.2">
      <c r="A131" s="1360">
        <f>A130+1</f>
        <v>601</v>
      </c>
      <c r="B131" s="738" t="s">
        <v>618</v>
      </c>
      <c r="C131" s="532" t="s">
        <v>1071</v>
      </c>
      <c r="D131" s="2153">
        <v>4</v>
      </c>
      <c r="E131" s="560" t="s">
        <v>502</v>
      </c>
      <c r="F131" s="2165" t="s">
        <v>312</v>
      </c>
      <c r="G131" s="2180">
        <f>0.026+0.097</f>
        <v>0.123</v>
      </c>
      <c r="H131" s="740">
        <f>SUMIFS(Исх!$BP$30:$BP$41,Исх!$BQ$30:$BQ$41,Трудозатраты!$W131,Исх!$BN$30:$BN$41,Трудозатраты!Y131)</f>
        <v>0</v>
      </c>
      <c r="I131" s="1359">
        <f t="shared" si="189"/>
        <v>0</v>
      </c>
      <c r="J131" s="562" t="str">
        <f t="shared" si="190"/>
        <v>0:0:00</v>
      </c>
      <c r="K131" s="563">
        <v>1000</v>
      </c>
      <c r="L131" s="2127">
        <f t="shared" si="191"/>
        <v>95.15</v>
      </c>
      <c r="M131" s="561">
        <f t="shared" si="192"/>
        <v>0</v>
      </c>
      <c r="N131" s="564">
        <v>1</v>
      </c>
      <c r="O131" s="561">
        <f t="shared" si="193"/>
        <v>0</v>
      </c>
      <c r="P131" s="561">
        <f t="shared" si="194"/>
        <v>0</v>
      </c>
      <c r="Q131" s="1455">
        <f t="shared" si="195"/>
        <v>0</v>
      </c>
      <c r="R131" s="1456">
        <f t="shared" si="196"/>
        <v>0</v>
      </c>
      <c r="S131" s="1456">
        <f t="shared" si="197"/>
        <v>0</v>
      </c>
      <c r="T131" s="1456">
        <f>Q131+R131+S131</f>
        <v>0</v>
      </c>
      <c r="U131" s="2028">
        <f t="shared" ref="U131:U194" si="199">IF(T131&gt;0,1,0)</f>
        <v>0</v>
      </c>
      <c r="V131" s="1357"/>
      <c r="W131" s="1361">
        <v>90</v>
      </c>
      <c r="X131" s="1362"/>
      <c r="Y131" s="1363" t="s">
        <v>643</v>
      </c>
      <c r="AD131" s="2141">
        <f t="shared" si="174"/>
        <v>2.6</v>
      </c>
      <c r="AE131" s="2142" t="str">
        <f t="shared" si="162"/>
        <v/>
      </c>
      <c r="AG131" s="2118" t="s">
        <v>1816</v>
      </c>
    </row>
    <row r="132" spans="1:33" ht="25.5" hidden="1" outlineLevel="3" x14ac:dyDescent="0.2">
      <c r="A132" s="1360">
        <f>A131+1</f>
        <v>602</v>
      </c>
      <c r="B132" s="739" t="s">
        <v>619</v>
      </c>
      <c r="C132" s="532" t="s">
        <v>1071</v>
      </c>
      <c r="D132" s="2153">
        <v>4</v>
      </c>
      <c r="E132" s="560" t="s">
        <v>502</v>
      </c>
      <c r="F132" s="2165" t="s">
        <v>312</v>
      </c>
      <c r="G132" s="2180">
        <f>0.079+0.097</f>
        <v>0.17599999999999999</v>
      </c>
      <c r="H132" s="740">
        <f>SUMIFS(Исх!$BP$30:$BP$41,Исх!$BQ$30:$BQ$41,Трудозатраты!$W132,Исх!$BN$30:$BN$41,Трудозатраты!Y132)</f>
        <v>0</v>
      </c>
      <c r="I132" s="1359">
        <f t="shared" si="189"/>
        <v>0</v>
      </c>
      <c r="J132" s="562" t="str">
        <f t="shared" si="190"/>
        <v>0:0:00</v>
      </c>
      <c r="K132" s="563">
        <v>1000</v>
      </c>
      <c r="L132" s="2127">
        <f t="shared" si="191"/>
        <v>95.15</v>
      </c>
      <c r="M132" s="561">
        <f t="shared" si="192"/>
        <v>0</v>
      </c>
      <c r="N132" s="564">
        <v>1</v>
      </c>
      <c r="O132" s="561">
        <f t="shared" si="193"/>
        <v>0</v>
      </c>
      <c r="P132" s="561">
        <f t="shared" si="194"/>
        <v>0</v>
      </c>
      <c r="Q132" s="1455">
        <f t="shared" si="195"/>
        <v>0</v>
      </c>
      <c r="R132" s="1456">
        <f t="shared" si="196"/>
        <v>0</v>
      </c>
      <c r="S132" s="1456">
        <f t="shared" si="197"/>
        <v>0</v>
      </c>
      <c r="T132" s="1456">
        <f t="shared" ref="T132" si="200">Q132+R132+S132</f>
        <v>0</v>
      </c>
      <c r="U132" s="2028">
        <f t="shared" si="199"/>
        <v>0</v>
      </c>
      <c r="V132" s="1357"/>
      <c r="W132" s="1361">
        <v>90</v>
      </c>
      <c r="X132" s="1362"/>
      <c r="Y132" s="1363" t="s">
        <v>644</v>
      </c>
      <c r="AD132" s="2141">
        <f t="shared" si="174"/>
        <v>2.6</v>
      </c>
      <c r="AE132" s="2142" t="str">
        <f t="shared" si="162"/>
        <v/>
      </c>
      <c r="AG132" s="2118" t="s">
        <v>1816</v>
      </c>
    </row>
    <row r="133" spans="1:33" ht="25.5" hidden="1" outlineLevel="3" x14ac:dyDescent="0.2">
      <c r="A133" s="1360">
        <f t="shared" ref="A133:A146" si="201">A132+1</f>
        <v>603</v>
      </c>
      <c r="B133" s="739" t="s">
        <v>620</v>
      </c>
      <c r="C133" s="532" t="s">
        <v>1071</v>
      </c>
      <c r="D133" s="2153">
        <v>4</v>
      </c>
      <c r="E133" s="560" t="s">
        <v>502</v>
      </c>
      <c r="F133" s="2165" t="s">
        <v>312</v>
      </c>
      <c r="G133" s="2180">
        <f>0.095+0.097</f>
        <v>0.192</v>
      </c>
      <c r="H133" s="740">
        <f>SUMIFS(Исх!$BP$30:$BP$41,Исх!$BQ$30:$BQ$41,Трудозатраты!$W133,Исх!$BN$30:$BN$41,Трудозатраты!Y133)</f>
        <v>0</v>
      </c>
      <c r="I133" s="1359">
        <f t="shared" si="189"/>
        <v>0</v>
      </c>
      <c r="J133" s="562" t="str">
        <f t="shared" si="190"/>
        <v>0:0:00</v>
      </c>
      <c r="K133" s="563">
        <v>1000</v>
      </c>
      <c r="L133" s="2127">
        <f t="shared" si="191"/>
        <v>95.15</v>
      </c>
      <c r="M133" s="561">
        <f t="shared" si="192"/>
        <v>0</v>
      </c>
      <c r="N133" s="564">
        <v>1</v>
      </c>
      <c r="O133" s="561">
        <f t="shared" si="193"/>
        <v>0</v>
      </c>
      <c r="P133" s="561">
        <f t="shared" si="194"/>
        <v>0</v>
      </c>
      <c r="Q133" s="565">
        <f t="shared" si="195"/>
        <v>0</v>
      </c>
      <c r="R133" s="566">
        <f t="shared" si="196"/>
        <v>0</v>
      </c>
      <c r="S133" s="566">
        <f t="shared" si="197"/>
        <v>0</v>
      </c>
      <c r="T133" s="566">
        <f>Q133+R133+S133</f>
        <v>0</v>
      </c>
      <c r="U133" s="2028">
        <f t="shared" si="199"/>
        <v>0</v>
      </c>
      <c r="V133" s="1357"/>
      <c r="W133" s="1361">
        <v>90</v>
      </c>
      <c r="X133" s="1362"/>
      <c r="Y133" s="1363" t="s">
        <v>645</v>
      </c>
      <c r="AD133" s="2141">
        <f t="shared" si="174"/>
        <v>2.6</v>
      </c>
      <c r="AE133" s="2142" t="str">
        <f t="shared" si="162"/>
        <v/>
      </c>
      <c r="AG133" s="2118" t="s">
        <v>1816</v>
      </c>
    </row>
    <row r="134" spans="1:33" ht="25.5" hidden="1" outlineLevel="3" x14ac:dyDescent="0.2">
      <c r="A134" s="1360">
        <f t="shared" si="201"/>
        <v>604</v>
      </c>
      <c r="B134" s="739" t="s">
        <v>621</v>
      </c>
      <c r="C134" s="532" t="s">
        <v>1071</v>
      </c>
      <c r="D134" s="2153">
        <v>4</v>
      </c>
      <c r="E134" s="560" t="s">
        <v>502</v>
      </c>
      <c r="F134" s="2165" t="s">
        <v>312</v>
      </c>
      <c r="G134" s="2180">
        <f>0.107+0.097</f>
        <v>0.20400000000000001</v>
      </c>
      <c r="H134" s="740">
        <f>SUMIFS(Исх!$BP$30:$BP$41,Исх!$BQ$30:$BQ$41,Трудозатраты!$W134,Исх!$BN$30:$BN$41,Трудозатраты!Y134)</f>
        <v>0</v>
      </c>
      <c r="I134" s="1359">
        <f t="shared" si="189"/>
        <v>0</v>
      </c>
      <c r="J134" s="562" t="str">
        <f t="shared" si="190"/>
        <v>0:0:00</v>
      </c>
      <c r="K134" s="563">
        <v>1000</v>
      </c>
      <c r="L134" s="2127">
        <f t="shared" si="191"/>
        <v>95.15</v>
      </c>
      <c r="M134" s="561">
        <f t="shared" si="192"/>
        <v>0</v>
      </c>
      <c r="N134" s="564">
        <v>1</v>
      </c>
      <c r="O134" s="561">
        <f t="shared" si="193"/>
        <v>0</v>
      </c>
      <c r="P134" s="561">
        <f t="shared" si="194"/>
        <v>0</v>
      </c>
      <c r="Q134" s="565">
        <f t="shared" si="195"/>
        <v>0</v>
      </c>
      <c r="R134" s="566">
        <f t="shared" si="196"/>
        <v>0</v>
      </c>
      <c r="S134" s="566">
        <f t="shared" si="197"/>
        <v>0</v>
      </c>
      <c r="T134" s="566">
        <f t="shared" ref="T134" si="202">Q134+R134+S134</f>
        <v>0</v>
      </c>
      <c r="U134" s="2028">
        <f t="shared" si="199"/>
        <v>0</v>
      </c>
      <c r="V134" s="1357"/>
      <c r="W134" s="1361">
        <v>90</v>
      </c>
      <c r="X134" s="1362"/>
      <c r="Y134" s="1363" t="s">
        <v>646</v>
      </c>
      <c r="AD134" s="2141">
        <f t="shared" si="174"/>
        <v>2.6</v>
      </c>
      <c r="AE134" s="2142" t="str">
        <f t="shared" si="162"/>
        <v/>
      </c>
      <c r="AG134" s="2118" t="s">
        <v>1816</v>
      </c>
    </row>
    <row r="135" spans="1:33" ht="25.5" hidden="1" outlineLevel="3" x14ac:dyDescent="0.2">
      <c r="A135" s="1360">
        <f t="shared" si="201"/>
        <v>605</v>
      </c>
      <c r="B135" s="558" t="s">
        <v>501</v>
      </c>
      <c r="C135" s="532" t="s">
        <v>1071</v>
      </c>
      <c r="D135" s="2153">
        <v>4</v>
      </c>
      <c r="E135" s="560" t="s">
        <v>502</v>
      </c>
      <c r="F135" s="2153" t="s">
        <v>312</v>
      </c>
      <c r="G135" s="2180">
        <v>6.7000000000000002E-3</v>
      </c>
      <c r="H135" s="164">
        <f>SUM(H137:H146)*3</f>
        <v>0</v>
      </c>
      <c r="I135" s="1359">
        <f t="shared" si="189"/>
        <v>0</v>
      </c>
      <c r="J135" s="562" t="str">
        <f t="shared" si="190"/>
        <v>0:0:00</v>
      </c>
      <c r="K135" s="563">
        <v>1000</v>
      </c>
      <c r="L135" s="2127">
        <f t="shared" si="191"/>
        <v>95.15</v>
      </c>
      <c r="M135" s="561">
        <f t="shared" si="192"/>
        <v>0</v>
      </c>
      <c r="N135" s="564">
        <v>1</v>
      </c>
      <c r="O135" s="561">
        <f t="shared" si="193"/>
        <v>0</v>
      </c>
      <c r="P135" s="561">
        <f t="shared" si="194"/>
        <v>0</v>
      </c>
      <c r="Q135" s="565">
        <f t="shared" si="195"/>
        <v>0</v>
      </c>
      <c r="R135" s="566">
        <f t="shared" si="196"/>
        <v>0</v>
      </c>
      <c r="S135" s="566">
        <f t="shared" si="197"/>
        <v>0</v>
      </c>
      <c r="T135" s="566">
        <f>Q135+R135+S135</f>
        <v>0</v>
      </c>
      <c r="U135" s="2028">
        <f t="shared" si="199"/>
        <v>0</v>
      </c>
      <c r="V135" s="1357"/>
      <c r="W135" s="1361"/>
      <c r="X135" s="1361"/>
      <c r="Y135" s="1361"/>
      <c r="AD135" s="2141">
        <f t="shared" si="174"/>
        <v>2.6</v>
      </c>
      <c r="AE135" s="2142" t="str">
        <f t="shared" si="162"/>
        <v/>
      </c>
      <c r="AG135" s="2118" t="s">
        <v>1816</v>
      </c>
    </row>
    <row r="136" spans="1:33" ht="25.5" hidden="1" outlineLevel="3" x14ac:dyDescent="0.2">
      <c r="A136" s="1360">
        <f t="shared" si="201"/>
        <v>606</v>
      </c>
      <c r="B136" s="567" t="s">
        <v>503</v>
      </c>
      <c r="C136" s="532" t="s">
        <v>1071</v>
      </c>
      <c r="D136" s="2153">
        <v>4</v>
      </c>
      <c r="E136" s="560" t="s">
        <v>502</v>
      </c>
      <c r="F136" s="2153" t="s">
        <v>312</v>
      </c>
      <c r="G136" s="2180">
        <v>4.3299999999999998E-2</v>
      </c>
      <c r="H136" s="164"/>
      <c r="I136" s="1359">
        <f t="shared" si="189"/>
        <v>0</v>
      </c>
      <c r="J136" s="562" t="str">
        <f t="shared" si="190"/>
        <v>0:0:00</v>
      </c>
      <c r="K136" s="563">
        <v>1000</v>
      </c>
      <c r="L136" s="2127">
        <f t="shared" si="191"/>
        <v>95.15</v>
      </c>
      <c r="M136" s="561">
        <f t="shared" si="192"/>
        <v>0</v>
      </c>
      <c r="N136" s="564">
        <v>1</v>
      </c>
      <c r="O136" s="561">
        <f t="shared" si="193"/>
        <v>0</v>
      </c>
      <c r="P136" s="561">
        <f t="shared" si="194"/>
        <v>0</v>
      </c>
      <c r="Q136" s="565">
        <f t="shared" si="195"/>
        <v>0</v>
      </c>
      <c r="R136" s="566">
        <f t="shared" si="196"/>
        <v>0</v>
      </c>
      <c r="S136" s="566">
        <f t="shared" si="197"/>
        <v>0</v>
      </c>
      <c r="T136" s="566">
        <f t="shared" ref="T136" si="203">Q136+R136+S136</f>
        <v>0</v>
      </c>
      <c r="U136" s="2028">
        <f t="shared" si="199"/>
        <v>0</v>
      </c>
      <c r="V136" s="1357"/>
      <c r="W136" s="1361"/>
      <c r="X136" s="1361"/>
      <c r="Y136" s="1361"/>
      <c r="AD136" s="2141">
        <f t="shared" si="174"/>
        <v>2.6</v>
      </c>
      <c r="AE136" s="2142" t="str">
        <f t="shared" si="162"/>
        <v/>
      </c>
      <c r="AG136" s="2118" t="s">
        <v>1816</v>
      </c>
    </row>
    <row r="137" spans="1:33" ht="25.5" hidden="1" outlineLevel="3" x14ac:dyDescent="0.2">
      <c r="A137" s="1360">
        <f t="shared" si="201"/>
        <v>607</v>
      </c>
      <c r="B137" s="568" t="s">
        <v>504</v>
      </c>
      <c r="C137" s="532" t="s">
        <v>1071</v>
      </c>
      <c r="D137" s="2153">
        <v>4</v>
      </c>
      <c r="E137" s="560" t="s">
        <v>502</v>
      </c>
      <c r="F137" s="2153" t="s">
        <v>312</v>
      </c>
      <c r="G137" s="2180">
        <v>0.05</v>
      </c>
      <c r="H137" s="164"/>
      <c r="I137" s="1359">
        <f t="shared" si="189"/>
        <v>0</v>
      </c>
      <c r="J137" s="562" t="str">
        <f t="shared" si="190"/>
        <v>0:0:00</v>
      </c>
      <c r="K137" s="563">
        <v>1000</v>
      </c>
      <c r="L137" s="2127">
        <f t="shared" si="191"/>
        <v>95.15</v>
      </c>
      <c r="M137" s="561">
        <f t="shared" si="192"/>
        <v>0</v>
      </c>
      <c r="N137" s="564">
        <v>1</v>
      </c>
      <c r="O137" s="561">
        <f t="shared" si="193"/>
        <v>0</v>
      </c>
      <c r="P137" s="561">
        <f t="shared" si="194"/>
        <v>0</v>
      </c>
      <c r="Q137" s="565">
        <f t="shared" si="195"/>
        <v>0</v>
      </c>
      <c r="R137" s="566">
        <f t="shared" si="196"/>
        <v>0</v>
      </c>
      <c r="S137" s="566">
        <f t="shared" si="197"/>
        <v>0</v>
      </c>
      <c r="T137" s="566">
        <f>Q137+R137+S137</f>
        <v>0</v>
      </c>
      <c r="U137" s="2028">
        <f t="shared" si="199"/>
        <v>0</v>
      </c>
      <c r="V137" s="1357"/>
      <c r="W137" s="1361"/>
      <c r="X137" s="1361"/>
      <c r="Y137" s="1361"/>
      <c r="AD137" s="2141">
        <f t="shared" si="174"/>
        <v>2.6</v>
      </c>
      <c r="AE137" s="2142" t="str">
        <f t="shared" si="162"/>
        <v/>
      </c>
      <c r="AG137" s="2118" t="s">
        <v>1816</v>
      </c>
    </row>
    <row r="138" spans="1:33" ht="25.5" hidden="1" outlineLevel="3" x14ac:dyDescent="0.2">
      <c r="A138" s="1360">
        <f t="shared" si="201"/>
        <v>608</v>
      </c>
      <c r="B138" s="568" t="s">
        <v>505</v>
      </c>
      <c r="C138" s="532" t="s">
        <v>1071</v>
      </c>
      <c r="D138" s="2153">
        <v>4</v>
      </c>
      <c r="E138" s="560" t="s">
        <v>502</v>
      </c>
      <c r="F138" s="2153" t="s">
        <v>312</v>
      </c>
      <c r="G138" s="2180">
        <v>6.5000000000000002E-2</v>
      </c>
      <c r="H138" s="164"/>
      <c r="I138" s="1359">
        <f t="shared" si="189"/>
        <v>0</v>
      </c>
      <c r="J138" s="562" t="str">
        <f t="shared" si="190"/>
        <v>0:0:00</v>
      </c>
      <c r="K138" s="563">
        <v>1000</v>
      </c>
      <c r="L138" s="2127">
        <f t="shared" si="191"/>
        <v>95.15</v>
      </c>
      <c r="M138" s="561">
        <f t="shared" si="192"/>
        <v>0</v>
      </c>
      <c r="N138" s="564">
        <v>1</v>
      </c>
      <c r="O138" s="561">
        <f t="shared" si="193"/>
        <v>0</v>
      </c>
      <c r="P138" s="561">
        <f t="shared" si="194"/>
        <v>0</v>
      </c>
      <c r="Q138" s="565">
        <f t="shared" si="195"/>
        <v>0</v>
      </c>
      <c r="R138" s="566">
        <f t="shared" si="196"/>
        <v>0</v>
      </c>
      <c r="S138" s="566">
        <f t="shared" si="197"/>
        <v>0</v>
      </c>
      <c r="T138" s="566">
        <f t="shared" ref="T138" si="204">Q138+R138+S138</f>
        <v>0</v>
      </c>
      <c r="U138" s="2028">
        <f t="shared" si="199"/>
        <v>0</v>
      </c>
      <c r="V138" s="1357"/>
      <c r="W138" s="1361"/>
      <c r="X138" s="1361"/>
      <c r="Y138" s="1361"/>
      <c r="AD138" s="2141">
        <f t="shared" si="174"/>
        <v>2.6</v>
      </c>
      <c r="AE138" s="2142" t="str">
        <f t="shared" si="162"/>
        <v/>
      </c>
      <c r="AG138" s="2118" t="s">
        <v>1816</v>
      </c>
    </row>
    <row r="139" spans="1:33" ht="25.5" hidden="1" outlineLevel="3" x14ac:dyDescent="0.2">
      <c r="A139" s="1360">
        <f t="shared" si="201"/>
        <v>609</v>
      </c>
      <c r="B139" s="568" t="s">
        <v>506</v>
      </c>
      <c r="C139" s="532" t="s">
        <v>1071</v>
      </c>
      <c r="D139" s="2153">
        <v>4</v>
      </c>
      <c r="E139" s="560" t="s">
        <v>502</v>
      </c>
      <c r="F139" s="2153" t="s">
        <v>312</v>
      </c>
      <c r="G139" s="2180">
        <v>7.6999999999999999E-2</v>
      </c>
      <c r="H139" s="164"/>
      <c r="I139" s="1359">
        <f t="shared" si="189"/>
        <v>0</v>
      </c>
      <c r="J139" s="562" t="str">
        <f t="shared" si="190"/>
        <v>0:0:00</v>
      </c>
      <c r="K139" s="563">
        <v>1000</v>
      </c>
      <c r="L139" s="2127">
        <f t="shared" si="191"/>
        <v>95.15</v>
      </c>
      <c r="M139" s="561">
        <f t="shared" si="192"/>
        <v>0</v>
      </c>
      <c r="N139" s="564">
        <v>1</v>
      </c>
      <c r="O139" s="561">
        <f t="shared" si="193"/>
        <v>0</v>
      </c>
      <c r="P139" s="561">
        <f t="shared" si="194"/>
        <v>0</v>
      </c>
      <c r="Q139" s="565">
        <f t="shared" si="195"/>
        <v>0</v>
      </c>
      <c r="R139" s="566">
        <f t="shared" si="196"/>
        <v>0</v>
      </c>
      <c r="S139" s="566">
        <f t="shared" si="197"/>
        <v>0</v>
      </c>
      <c r="T139" s="566">
        <f>Q139+R139+S139</f>
        <v>0</v>
      </c>
      <c r="U139" s="2028">
        <f t="shared" si="199"/>
        <v>0</v>
      </c>
      <c r="V139" s="1357"/>
      <c r="W139" s="1361"/>
      <c r="X139" s="1361"/>
      <c r="Y139" s="1361"/>
      <c r="AD139" s="2141">
        <f t="shared" si="174"/>
        <v>2.6</v>
      </c>
      <c r="AE139" s="2142" t="str">
        <f t="shared" si="162"/>
        <v/>
      </c>
      <c r="AG139" s="2118" t="s">
        <v>1816</v>
      </c>
    </row>
    <row r="140" spans="1:33" ht="25.5" hidden="1" outlineLevel="3" x14ac:dyDescent="0.2">
      <c r="A140" s="1360">
        <f t="shared" si="201"/>
        <v>610</v>
      </c>
      <c r="B140" s="568" t="s">
        <v>507</v>
      </c>
      <c r="C140" s="532" t="s">
        <v>1071</v>
      </c>
      <c r="D140" s="2153">
        <v>4</v>
      </c>
      <c r="E140" s="560" t="s">
        <v>502</v>
      </c>
      <c r="F140" s="2153" t="s">
        <v>312</v>
      </c>
      <c r="G140" s="2180">
        <v>8.6999999999999994E-2</v>
      </c>
      <c r="H140" s="164"/>
      <c r="I140" s="1359">
        <f t="shared" si="189"/>
        <v>0</v>
      </c>
      <c r="J140" s="562" t="str">
        <f t="shared" si="190"/>
        <v>0:0:00</v>
      </c>
      <c r="K140" s="563">
        <v>1000</v>
      </c>
      <c r="L140" s="2127">
        <f t="shared" si="191"/>
        <v>95.15</v>
      </c>
      <c r="M140" s="561">
        <f t="shared" si="192"/>
        <v>0</v>
      </c>
      <c r="N140" s="564">
        <v>1</v>
      </c>
      <c r="O140" s="561">
        <f t="shared" si="193"/>
        <v>0</v>
      </c>
      <c r="P140" s="561">
        <f t="shared" si="194"/>
        <v>0</v>
      </c>
      <c r="Q140" s="565">
        <f t="shared" si="195"/>
        <v>0</v>
      </c>
      <c r="R140" s="566">
        <f t="shared" si="196"/>
        <v>0</v>
      </c>
      <c r="S140" s="566">
        <f t="shared" si="197"/>
        <v>0</v>
      </c>
      <c r="T140" s="566">
        <f t="shared" ref="T140" si="205">Q140+R140+S140</f>
        <v>0</v>
      </c>
      <c r="U140" s="2028">
        <f t="shared" si="199"/>
        <v>0</v>
      </c>
      <c r="V140" s="1357"/>
      <c r="W140" s="1361"/>
      <c r="X140" s="1361"/>
      <c r="Y140" s="1361"/>
      <c r="AD140" s="2141">
        <f t="shared" si="174"/>
        <v>2.6</v>
      </c>
      <c r="AE140" s="2142" t="str">
        <f t="shared" si="162"/>
        <v/>
      </c>
      <c r="AG140" s="2118" t="s">
        <v>1816</v>
      </c>
    </row>
    <row r="141" spans="1:33" ht="25.5" hidden="1" outlineLevel="3" x14ac:dyDescent="0.2">
      <c r="A141" s="1360">
        <f t="shared" si="201"/>
        <v>611</v>
      </c>
      <c r="B141" s="568" t="s">
        <v>508</v>
      </c>
      <c r="C141" s="532" t="s">
        <v>1071</v>
      </c>
      <c r="D141" s="2153">
        <v>4</v>
      </c>
      <c r="E141" s="560" t="s">
        <v>502</v>
      </c>
      <c r="F141" s="2153" t="s">
        <v>312</v>
      </c>
      <c r="G141" s="2180">
        <v>9.8000000000000004E-2</v>
      </c>
      <c r="H141" s="164"/>
      <c r="I141" s="1359">
        <f t="shared" si="189"/>
        <v>0</v>
      </c>
      <c r="J141" s="562" t="str">
        <f t="shared" si="190"/>
        <v>0:0:00</v>
      </c>
      <c r="K141" s="563">
        <v>1000</v>
      </c>
      <c r="L141" s="2127">
        <f t="shared" si="191"/>
        <v>95.15</v>
      </c>
      <c r="M141" s="561">
        <f t="shared" si="192"/>
        <v>0</v>
      </c>
      <c r="N141" s="564">
        <v>1</v>
      </c>
      <c r="O141" s="561">
        <f t="shared" si="193"/>
        <v>0</v>
      </c>
      <c r="P141" s="561">
        <f t="shared" si="194"/>
        <v>0</v>
      </c>
      <c r="Q141" s="565">
        <f t="shared" si="195"/>
        <v>0</v>
      </c>
      <c r="R141" s="566">
        <f t="shared" si="196"/>
        <v>0</v>
      </c>
      <c r="S141" s="566">
        <f t="shared" si="197"/>
        <v>0</v>
      </c>
      <c r="T141" s="566">
        <f>Q141+R141+S141</f>
        <v>0</v>
      </c>
      <c r="U141" s="2028">
        <f t="shared" si="199"/>
        <v>0</v>
      </c>
      <c r="V141" s="1357"/>
      <c r="W141" s="1361"/>
      <c r="X141" s="1361"/>
      <c r="Y141" s="1361"/>
      <c r="AD141" s="2141">
        <f t="shared" si="174"/>
        <v>2.6</v>
      </c>
      <c r="AE141" s="2142" t="str">
        <f t="shared" si="162"/>
        <v/>
      </c>
      <c r="AG141" s="2118" t="s">
        <v>1816</v>
      </c>
    </row>
    <row r="142" spans="1:33" ht="25.5" hidden="1" outlineLevel="3" x14ac:dyDescent="0.2">
      <c r="A142" s="1360">
        <f t="shared" si="201"/>
        <v>612</v>
      </c>
      <c r="B142" s="568" t="s">
        <v>509</v>
      </c>
      <c r="C142" s="532" t="s">
        <v>1071</v>
      </c>
      <c r="D142" s="2153">
        <v>4</v>
      </c>
      <c r="E142" s="560" t="s">
        <v>502</v>
      </c>
      <c r="F142" s="2153" t="s">
        <v>312</v>
      </c>
      <c r="G142" s="2180">
        <v>0.127</v>
      </c>
      <c r="H142" s="164"/>
      <c r="I142" s="1359">
        <f t="shared" si="189"/>
        <v>0</v>
      </c>
      <c r="J142" s="562" t="str">
        <f t="shared" si="190"/>
        <v>0:0:00</v>
      </c>
      <c r="K142" s="563">
        <v>1000</v>
      </c>
      <c r="L142" s="2127">
        <f t="shared" si="191"/>
        <v>95.15</v>
      </c>
      <c r="M142" s="561">
        <f t="shared" si="192"/>
        <v>0</v>
      </c>
      <c r="N142" s="564">
        <v>1</v>
      </c>
      <c r="O142" s="561">
        <f t="shared" si="193"/>
        <v>0</v>
      </c>
      <c r="P142" s="561">
        <f t="shared" si="194"/>
        <v>0</v>
      </c>
      <c r="Q142" s="565">
        <f t="shared" si="195"/>
        <v>0</v>
      </c>
      <c r="R142" s="566">
        <f t="shared" si="196"/>
        <v>0</v>
      </c>
      <c r="S142" s="566">
        <f t="shared" si="197"/>
        <v>0</v>
      </c>
      <c r="T142" s="566">
        <f t="shared" ref="T142" si="206">Q142+R142+S142</f>
        <v>0</v>
      </c>
      <c r="U142" s="2028">
        <f t="shared" si="199"/>
        <v>0</v>
      </c>
      <c r="V142" s="1357"/>
      <c r="W142" s="1361"/>
      <c r="X142" s="1361"/>
      <c r="Y142" s="1361"/>
      <c r="AD142" s="2141">
        <f t="shared" si="174"/>
        <v>2.6</v>
      </c>
      <c r="AE142" s="2142" t="str">
        <f t="shared" si="162"/>
        <v/>
      </c>
      <c r="AG142" s="2118" t="s">
        <v>1816</v>
      </c>
    </row>
    <row r="143" spans="1:33" ht="25.5" hidden="1" outlineLevel="3" x14ac:dyDescent="0.2">
      <c r="A143" s="1360">
        <f t="shared" si="201"/>
        <v>613</v>
      </c>
      <c r="B143" s="568" t="s">
        <v>510</v>
      </c>
      <c r="C143" s="532" t="s">
        <v>1071</v>
      </c>
      <c r="D143" s="2153">
        <v>4</v>
      </c>
      <c r="E143" s="560" t="s">
        <v>502</v>
      </c>
      <c r="F143" s="2153" t="s">
        <v>312</v>
      </c>
      <c r="G143" s="2180">
        <v>0.14499999999999999</v>
      </c>
      <c r="H143" s="164"/>
      <c r="I143" s="1359">
        <f t="shared" si="189"/>
        <v>0</v>
      </c>
      <c r="J143" s="562" t="str">
        <f t="shared" si="190"/>
        <v>0:0:00</v>
      </c>
      <c r="K143" s="563">
        <v>1000</v>
      </c>
      <c r="L143" s="2127">
        <f t="shared" si="191"/>
        <v>95.15</v>
      </c>
      <c r="M143" s="561">
        <f t="shared" si="192"/>
        <v>0</v>
      </c>
      <c r="N143" s="564">
        <v>1</v>
      </c>
      <c r="O143" s="561">
        <f t="shared" si="193"/>
        <v>0</v>
      </c>
      <c r="P143" s="561">
        <f t="shared" si="194"/>
        <v>0</v>
      </c>
      <c r="Q143" s="565">
        <f t="shared" si="195"/>
        <v>0</v>
      </c>
      <c r="R143" s="566">
        <f t="shared" si="196"/>
        <v>0</v>
      </c>
      <c r="S143" s="566">
        <f t="shared" si="197"/>
        <v>0</v>
      </c>
      <c r="T143" s="566">
        <f>Q143+R143+S143</f>
        <v>0</v>
      </c>
      <c r="U143" s="2028">
        <f t="shared" si="199"/>
        <v>0</v>
      </c>
      <c r="V143" s="1357"/>
      <c r="W143" s="1361"/>
      <c r="X143" s="1361"/>
      <c r="Y143" s="1361"/>
      <c r="AD143" s="2141">
        <f t="shared" si="174"/>
        <v>2.6</v>
      </c>
      <c r="AE143" s="2142" t="str">
        <f t="shared" si="162"/>
        <v/>
      </c>
      <c r="AG143" s="2118" t="s">
        <v>1816</v>
      </c>
    </row>
    <row r="144" spans="1:33" ht="25.5" hidden="1" outlineLevel="3" x14ac:dyDescent="0.2">
      <c r="A144" s="1360">
        <f t="shared" si="201"/>
        <v>614</v>
      </c>
      <c r="B144" s="568" t="s">
        <v>511</v>
      </c>
      <c r="C144" s="532" t="s">
        <v>1071</v>
      </c>
      <c r="D144" s="2153">
        <v>4</v>
      </c>
      <c r="E144" s="560" t="s">
        <v>502</v>
      </c>
      <c r="F144" s="2153" t="s">
        <v>312</v>
      </c>
      <c r="G144" s="2180">
        <v>0.17299999999999999</v>
      </c>
      <c r="H144" s="164"/>
      <c r="I144" s="1359">
        <f t="shared" si="189"/>
        <v>0</v>
      </c>
      <c r="J144" s="562" t="str">
        <f t="shared" si="190"/>
        <v>0:0:00</v>
      </c>
      <c r="K144" s="563">
        <v>1000</v>
      </c>
      <c r="L144" s="2127">
        <f t="shared" si="191"/>
        <v>95.15</v>
      </c>
      <c r="M144" s="561">
        <f t="shared" si="192"/>
        <v>0</v>
      </c>
      <c r="N144" s="564">
        <v>1</v>
      </c>
      <c r="O144" s="561">
        <f t="shared" si="193"/>
        <v>0</v>
      </c>
      <c r="P144" s="561">
        <f t="shared" si="194"/>
        <v>0</v>
      </c>
      <c r="Q144" s="565">
        <f t="shared" si="195"/>
        <v>0</v>
      </c>
      <c r="R144" s="566">
        <f t="shared" si="196"/>
        <v>0</v>
      </c>
      <c r="S144" s="566">
        <f t="shared" si="197"/>
        <v>0</v>
      </c>
      <c r="T144" s="566">
        <f t="shared" ref="T144" si="207">Q144+R144+S144</f>
        <v>0</v>
      </c>
      <c r="U144" s="2028">
        <f t="shared" si="199"/>
        <v>0</v>
      </c>
      <c r="V144" s="1357"/>
      <c r="W144" s="1361"/>
      <c r="X144" s="1361"/>
      <c r="Y144" s="1361"/>
      <c r="AD144" s="2141">
        <f t="shared" si="174"/>
        <v>2.6</v>
      </c>
      <c r="AE144" s="2142" t="str">
        <f t="shared" si="162"/>
        <v/>
      </c>
      <c r="AG144" s="2118" t="s">
        <v>1816</v>
      </c>
    </row>
    <row r="145" spans="1:33" ht="25.5" hidden="1" outlineLevel="3" x14ac:dyDescent="0.2">
      <c r="A145" s="1360">
        <f t="shared" si="201"/>
        <v>615</v>
      </c>
      <c r="B145" s="568" t="s">
        <v>512</v>
      </c>
      <c r="C145" s="532" t="s">
        <v>1071</v>
      </c>
      <c r="D145" s="2153">
        <v>4</v>
      </c>
      <c r="E145" s="560" t="s">
        <v>502</v>
      </c>
      <c r="F145" s="2153" t="s">
        <v>312</v>
      </c>
      <c r="G145" s="2180">
        <v>0.21299999999999999</v>
      </c>
      <c r="H145" s="164"/>
      <c r="I145" s="1359">
        <f t="shared" si="189"/>
        <v>0</v>
      </c>
      <c r="J145" s="562" t="str">
        <f t="shared" si="190"/>
        <v>0:0:00</v>
      </c>
      <c r="K145" s="563">
        <v>1000</v>
      </c>
      <c r="L145" s="2127">
        <f t="shared" si="191"/>
        <v>95.15</v>
      </c>
      <c r="M145" s="561">
        <f t="shared" si="192"/>
        <v>0</v>
      </c>
      <c r="N145" s="564">
        <v>1</v>
      </c>
      <c r="O145" s="561">
        <f t="shared" si="193"/>
        <v>0</v>
      </c>
      <c r="P145" s="561">
        <f t="shared" si="194"/>
        <v>0</v>
      </c>
      <c r="Q145" s="565">
        <f t="shared" si="195"/>
        <v>0</v>
      </c>
      <c r="R145" s="566">
        <f t="shared" si="196"/>
        <v>0</v>
      </c>
      <c r="S145" s="566">
        <f t="shared" si="197"/>
        <v>0</v>
      </c>
      <c r="T145" s="566">
        <f>Q145+R145+S145</f>
        <v>0</v>
      </c>
      <c r="U145" s="2028">
        <f t="shared" si="199"/>
        <v>0</v>
      </c>
      <c r="V145" s="1357"/>
      <c r="W145" s="1361"/>
      <c r="X145" s="1361"/>
      <c r="Y145" s="1361"/>
      <c r="AD145" s="2141">
        <f t="shared" si="174"/>
        <v>2.6</v>
      </c>
      <c r="AE145" s="2142" t="str">
        <f t="shared" si="162"/>
        <v/>
      </c>
      <c r="AG145" s="2118" t="s">
        <v>1816</v>
      </c>
    </row>
    <row r="146" spans="1:33" ht="25.5" hidden="1" outlineLevel="3" x14ac:dyDescent="0.2">
      <c r="A146" s="1360">
        <f t="shared" si="201"/>
        <v>616</v>
      </c>
      <c r="B146" s="568" t="s">
        <v>513</v>
      </c>
      <c r="C146" s="532" t="s">
        <v>1071</v>
      </c>
      <c r="D146" s="2153">
        <v>4</v>
      </c>
      <c r="E146" s="560" t="s">
        <v>502</v>
      </c>
      <c r="F146" s="2153" t="s">
        <v>312</v>
      </c>
      <c r="G146" s="2180">
        <v>0.26200000000000001</v>
      </c>
      <c r="H146" s="164"/>
      <c r="I146" s="1359">
        <f t="shared" si="189"/>
        <v>0</v>
      </c>
      <c r="J146" s="562" t="str">
        <f t="shared" si="190"/>
        <v>0:0:00</v>
      </c>
      <c r="K146" s="563">
        <v>1000</v>
      </c>
      <c r="L146" s="2127">
        <f t="shared" si="191"/>
        <v>95.15</v>
      </c>
      <c r="M146" s="561">
        <f t="shared" si="192"/>
        <v>0</v>
      </c>
      <c r="N146" s="564">
        <v>1</v>
      </c>
      <c r="O146" s="561">
        <f t="shared" si="193"/>
        <v>0</v>
      </c>
      <c r="P146" s="561">
        <f t="shared" si="194"/>
        <v>0</v>
      </c>
      <c r="Q146" s="565">
        <f t="shared" si="195"/>
        <v>0</v>
      </c>
      <c r="R146" s="566">
        <f t="shared" si="196"/>
        <v>0</v>
      </c>
      <c r="S146" s="566">
        <f t="shared" si="197"/>
        <v>0</v>
      </c>
      <c r="T146" s="566">
        <f t="shared" ref="T146" si="208">Q146+R146+S146</f>
        <v>0</v>
      </c>
      <c r="U146" s="2028">
        <f t="shared" si="199"/>
        <v>0</v>
      </c>
      <c r="V146" s="1357"/>
      <c r="W146" s="1361"/>
      <c r="X146" s="1361"/>
      <c r="Y146" s="1361"/>
      <c r="AD146" s="2141">
        <f t="shared" si="174"/>
        <v>2.6</v>
      </c>
      <c r="AE146" s="2142" t="str">
        <f t="shared" si="162"/>
        <v/>
      </c>
      <c r="AG146" s="2118" t="s">
        <v>1816</v>
      </c>
    </row>
    <row r="147" spans="1:33" ht="14.25" hidden="1" outlineLevel="2" x14ac:dyDescent="0.2">
      <c r="A147" s="1360"/>
      <c r="B147" s="557" t="s">
        <v>1073</v>
      </c>
      <c r="C147" s="522"/>
      <c r="D147" s="2152"/>
      <c r="E147" s="523" t="s">
        <v>218</v>
      </c>
      <c r="F147" s="2164"/>
      <c r="G147" s="2181"/>
      <c r="H147" s="569">
        <f>SUM(H137:H146)</f>
        <v>0</v>
      </c>
      <c r="I147" s="2043">
        <f>SUM(I148:I165)</f>
        <v>0</v>
      </c>
      <c r="J147" s="524"/>
      <c r="K147" s="524"/>
      <c r="L147" s="526"/>
      <c r="M147" s="524"/>
      <c r="N147" s="524"/>
      <c r="O147" s="524"/>
      <c r="P147" s="524"/>
      <c r="Q147" s="527"/>
      <c r="R147" s="524"/>
      <c r="S147" s="524"/>
      <c r="T147" s="524"/>
      <c r="U147" s="2028">
        <f t="shared" si="199"/>
        <v>0</v>
      </c>
      <c r="V147" s="1357"/>
      <c r="W147" s="1361"/>
      <c r="X147" s="1361"/>
      <c r="Y147" s="1361"/>
      <c r="AD147" s="2141" t="str">
        <f t="shared" si="174"/>
        <v/>
      </c>
      <c r="AE147" s="2142" t="str">
        <f t="shared" si="162"/>
        <v/>
      </c>
      <c r="AG147" s="2118" t="s">
        <v>1816</v>
      </c>
    </row>
    <row r="148" spans="1:33" ht="25.5" hidden="1" outlineLevel="3" x14ac:dyDescent="0.2">
      <c r="A148" s="1360">
        <f>A146+1</f>
        <v>617</v>
      </c>
      <c r="B148" s="738" t="s">
        <v>622</v>
      </c>
      <c r="C148" s="532" t="s">
        <v>1071</v>
      </c>
      <c r="D148" s="2153">
        <v>4</v>
      </c>
      <c r="E148" s="560" t="s">
        <v>502</v>
      </c>
      <c r="F148" s="2165" t="s">
        <v>312</v>
      </c>
      <c r="G148" s="2180">
        <f>0.016+0.095</f>
        <v>0.111</v>
      </c>
      <c r="H148" s="740">
        <f>SUMIFS(Исх!$BP$30:$BP$41,Исх!$BQ$30:$BQ$41,Трудозатраты!$W148,Исх!$BN$30:$BN$41,Трудозатраты!Y148)</f>
        <v>0</v>
      </c>
      <c r="I148" s="1359">
        <f t="shared" ref="I148:I165" si="209">IF(H148&gt;0,IF((G148*H148/K148)&lt;0.084,0.084,(G148*H148/K148)),0)</f>
        <v>0</v>
      </c>
      <c r="J148" s="562" t="str">
        <f t="shared" ref="J148:J165" si="210">CONCATENATE(TRUNC(I148,0),":",INT((I148-(TRUNC(I148,0)))*60),":","00")</f>
        <v>0:0:00</v>
      </c>
      <c r="K148" s="563">
        <v>1000</v>
      </c>
      <c r="L148" s="2127">
        <f t="shared" ref="L148:L165" si="211">РезкаПодрезка</f>
        <v>95.15</v>
      </c>
      <c r="M148" s="561">
        <f t="shared" ref="M148:M165" si="212">I148*L148</f>
        <v>0</v>
      </c>
      <c r="N148" s="564">
        <v>1</v>
      </c>
      <c r="O148" s="561">
        <f t="shared" ref="O148:O165" si="213">M148*N148</f>
        <v>0</v>
      </c>
      <c r="P148" s="561">
        <f t="shared" ref="P148:P165" si="214">(M148+O148)*0.15</f>
        <v>0</v>
      </c>
      <c r="Q148" s="565">
        <f t="shared" ref="Q148:Q165" si="215">M148+O148+P148</f>
        <v>0</v>
      </c>
      <c r="R148" s="566">
        <f t="shared" ref="R148:R165" si="216">Q148*$R$1</f>
        <v>0</v>
      </c>
      <c r="S148" s="566">
        <f t="shared" ref="S148:S165" si="217">(Q148+R148)*$S$1</f>
        <v>0</v>
      </c>
      <c r="T148" s="566">
        <f t="shared" ref="T148" si="218">Q148+R148+S148</f>
        <v>0</v>
      </c>
      <c r="U148" s="2028">
        <f t="shared" si="199"/>
        <v>0</v>
      </c>
      <c r="V148" s="1357"/>
      <c r="W148" s="1361">
        <v>130</v>
      </c>
      <c r="X148" s="1362"/>
      <c r="Y148" s="1363" t="s">
        <v>642</v>
      </c>
      <c r="AD148" s="2141">
        <f t="shared" si="174"/>
        <v>2.6</v>
      </c>
      <c r="AE148" s="2142" t="str">
        <f t="shared" si="162"/>
        <v/>
      </c>
      <c r="AG148" s="2118" t="s">
        <v>1816</v>
      </c>
    </row>
    <row r="149" spans="1:33" ht="25.5" hidden="1" outlineLevel="3" x14ac:dyDescent="0.2">
      <c r="A149" s="1360">
        <f>A148+1</f>
        <v>618</v>
      </c>
      <c r="B149" s="738" t="s">
        <v>623</v>
      </c>
      <c r="C149" s="532" t="s">
        <v>1071</v>
      </c>
      <c r="D149" s="2153">
        <v>4</v>
      </c>
      <c r="E149" s="560" t="s">
        <v>502</v>
      </c>
      <c r="F149" s="2165" t="s">
        <v>312</v>
      </c>
      <c r="G149" s="2180">
        <f>0.033+0.095</f>
        <v>0.128</v>
      </c>
      <c r="H149" s="740">
        <f>SUMIFS(Исх!$BP$30:$BP$41,Исх!$BQ$30:$BQ$41,Трудозатраты!$W149,Исх!$BN$30:$BN$41,Трудозатраты!Y149)</f>
        <v>0</v>
      </c>
      <c r="I149" s="1359">
        <f t="shared" si="209"/>
        <v>0</v>
      </c>
      <c r="J149" s="562" t="str">
        <f t="shared" si="210"/>
        <v>0:0:00</v>
      </c>
      <c r="K149" s="563">
        <v>1000</v>
      </c>
      <c r="L149" s="2127">
        <f t="shared" si="211"/>
        <v>95.15</v>
      </c>
      <c r="M149" s="561">
        <f t="shared" si="212"/>
        <v>0</v>
      </c>
      <c r="N149" s="564">
        <v>1</v>
      </c>
      <c r="O149" s="561">
        <f t="shared" si="213"/>
        <v>0</v>
      </c>
      <c r="P149" s="561">
        <f t="shared" si="214"/>
        <v>0</v>
      </c>
      <c r="Q149" s="565">
        <f t="shared" si="215"/>
        <v>0</v>
      </c>
      <c r="R149" s="566">
        <f t="shared" si="216"/>
        <v>0</v>
      </c>
      <c r="S149" s="566">
        <f t="shared" si="217"/>
        <v>0</v>
      </c>
      <c r="T149" s="566">
        <f>Q149+R149+S149</f>
        <v>0</v>
      </c>
      <c r="U149" s="2028">
        <f t="shared" si="199"/>
        <v>0</v>
      </c>
      <c r="V149" s="1357"/>
      <c r="W149" s="1361">
        <v>130</v>
      </c>
      <c r="X149" s="1362"/>
      <c r="Y149" s="1363" t="s">
        <v>643</v>
      </c>
      <c r="AD149" s="2141">
        <f t="shared" si="174"/>
        <v>2.6</v>
      </c>
      <c r="AE149" s="2142" t="str">
        <f t="shared" si="162"/>
        <v/>
      </c>
      <c r="AG149" s="2118" t="s">
        <v>1816</v>
      </c>
    </row>
    <row r="150" spans="1:33" ht="25.5" hidden="1" outlineLevel="3" x14ac:dyDescent="0.2">
      <c r="A150" s="1360">
        <f t="shared" ref="A150:A165" si="219">A149+1</f>
        <v>619</v>
      </c>
      <c r="B150" s="739" t="s">
        <v>624</v>
      </c>
      <c r="C150" s="532" t="s">
        <v>1071</v>
      </c>
      <c r="D150" s="2153">
        <v>4</v>
      </c>
      <c r="E150" s="560" t="s">
        <v>502</v>
      </c>
      <c r="F150" s="2165" t="s">
        <v>312</v>
      </c>
      <c r="G150" s="2180">
        <f>0.096+0.095</f>
        <v>0.191</v>
      </c>
      <c r="H150" s="740">
        <f>SUMIFS(Исх!$BP$30:$BP$41,Исх!$BQ$30:$BQ$41,Трудозатраты!$W150,Исх!$BN$30:$BN$41,Трудозатраты!Y150)</f>
        <v>0</v>
      </c>
      <c r="I150" s="1359">
        <f t="shared" si="209"/>
        <v>0</v>
      </c>
      <c r="J150" s="562" t="str">
        <f t="shared" si="210"/>
        <v>0:0:00</v>
      </c>
      <c r="K150" s="563">
        <v>1000</v>
      </c>
      <c r="L150" s="2127">
        <f t="shared" si="211"/>
        <v>95.15</v>
      </c>
      <c r="M150" s="561">
        <f t="shared" si="212"/>
        <v>0</v>
      </c>
      <c r="N150" s="564">
        <v>1</v>
      </c>
      <c r="O150" s="561">
        <f t="shared" si="213"/>
        <v>0</v>
      </c>
      <c r="P150" s="561">
        <f t="shared" si="214"/>
        <v>0</v>
      </c>
      <c r="Q150" s="565">
        <f t="shared" si="215"/>
        <v>0</v>
      </c>
      <c r="R150" s="566">
        <f t="shared" si="216"/>
        <v>0</v>
      </c>
      <c r="S150" s="566">
        <f t="shared" si="217"/>
        <v>0</v>
      </c>
      <c r="T150" s="566">
        <f t="shared" ref="T150" si="220">Q150+R150+S150</f>
        <v>0</v>
      </c>
      <c r="U150" s="2028">
        <f t="shared" si="199"/>
        <v>0</v>
      </c>
      <c r="V150" s="1357"/>
      <c r="W150" s="1361">
        <v>130</v>
      </c>
      <c r="X150" s="1362"/>
      <c r="Y150" s="1363" t="s">
        <v>644</v>
      </c>
      <c r="AD150" s="2141">
        <f t="shared" si="174"/>
        <v>2.6</v>
      </c>
      <c r="AE150" s="2142" t="str">
        <f t="shared" si="162"/>
        <v/>
      </c>
      <c r="AG150" s="2118" t="s">
        <v>1816</v>
      </c>
    </row>
    <row r="151" spans="1:33" ht="25.5" hidden="1" outlineLevel="3" x14ac:dyDescent="0.2">
      <c r="A151" s="1360">
        <f t="shared" si="219"/>
        <v>620</v>
      </c>
      <c r="B151" s="739" t="s">
        <v>625</v>
      </c>
      <c r="C151" s="532" t="s">
        <v>1071</v>
      </c>
      <c r="D151" s="2153">
        <v>4</v>
      </c>
      <c r="E151" s="560" t="s">
        <v>502</v>
      </c>
      <c r="F151" s="2165" t="s">
        <v>312</v>
      </c>
      <c r="G151" s="2180">
        <f>0.116+0.095</f>
        <v>0.21100000000000002</v>
      </c>
      <c r="H151" s="740">
        <f>SUMIFS(Исх!$BP$30:$BP$41,Исх!$BQ$30:$BQ$41,Трудозатраты!$W151,Исх!$BN$30:$BN$41,Трудозатраты!Y151)</f>
        <v>0</v>
      </c>
      <c r="I151" s="1359">
        <f t="shared" si="209"/>
        <v>0</v>
      </c>
      <c r="J151" s="562" t="str">
        <f t="shared" si="210"/>
        <v>0:0:00</v>
      </c>
      <c r="K151" s="563">
        <v>1000</v>
      </c>
      <c r="L151" s="2127">
        <f t="shared" si="211"/>
        <v>95.15</v>
      </c>
      <c r="M151" s="561">
        <f t="shared" si="212"/>
        <v>0</v>
      </c>
      <c r="N151" s="564">
        <v>1</v>
      </c>
      <c r="O151" s="561">
        <f t="shared" si="213"/>
        <v>0</v>
      </c>
      <c r="P151" s="561">
        <f t="shared" si="214"/>
        <v>0</v>
      </c>
      <c r="Q151" s="565">
        <f t="shared" si="215"/>
        <v>0</v>
      </c>
      <c r="R151" s="566">
        <f t="shared" si="216"/>
        <v>0</v>
      </c>
      <c r="S151" s="566">
        <f t="shared" si="217"/>
        <v>0</v>
      </c>
      <c r="T151" s="566">
        <f>Q151+R151+S151</f>
        <v>0</v>
      </c>
      <c r="U151" s="2028">
        <f t="shared" si="199"/>
        <v>0</v>
      </c>
      <c r="V151" s="1357"/>
      <c r="W151" s="1361">
        <v>130</v>
      </c>
      <c r="X151" s="1362"/>
      <c r="Y151" s="1363" t="s">
        <v>645</v>
      </c>
      <c r="AD151" s="2141">
        <f t="shared" si="174"/>
        <v>2.6</v>
      </c>
      <c r="AE151" s="2142" t="str">
        <f t="shared" si="162"/>
        <v/>
      </c>
      <c r="AG151" s="2118" t="s">
        <v>1816</v>
      </c>
    </row>
    <row r="152" spans="1:33" ht="25.5" hidden="1" outlineLevel="3" x14ac:dyDescent="0.2">
      <c r="A152" s="1360">
        <f t="shared" si="219"/>
        <v>621</v>
      </c>
      <c r="B152" s="739" t="s">
        <v>626</v>
      </c>
      <c r="C152" s="532" t="s">
        <v>1071</v>
      </c>
      <c r="D152" s="2153">
        <v>4</v>
      </c>
      <c r="E152" s="560" t="s">
        <v>502</v>
      </c>
      <c r="F152" s="2165" t="s">
        <v>312</v>
      </c>
      <c r="G152" s="2180">
        <f>0.131+0.095</f>
        <v>0.22600000000000001</v>
      </c>
      <c r="H152" s="740">
        <f>SUMIFS(Исх!$BP$30:$BP$41,Исх!$BQ$30:$BQ$41,Трудозатраты!$W152,Исх!$BN$30:$BN$41,Трудозатраты!Y152)</f>
        <v>0</v>
      </c>
      <c r="I152" s="1359">
        <f t="shared" si="209"/>
        <v>0</v>
      </c>
      <c r="J152" s="562" t="str">
        <f t="shared" si="210"/>
        <v>0:0:00</v>
      </c>
      <c r="K152" s="563">
        <v>1000</v>
      </c>
      <c r="L152" s="2127">
        <f t="shared" si="211"/>
        <v>95.15</v>
      </c>
      <c r="M152" s="561">
        <f t="shared" si="212"/>
        <v>0</v>
      </c>
      <c r="N152" s="564">
        <v>1</v>
      </c>
      <c r="O152" s="561">
        <f t="shared" si="213"/>
        <v>0</v>
      </c>
      <c r="P152" s="561">
        <f t="shared" si="214"/>
        <v>0</v>
      </c>
      <c r="Q152" s="565">
        <f t="shared" si="215"/>
        <v>0</v>
      </c>
      <c r="R152" s="566">
        <f t="shared" si="216"/>
        <v>0</v>
      </c>
      <c r="S152" s="566">
        <f t="shared" si="217"/>
        <v>0</v>
      </c>
      <c r="T152" s="566">
        <f t="shared" ref="T152" si="221">Q152+R152+S152</f>
        <v>0</v>
      </c>
      <c r="U152" s="2028">
        <f t="shared" si="199"/>
        <v>0</v>
      </c>
      <c r="V152" s="1357"/>
      <c r="W152" s="1361">
        <v>130</v>
      </c>
      <c r="X152" s="1362"/>
      <c r="Y152" s="1363" t="s">
        <v>646</v>
      </c>
      <c r="AD152" s="2141">
        <f t="shared" si="174"/>
        <v>2.6</v>
      </c>
      <c r="AE152" s="2142" t="str">
        <f t="shared" si="162"/>
        <v/>
      </c>
      <c r="AG152" s="2118" t="s">
        <v>1816</v>
      </c>
    </row>
    <row r="153" spans="1:33" ht="25.5" hidden="1" outlineLevel="3" x14ac:dyDescent="0.2">
      <c r="A153" s="1360">
        <f t="shared" si="219"/>
        <v>622</v>
      </c>
      <c r="B153" s="558" t="s">
        <v>514</v>
      </c>
      <c r="C153" s="532" t="s">
        <v>1071</v>
      </c>
      <c r="D153" s="2153">
        <v>4</v>
      </c>
      <c r="E153" s="560" t="s">
        <v>502</v>
      </c>
      <c r="F153" s="2153" t="s">
        <v>312</v>
      </c>
      <c r="G153" s="2180">
        <v>0.34699999999999998</v>
      </c>
      <c r="H153" s="164"/>
      <c r="I153" s="1359">
        <f t="shared" si="209"/>
        <v>0</v>
      </c>
      <c r="J153" s="562" t="str">
        <f t="shared" si="210"/>
        <v>0:0:00</v>
      </c>
      <c r="K153" s="563">
        <v>1000</v>
      </c>
      <c r="L153" s="2127">
        <f t="shared" si="211"/>
        <v>95.15</v>
      </c>
      <c r="M153" s="561">
        <f t="shared" si="212"/>
        <v>0</v>
      </c>
      <c r="N153" s="564">
        <v>1</v>
      </c>
      <c r="O153" s="561">
        <f t="shared" si="213"/>
        <v>0</v>
      </c>
      <c r="P153" s="561">
        <f t="shared" si="214"/>
        <v>0</v>
      </c>
      <c r="Q153" s="565">
        <f t="shared" si="215"/>
        <v>0</v>
      </c>
      <c r="R153" s="566">
        <f t="shared" si="216"/>
        <v>0</v>
      </c>
      <c r="S153" s="566">
        <f t="shared" si="217"/>
        <v>0</v>
      </c>
      <c r="T153" s="566">
        <f>Q153+R153+S153</f>
        <v>0</v>
      </c>
      <c r="U153" s="2028">
        <f t="shared" si="199"/>
        <v>0</v>
      </c>
      <c r="V153" s="1357"/>
      <c r="W153" s="1361"/>
      <c r="X153" s="1361"/>
      <c r="Y153" s="1361"/>
      <c r="AD153" s="2141">
        <f t="shared" si="174"/>
        <v>2.6</v>
      </c>
      <c r="AE153" s="2142" t="str">
        <f t="shared" si="162"/>
        <v/>
      </c>
      <c r="AG153" s="2118" t="s">
        <v>1816</v>
      </c>
    </row>
    <row r="154" spans="1:33" ht="25.5" hidden="1" outlineLevel="3" x14ac:dyDescent="0.2">
      <c r="A154" s="1360">
        <f t="shared" si="219"/>
        <v>623</v>
      </c>
      <c r="B154" s="567" t="s">
        <v>515</v>
      </c>
      <c r="C154" s="532" t="s">
        <v>1071</v>
      </c>
      <c r="D154" s="2153">
        <v>4</v>
      </c>
      <c r="E154" s="560" t="s">
        <v>502</v>
      </c>
      <c r="F154" s="2153" t="s">
        <v>312</v>
      </c>
      <c r="G154" s="2180">
        <v>8.3000000000000001E-3</v>
      </c>
      <c r="H154" s="164">
        <f>SUM(H156:H165)*3</f>
        <v>0</v>
      </c>
      <c r="I154" s="1359">
        <f t="shared" si="209"/>
        <v>0</v>
      </c>
      <c r="J154" s="562" t="str">
        <f t="shared" si="210"/>
        <v>0:0:00</v>
      </c>
      <c r="K154" s="563">
        <v>1000</v>
      </c>
      <c r="L154" s="2127">
        <f t="shared" si="211"/>
        <v>95.15</v>
      </c>
      <c r="M154" s="561">
        <f t="shared" si="212"/>
        <v>0</v>
      </c>
      <c r="N154" s="564">
        <v>1</v>
      </c>
      <c r="O154" s="561">
        <f t="shared" si="213"/>
        <v>0</v>
      </c>
      <c r="P154" s="561">
        <f t="shared" si="214"/>
        <v>0</v>
      </c>
      <c r="Q154" s="565">
        <f t="shared" si="215"/>
        <v>0</v>
      </c>
      <c r="R154" s="566">
        <f t="shared" si="216"/>
        <v>0</v>
      </c>
      <c r="S154" s="566">
        <f t="shared" si="217"/>
        <v>0</v>
      </c>
      <c r="T154" s="566">
        <f t="shared" ref="T154:T165" si="222">Q154+R154+S154</f>
        <v>0</v>
      </c>
      <c r="U154" s="2028">
        <f t="shared" si="199"/>
        <v>0</v>
      </c>
      <c r="V154" s="1357"/>
      <c r="W154" s="1361"/>
      <c r="X154" s="1361"/>
      <c r="Y154" s="1361"/>
      <c r="AD154" s="2141">
        <f t="shared" si="174"/>
        <v>2.6</v>
      </c>
      <c r="AE154" s="2142" t="str">
        <f t="shared" ref="AE154:AE217" si="223">IF(T154&gt;0,T154*AD154,"")</f>
        <v/>
      </c>
      <c r="AG154" s="2118" t="s">
        <v>1816</v>
      </c>
    </row>
    <row r="155" spans="1:33" ht="25.5" hidden="1" outlineLevel="3" x14ac:dyDescent="0.2">
      <c r="A155" s="1360">
        <f t="shared" si="219"/>
        <v>624</v>
      </c>
      <c r="B155" s="567" t="s">
        <v>516</v>
      </c>
      <c r="C155" s="532" t="s">
        <v>1071</v>
      </c>
      <c r="D155" s="2153">
        <v>4</v>
      </c>
      <c r="E155" s="560" t="s">
        <v>502</v>
      </c>
      <c r="F155" s="2153" t="s">
        <v>312</v>
      </c>
      <c r="G155" s="2180">
        <v>4.8300000000000003E-2</v>
      </c>
      <c r="H155" s="164"/>
      <c r="I155" s="1359">
        <f t="shared" si="209"/>
        <v>0</v>
      </c>
      <c r="J155" s="562" t="str">
        <f t="shared" si="210"/>
        <v>0:0:00</v>
      </c>
      <c r="K155" s="563">
        <v>1000</v>
      </c>
      <c r="L155" s="2127">
        <f t="shared" si="211"/>
        <v>95.15</v>
      </c>
      <c r="M155" s="561">
        <f t="shared" si="212"/>
        <v>0</v>
      </c>
      <c r="N155" s="564">
        <v>1</v>
      </c>
      <c r="O155" s="561">
        <f t="shared" si="213"/>
        <v>0</v>
      </c>
      <c r="P155" s="561">
        <f t="shared" si="214"/>
        <v>0</v>
      </c>
      <c r="Q155" s="565">
        <f t="shared" si="215"/>
        <v>0</v>
      </c>
      <c r="R155" s="566">
        <f t="shared" si="216"/>
        <v>0</v>
      </c>
      <c r="S155" s="566">
        <f t="shared" si="217"/>
        <v>0</v>
      </c>
      <c r="T155" s="566">
        <f t="shared" si="222"/>
        <v>0</v>
      </c>
      <c r="U155" s="2028">
        <f t="shared" si="199"/>
        <v>0</v>
      </c>
      <c r="V155" s="1357"/>
      <c r="W155" s="1361"/>
      <c r="X155" s="1361"/>
      <c r="Y155" s="1361"/>
      <c r="AD155" s="2141">
        <f t="shared" si="174"/>
        <v>2.6</v>
      </c>
      <c r="AE155" s="2142" t="str">
        <f t="shared" si="223"/>
        <v/>
      </c>
      <c r="AG155" s="2118" t="s">
        <v>1816</v>
      </c>
    </row>
    <row r="156" spans="1:33" ht="25.5" hidden="1" outlineLevel="3" x14ac:dyDescent="0.2">
      <c r="A156" s="1360">
        <f t="shared" si="219"/>
        <v>625</v>
      </c>
      <c r="B156" s="568" t="s">
        <v>517</v>
      </c>
      <c r="C156" s="532" t="s">
        <v>1071</v>
      </c>
      <c r="D156" s="2153">
        <v>4</v>
      </c>
      <c r="E156" s="560" t="s">
        <v>502</v>
      </c>
      <c r="F156" s="2153" t="s">
        <v>312</v>
      </c>
      <c r="G156" s="2180">
        <v>5.7000000000000002E-2</v>
      </c>
      <c r="H156" s="164"/>
      <c r="I156" s="1359">
        <f t="shared" si="209"/>
        <v>0</v>
      </c>
      <c r="J156" s="562" t="str">
        <f t="shared" si="210"/>
        <v>0:0:00</v>
      </c>
      <c r="K156" s="563">
        <v>1000</v>
      </c>
      <c r="L156" s="2127">
        <f t="shared" si="211"/>
        <v>95.15</v>
      </c>
      <c r="M156" s="561">
        <f t="shared" si="212"/>
        <v>0</v>
      </c>
      <c r="N156" s="564">
        <v>1</v>
      </c>
      <c r="O156" s="561">
        <f t="shared" si="213"/>
        <v>0</v>
      </c>
      <c r="P156" s="561">
        <f t="shared" si="214"/>
        <v>0</v>
      </c>
      <c r="Q156" s="565">
        <f t="shared" si="215"/>
        <v>0</v>
      </c>
      <c r="R156" s="566">
        <f t="shared" si="216"/>
        <v>0</v>
      </c>
      <c r="S156" s="566">
        <f t="shared" si="217"/>
        <v>0</v>
      </c>
      <c r="T156" s="566">
        <f t="shared" si="222"/>
        <v>0</v>
      </c>
      <c r="U156" s="2028">
        <f t="shared" si="199"/>
        <v>0</v>
      </c>
      <c r="V156" s="1357"/>
      <c r="W156" s="1361"/>
      <c r="X156" s="1361"/>
      <c r="Y156" s="1361"/>
      <c r="AD156" s="2141">
        <f t="shared" si="174"/>
        <v>2.6</v>
      </c>
      <c r="AE156" s="2142" t="str">
        <f t="shared" si="223"/>
        <v/>
      </c>
      <c r="AG156" s="2118" t="s">
        <v>1816</v>
      </c>
    </row>
    <row r="157" spans="1:33" ht="25.5" hidden="1" outlineLevel="3" x14ac:dyDescent="0.2">
      <c r="A157" s="1360">
        <f t="shared" si="219"/>
        <v>626</v>
      </c>
      <c r="B157" s="568" t="s">
        <v>518</v>
      </c>
      <c r="C157" s="532" t="s">
        <v>1071</v>
      </c>
      <c r="D157" s="2153">
        <v>4</v>
      </c>
      <c r="E157" s="560" t="s">
        <v>502</v>
      </c>
      <c r="F157" s="2153" t="s">
        <v>312</v>
      </c>
      <c r="G157" s="2180">
        <v>7.8E-2</v>
      </c>
      <c r="H157" s="164"/>
      <c r="I157" s="1359">
        <f t="shared" si="209"/>
        <v>0</v>
      </c>
      <c r="J157" s="562" t="str">
        <f t="shared" si="210"/>
        <v>0:0:00</v>
      </c>
      <c r="K157" s="563">
        <v>1000</v>
      </c>
      <c r="L157" s="2127">
        <f t="shared" si="211"/>
        <v>95.15</v>
      </c>
      <c r="M157" s="561">
        <f t="shared" si="212"/>
        <v>0</v>
      </c>
      <c r="N157" s="564">
        <v>1</v>
      </c>
      <c r="O157" s="561">
        <f t="shared" si="213"/>
        <v>0</v>
      </c>
      <c r="P157" s="561">
        <f t="shared" si="214"/>
        <v>0</v>
      </c>
      <c r="Q157" s="565">
        <f t="shared" si="215"/>
        <v>0</v>
      </c>
      <c r="R157" s="566">
        <f t="shared" si="216"/>
        <v>0</v>
      </c>
      <c r="S157" s="566">
        <f t="shared" si="217"/>
        <v>0</v>
      </c>
      <c r="T157" s="566">
        <f t="shared" si="222"/>
        <v>0</v>
      </c>
      <c r="U157" s="2028">
        <f t="shared" si="199"/>
        <v>0</v>
      </c>
      <c r="V157" s="1357"/>
      <c r="W157" s="1361"/>
      <c r="X157" s="1361"/>
      <c r="Y157" s="1361"/>
      <c r="AD157" s="2141">
        <f t="shared" si="174"/>
        <v>2.6</v>
      </c>
      <c r="AE157" s="2142" t="str">
        <f t="shared" si="223"/>
        <v/>
      </c>
      <c r="AG157" s="2118" t="s">
        <v>1816</v>
      </c>
    </row>
    <row r="158" spans="1:33" ht="25.5" hidden="1" outlineLevel="3" x14ac:dyDescent="0.2">
      <c r="A158" s="1360">
        <f t="shared" si="219"/>
        <v>627</v>
      </c>
      <c r="B158" s="568" t="s">
        <v>519</v>
      </c>
      <c r="C158" s="532" t="s">
        <v>1071</v>
      </c>
      <c r="D158" s="2153">
        <v>4</v>
      </c>
      <c r="E158" s="560" t="s">
        <v>502</v>
      </c>
      <c r="F158" s="2153" t="s">
        <v>312</v>
      </c>
      <c r="G158" s="2180">
        <v>9.2999999999999999E-2</v>
      </c>
      <c r="H158" s="164"/>
      <c r="I158" s="1359">
        <f t="shared" si="209"/>
        <v>0</v>
      </c>
      <c r="J158" s="562" t="str">
        <f t="shared" si="210"/>
        <v>0:0:00</v>
      </c>
      <c r="K158" s="563">
        <v>1000</v>
      </c>
      <c r="L158" s="2127">
        <f t="shared" si="211"/>
        <v>95.15</v>
      </c>
      <c r="M158" s="561">
        <f t="shared" si="212"/>
        <v>0</v>
      </c>
      <c r="N158" s="564">
        <v>1</v>
      </c>
      <c r="O158" s="561">
        <f t="shared" si="213"/>
        <v>0</v>
      </c>
      <c r="P158" s="561">
        <f t="shared" si="214"/>
        <v>0</v>
      </c>
      <c r="Q158" s="565">
        <f t="shared" si="215"/>
        <v>0</v>
      </c>
      <c r="R158" s="566">
        <f t="shared" si="216"/>
        <v>0</v>
      </c>
      <c r="S158" s="566">
        <f t="shared" si="217"/>
        <v>0</v>
      </c>
      <c r="T158" s="566">
        <f t="shared" si="222"/>
        <v>0</v>
      </c>
      <c r="U158" s="2028">
        <f t="shared" si="199"/>
        <v>0</v>
      </c>
      <c r="V158" s="1357"/>
      <c r="W158" s="1361"/>
      <c r="X158" s="1361"/>
      <c r="Y158" s="1361"/>
      <c r="AD158" s="2141">
        <f t="shared" si="174"/>
        <v>2.6</v>
      </c>
      <c r="AE158" s="2142" t="str">
        <f t="shared" si="223"/>
        <v/>
      </c>
      <c r="AG158" s="2118" t="s">
        <v>1816</v>
      </c>
    </row>
    <row r="159" spans="1:33" ht="25.5" hidden="1" outlineLevel="3" x14ac:dyDescent="0.2">
      <c r="A159" s="1360">
        <f t="shared" si="219"/>
        <v>628</v>
      </c>
      <c r="B159" s="568" t="s">
        <v>520</v>
      </c>
      <c r="C159" s="532" t="s">
        <v>1071</v>
      </c>
      <c r="D159" s="2153">
        <v>4</v>
      </c>
      <c r="E159" s="560" t="s">
        <v>502</v>
      </c>
      <c r="F159" s="2153" t="s">
        <v>312</v>
      </c>
      <c r="G159" s="2180">
        <v>0.11</v>
      </c>
      <c r="H159" s="164"/>
      <c r="I159" s="1359">
        <f t="shared" si="209"/>
        <v>0</v>
      </c>
      <c r="J159" s="562" t="str">
        <f t="shared" si="210"/>
        <v>0:0:00</v>
      </c>
      <c r="K159" s="563">
        <v>1000</v>
      </c>
      <c r="L159" s="2127">
        <f t="shared" si="211"/>
        <v>95.15</v>
      </c>
      <c r="M159" s="561">
        <f t="shared" si="212"/>
        <v>0</v>
      </c>
      <c r="N159" s="564">
        <v>1</v>
      </c>
      <c r="O159" s="561">
        <f t="shared" si="213"/>
        <v>0</v>
      </c>
      <c r="P159" s="561">
        <f t="shared" si="214"/>
        <v>0</v>
      </c>
      <c r="Q159" s="565">
        <f t="shared" si="215"/>
        <v>0</v>
      </c>
      <c r="R159" s="566">
        <f t="shared" si="216"/>
        <v>0</v>
      </c>
      <c r="S159" s="566">
        <f t="shared" si="217"/>
        <v>0</v>
      </c>
      <c r="T159" s="566">
        <f t="shared" si="222"/>
        <v>0</v>
      </c>
      <c r="U159" s="2028">
        <f t="shared" si="199"/>
        <v>0</v>
      </c>
      <c r="V159" s="1357"/>
      <c r="W159" s="1361"/>
      <c r="X159" s="1361"/>
      <c r="Y159" s="1361"/>
      <c r="AD159" s="2141">
        <f t="shared" si="174"/>
        <v>2.6</v>
      </c>
      <c r="AE159" s="2142" t="str">
        <f t="shared" si="223"/>
        <v/>
      </c>
      <c r="AG159" s="2118" t="s">
        <v>1816</v>
      </c>
    </row>
    <row r="160" spans="1:33" ht="25.5" hidden="1" outlineLevel="3" x14ac:dyDescent="0.2">
      <c r="A160" s="1360">
        <f t="shared" si="219"/>
        <v>629</v>
      </c>
      <c r="B160" s="568" t="s">
        <v>521</v>
      </c>
      <c r="C160" s="532" t="s">
        <v>1071</v>
      </c>
      <c r="D160" s="2153">
        <v>4</v>
      </c>
      <c r="E160" s="560" t="s">
        <v>502</v>
      </c>
      <c r="F160" s="2153" t="s">
        <v>312</v>
      </c>
      <c r="G160" s="2180">
        <v>0.123</v>
      </c>
      <c r="H160" s="164"/>
      <c r="I160" s="1359">
        <f t="shared" si="209"/>
        <v>0</v>
      </c>
      <c r="J160" s="562" t="str">
        <f t="shared" si="210"/>
        <v>0:0:00</v>
      </c>
      <c r="K160" s="563">
        <v>1000</v>
      </c>
      <c r="L160" s="2127">
        <f t="shared" si="211"/>
        <v>95.15</v>
      </c>
      <c r="M160" s="561">
        <f t="shared" si="212"/>
        <v>0</v>
      </c>
      <c r="N160" s="564">
        <v>1</v>
      </c>
      <c r="O160" s="561">
        <f t="shared" si="213"/>
        <v>0</v>
      </c>
      <c r="P160" s="561">
        <f t="shared" si="214"/>
        <v>0</v>
      </c>
      <c r="Q160" s="565">
        <f t="shared" si="215"/>
        <v>0</v>
      </c>
      <c r="R160" s="566">
        <f t="shared" si="216"/>
        <v>0</v>
      </c>
      <c r="S160" s="566">
        <f t="shared" si="217"/>
        <v>0</v>
      </c>
      <c r="T160" s="566">
        <f t="shared" si="222"/>
        <v>0</v>
      </c>
      <c r="U160" s="2028">
        <f t="shared" si="199"/>
        <v>0</v>
      </c>
      <c r="V160" s="1357"/>
      <c r="W160" s="1361"/>
      <c r="X160" s="1361"/>
      <c r="Y160" s="1361"/>
      <c r="AD160" s="2141">
        <f t="shared" si="174"/>
        <v>2.6</v>
      </c>
      <c r="AE160" s="2142" t="str">
        <f t="shared" si="223"/>
        <v/>
      </c>
      <c r="AG160" s="2118" t="s">
        <v>1816</v>
      </c>
    </row>
    <row r="161" spans="1:33" ht="25.5" hidden="1" outlineLevel="3" x14ac:dyDescent="0.2">
      <c r="A161" s="1360">
        <f t="shared" si="219"/>
        <v>630</v>
      </c>
      <c r="B161" s="568" t="s">
        <v>522</v>
      </c>
      <c r="C161" s="532" t="s">
        <v>1071</v>
      </c>
      <c r="D161" s="2153">
        <v>4</v>
      </c>
      <c r="E161" s="560" t="s">
        <v>502</v>
      </c>
      <c r="F161" s="2153" t="s">
        <v>312</v>
      </c>
      <c r="G161" s="2180">
        <v>0.17499999999999999</v>
      </c>
      <c r="H161" s="164"/>
      <c r="I161" s="1359">
        <f t="shared" si="209"/>
        <v>0</v>
      </c>
      <c r="J161" s="562" t="str">
        <f t="shared" si="210"/>
        <v>0:0:00</v>
      </c>
      <c r="K161" s="563">
        <v>1000</v>
      </c>
      <c r="L161" s="2127">
        <f t="shared" si="211"/>
        <v>95.15</v>
      </c>
      <c r="M161" s="561">
        <f t="shared" si="212"/>
        <v>0</v>
      </c>
      <c r="N161" s="564">
        <v>1</v>
      </c>
      <c r="O161" s="561">
        <f t="shared" si="213"/>
        <v>0</v>
      </c>
      <c r="P161" s="561">
        <f t="shared" si="214"/>
        <v>0</v>
      </c>
      <c r="Q161" s="565">
        <f t="shared" si="215"/>
        <v>0</v>
      </c>
      <c r="R161" s="566">
        <f t="shared" si="216"/>
        <v>0</v>
      </c>
      <c r="S161" s="566">
        <f t="shared" si="217"/>
        <v>0</v>
      </c>
      <c r="T161" s="566">
        <f t="shared" si="222"/>
        <v>0</v>
      </c>
      <c r="U161" s="2028">
        <f t="shared" si="199"/>
        <v>0</v>
      </c>
      <c r="V161" s="1357"/>
      <c r="W161" s="1361"/>
      <c r="X161" s="1361"/>
      <c r="Y161" s="1361"/>
      <c r="AD161" s="2141">
        <f t="shared" si="174"/>
        <v>2.6</v>
      </c>
      <c r="AE161" s="2142" t="str">
        <f t="shared" si="223"/>
        <v/>
      </c>
      <c r="AG161" s="2118" t="s">
        <v>1816</v>
      </c>
    </row>
    <row r="162" spans="1:33" ht="25.5" hidden="1" outlineLevel="3" x14ac:dyDescent="0.2">
      <c r="A162" s="1360">
        <f t="shared" si="219"/>
        <v>631</v>
      </c>
      <c r="B162" s="568" t="s">
        <v>523</v>
      </c>
      <c r="C162" s="532" t="s">
        <v>1071</v>
      </c>
      <c r="D162" s="2153">
        <v>4</v>
      </c>
      <c r="E162" s="560" t="s">
        <v>502</v>
      </c>
      <c r="F162" s="2153" t="s">
        <v>312</v>
      </c>
      <c r="G162" s="2180">
        <v>0.187</v>
      </c>
      <c r="H162" s="164"/>
      <c r="I162" s="1359">
        <f t="shared" si="209"/>
        <v>0</v>
      </c>
      <c r="J162" s="562" t="str">
        <f t="shared" si="210"/>
        <v>0:0:00</v>
      </c>
      <c r="K162" s="563">
        <v>1000</v>
      </c>
      <c r="L162" s="2127">
        <f t="shared" si="211"/>
        <v>95.15</v>
      </c>
      <c r="M162" s="561">
        <f t="shared" si="212"/>
        <v>0</v>
      </c>
      <c r="N162" s="564">
        <v>1</v>
      </c>
      <c r="O162" s="561">
        <f t="shared" si="213"/>
        <v>0</v>
      </c>
      <c r="P162" s="561">
        <f t="shared" si="214"/>
        <v>0</v>
      </c>
      <c r="Q162" s="565">
        <f t="shared" si="215"/>
        <v>0</v>
      </c>
      <c r="R162" s="566">
        <f t="shared" si="216"/>
        <v>0</v>
      </c>
      <c r="S162" s="566">
        <f t="shared" si="217"/>
        <v>0</v>
      </c>
      <c r="T162" s="566">
        <f t="shared" si="222"/>
        <v>0</v>
      </c>
      <c r="U162" s="2028">
        <f t="shared" si="199"/>
        <v>0</v>
      </c>
      <c r="V162" s="1357"/>
      <c r="W162" s="1361"/>
      <c r="X162" s="1361"/>
      <c r="Y162" s="1361"/>
      <c r="AD162" s="2141">
        <f t="shared" si="174"/>
        <v>2.6</v>
      </c>
      <c r="AE162" s="2142" t="str">
        <f t="shared" si="223"/>
        <v/>
      </c>
      <c r="AG162" s="2118" t="s">
        <v>1816</v>
      </c>
    </row>
    <row r="163" spans="1:33" ht="25.5" hidden="1" outlineLevel="3" x14ac:dyDescent="0.2">
      <c r="A163" s="1360">
        <f t="shared" si="219"/>
        <v>632</v>
      </c>
      <c r="B163" s="568" t="s">
        <v>524</v>
      </c>
      <c r="C163" s="532" t="s">
        <v>1071</v>
      </c>
      <c r="D163" s="2153">
        <v>4</v>
      </c>
      <c r="E163" s="560" t="s">
        <v>502</v>
      </c>
      <c r="F163" s="2153" t="s">
        <v>312</v>
      </c>
      <c r="G163" s="2180">
        <v>0.222</v>
      </c>
      <c r="H163" s="164"/>
      <c r="I163" s="1359">
        <f t="shared" si="209"/>
        <v>0</v>
      </c>
      <c r="J163" s="562" t="str">
        <f t="shared" si="210"/>
        <v>0:0:00</v>
      </c>
      <c r="K163" s="563">
        <v>1000</v>
      </c>
      <c r="L163" s="2127">
        <f t="shared" si="211"/>
        <v>95.15</v>
      </c>
      <c r="M163" s="561">
        <f t="shared" si="212"/>
        <v>0</v>
      </c>
      <c r="N163" s="564">
        <v>1</v>
      </c>
      <c r="O163" s="561">
        <f t="shared" si="213"/>
        <v>0</v>
      </c>
      <c r="P163" s="561">
        <f t="shared" si="214"/>
        <v>0</v>
      </c>
      <c r="Q163" s="565">
        <f t="shared" si="215"/>
        <v>0</v>
      </c>
      <c r="R163" s="566">
        <f t="shared" si="216"/>
        <v>0</v>
      </c>
      <c r="S163" s="566">
        <f t="shared" si="217"/>
        <v>0</v>
      </c>
      <c r="T163" s="566">
        <f t="shared" si="222"/>
        <v>0</v>
      </c>
      <c r="U163" s="2028">
        <f t="shared" si="199"/>
        <v>0</v>
      </c>
      <c r="V163" s="1357"/>
      <c r="W163" s="1361"/>
      <c r="X163" s="1361"/>
      <c r="Y163" s="1361"/>
      <c r="AD163" s="2141">
        <f t="shared" si="174"/>
        <v>2.6</v>
      </c>
      <c r="AE163" s="2142" t="str">
        <f t="shared" si="223"/>
        <v/>
      </c>
      <c r="AG163" s="2118" t="s">
        <v>1816</v>
      </c>
    </row>
    <row r="164" spans="1:33" ht="25.5" hidden="1" outlineLevel="3" x14ac:dyDescent="0.2">
      <c r="A164" s="1360">
        <f t="shared" si="219"/>
        <v>633</v>
      </c>
      <c r="B164" s="568" t="s">
        <v>525</v>
      </c>
      <c r="C164" s="532" t="s">
        <v>1071</v>
      </c>
      <c r="D164" s="2153">
        <v>4</v>
      </c>
      <c r="E164" s="560" t="s">
        <v>502</v>
      </c>
      <c r="F164" s="2153" t="s">
        <v>312</v>
      </c>
      <c r="G164" s="2180">
        <v>0.27300000000000002</v>
      </c>
      <c r="H164" s="164"/>
      <c r="I164" s="1359">
        <f t="shared" si="209"/>
        <v>0</v>
      </c>
      <c r="J164" s="562" t="str">
        <f t="shared" si="210"/>
        <v>0:0:00</v>
      </c>
      <c r="K164" s="563">
        <v>1000</v>
      </c>
      <c r="L164" s="2127">
        <f t="shared" si="211"/>
        <v>95.15</v>
      </c>
      <c r="M164" s="561">
        <f t="shared" si="212"/>
        <v>0</v>
      </c>
      <c r="N164" s="564">
        <v>1</v>
      </c>
      <c r="O164" s="561">
        <f t="shared" si="213"/>
        <v>0</v>
      </c>
      <c r="P164" s="561">
        <f t="shared" si="214"/>
        <v>0</v>
      </c>
      <c r="Q164" s="565">
        <f t="shared" si="215"/>
        <v>0</v>
      </c>
      <c r="R164" s="566">
        <f t="shared" si="216"/>
        <v>0</v>
      </c>
      <c r="S164" s="566">
        <f t="shared" si="217"/>
        <v>0</v>
      </c>
      <c r="T164" s="566">
        <f t="shared" si="222"/>
        <v>0</v>
      </c>
      <c r="U164" s="2028">
        <f t="shared" si="199"/>
        <v>0</v>
      </c>
      <c r="V164" s="1357"/>
      <c r="W164" s="1361"/>
      <c r="X164" s="1361"/>
      <c r="Y164" s="1361"/>
      <c r="AD164" s="2141">
        <f t="shared" si="174"/>
        <v>2.6</v>
      </c>
      <c r="AE164" s="2142" t="str">
        <f t="shared" si="223"/>
        <v/>
      </c>
      <c r="AG164" s="2118" t="s">
        <v>1816</v>
      </c>
    </row>
    <row r="165" spans="1:33" ht="25.5" hidden="1" outlineLevel="3" x14ac:dyDescent="0.2">
      <c r="A165" s="1360">
        <f t="shared" si="219"/>
        <v>634</v>
      </c>
      <c r="B165" s="568" t="s">
        <v>526</v>
      </c>
      <c r="C165" s="532" t="s">
        <v>1071</v>
      </c>
      <c r="D165" s="2153">
        <v>4</v>
      </c>
      <c r="E165" s="560" t="s">
        <v>502</v>
      </c>
      <c r="F165" s="2153" t="s">
        <v>312</v>
      </c>
      <c r="G165" s="2180">
        <v>0.34200000000000003</v>
      </c>
      <c r="H165" s="164"/>
      <c r="I165" s="1359">
        <f t="shared" si="209"/>
        <v>0</v>
      </c>
      <c r="J165" s="562" t="str">
        <f t="shared" si="210"/>
        <v>0:0:00</v>
      </c>
      <c r="K165" s="563">
        <v>1000</v>
      </c>
      <c r="L165" s="2127">
        <f t="shared" si="211"/>
        <v>95.15</v>
      </c>
      <c r="M165" s="561">
        <f t="shared" si="212"/>
        <v>0</v>
      </c>
      <c r="N165" s="564">
        <v>1</v>
      </c>
      <c r="O165" s="561">
        <f t="shared" si="213"/>
        <v>0</v>
      </c>
      <c r="P165" s="561">
        <f t="shared" si="214"/>
        <v>0</v>
      </c>
      <c r="Q165" s="565">
        <f t="shared" si="215"/>
        <v>0</v>
      </c>
      <c r="R165" s="566">
        <f t="shared" si="216"/>
        <v>0</v>
      </c>
      <c r="S165" s="566">
        <f t="shared" si="217"/>
        <v>0</v>
      </c>
      <c r="T165" s="566">
        <f t="shared" si="222"/>
        <v>0</v>
      </c>
      <c r="U165" s="2028">
        <f t="shared" si="199"/>
        <v>0</v>
      </c>
      <c r="V165" s="1357"/>
      <c r="W165" s="1361"/>
      <c r="X165" s="1361"/>
      <c r="Y165" s="1361"/>
      <c r="AD165" s="2141">
        <f t="shared" si="174"/>
        <v>2.6</v>
      </c>
      <c r="AE165" s="2142" t="str">
        <f t="shared" si="223"/>
        <v/>
      </c>
      <c r="AG165" s="2118" t="s">
        <v>1816</v>
      </c>
    </row>
    <row r="166" spans="1:33" ht="14.25" hidden="1" outlineLevel="2" x14ac:dyDescent="0.2">
      <c r="A166" s="1360"/>
      <c r="B166" s="557" t="s">
        <v>1074</v>
      </c>
      <c r="C166" s="522"/>
      <c r="D166" s="2152"/>
      <c r="E166" s="523" t="s">
        <v>218</v>
      </c>
      <c r="F166" s="2164"/>
      <c r="G166" s="2181"/>
      <c r="H166" s="569">
        <f>SUM(H156:H165)</f>
        <v>0</v>
      </c>
      <c r="I166" s="2043">
        <f>SUM(I167:I184)</f>
        <v>0</v>
      </c>
      <c r="J166" s="524"/>
      <c r="K166" s="524"/>
      <c r="L166" s="526"/>
      <c r="M166" s="524"/>
      <c r="N166" s="524"/>
      <c r="O166" s="524"/>
      <c r="P166" s="524"/>
      <c r="Q166" s="527"/>
      <c r="R166" s="524"/>
      <c r="S166" s="524"/>
      <c r="T166" s="524"/>
      <c r="U166" s="2028">
        <f t="shared" si="199"/>
        <v>0</v>
      </c>
      <c r="V166" s="1357"/>
      <c r="W166" s="1361"/>
      <c r="X166" s="1361"/>
      <c r="Y166" s="1361"/>
      <c r="AD166" s="2141" t="str">
        <f t="shared" si="174"/>
        <v/>
      </c>
      <c r="AE166" s="2142" t="str">
        <f t="shared" si="223"/>
        <v/>
      </c>
      <c r="AG166" s="2118" t="s">
        <v>1816</v>
      </c>
    </row>
    <row r="167" spans="1:33" ht="25.5" hidden="1" outlineLevel="3" x14ac:dyDescent="0.2">
      <c r="A167" s="1360">
        <f>A165+1</f>
        <v>635</v>
      </c>
      <c r="B167" s="738" t="s">
        <v>627</v>
      </c>
      <c r="C167" s="532" t="s">
        <v>1071</v>
      </c>
      <c r="D167" s="2153">
        <v>4</v>
      </c>
      <c r="E167" s="560" t="s">
        <v>502</v>
      </c>
      <c r="F167" s="2165" t="s">
        <v>312</v>
      </c>
      <c r="G167" s="2180">
        <f>0.026+0.104</f>
        <v>0.13</v>
      </c>
      <c r="H167" s="740">
        <f>SUMIFS(Исх!$BP$30:$BP$41,Исх!$BQ$30:$BQ$41,Трудозатраты!$W167,Исх!$BN$30:$BN$41,Трудозатраты!Y167)</f>
        <v>0</v>
      </c>
      <c r="I167" s="1359">
        <f>IF(H167&gt;0,IF((G167*H167/K167)&lt;0.084,0.084,(G167*H167/K167)),0)</f>
        <v>0</v>
      </c>
      <c r="J167" s="562" t="str">
        <f t="shared" ref="J167:J184" si="224">CONCATENATE(TRUNC(I167,0),":",INT((I167-(TRUNC(I167,0)))*60),":","00")</f>
        <v>0:0:00</v>
      </c>
      <c r="K167" s="563">
        <v>1000</v>
      </c>
      <c r="L167" s="2127">
        <f t="shared" ref="L167:L184" si="225">РезкаПодрезка</f>
        <v>95.15</v>
      </c>
      <c r="M167" s="561">
        <f t="shared" ref="M167:M184" si="226">I167*L167</f>
        <v>0</v>
      </c>
      <c r="N167" s="564">
        <v>1</v>
      </c>
      <c r="O167" s="561">
        <f t="shared" ref="O167:O184" si="227">M167*N167</f>
        <v>0</v>
      </c>
      <c r="P167" s="561">
        <f t="shared" ref="P167:P184" si="228">(M167+O167)*0.15</f>
        <v>0</v>
      </c>
      <c r="Q167" s="565">
        <f t="shared" ref="Q167:Q184" si="229">M167+O167+P167</f>
        <v>0</v>
      </c>
      <c r="R167" s="566">
        <f t="shared" ref="R167:R184" si="230">Q167*$R$1</f>
        <v>0</v>
      </c>
      <c r="S167" s="566">
        <f t="shared" ref="S167:S184" si="231">(Q167+R167)*$S$1</f>
        <v>0</v>
      </c>
      <c r="T167" s="566">
        <f t="shared" ref="T167" si="232">Q167+R167+S167</f>
        <v>0</v>
      </c>
      <c r="U167" s="2028">
        <f t="shared" si="199"/>
        <v>0</v>
      </c>
      <c r="V167" s="1357"/>
      <c r="W167" s="1361">
        <v>160</v>
      </c>
      <c r="X167" s="1362"/>
      <c r="Y167" s="1363" t="s">
        <v>642</v>
      </c>
      <c r="AD167" s="2141">
        <f t="shared" si="174"/>
        <v>2.6</v>
      </c>
      <c r="AE167" s="2142" t="str">
        <f t="shared" si="223"/>
        <v/>
      </c>
      <c r="AG167" s="2118" t="s">
        <v>1816</v>
      </c>
    </row>
    <row r="168" spans="1:33" ht="25.5" hidden="1" outlineLevel="3" x14ac:dyDescent="0.2">
      <c r="A168" s="1360">
        <f>A167+1</f>
        <v>636</v>
      </c>
      <c r="B168" s="738" t="s">
        <v>628</v>
      </c>
      <c r="C168" s="532" t="s">
        <v>1071</v>
      </c>
      <c r="D168" s="2153">
        <v>4</v>
      </c>
      <c r="E168" s="560" t="s">
        <v>502</v>
      </c>
      <c r="F168" s="2165" t="s">
        <v>312</v>
      </c>
      <c r="G168" s="2180">
        <f>0.0532+0.104</f>
        <v>0.15720000000000001</v>
      </c>
      <c r="H168" s="740">
        <f>SUMIFS(Исх!$BP$30:$BP$41,Исх!$BQ$30:$BQ$41,Трудозатраты!$W168,Исх!$BN$30:$BN$41,Трудозатраты!Y168)</f>
        <v>0</v>
      </c>
      <c r="I168" s="1359">
        <f t="shared" ref="I168:I231" si="233">IF(H168&gt;0,IF((G168*H168/K168)&lt;0.084,0.084,(G168*H168/K168)),0)</f>
        <v>0</v>
      </c>
      <c r="J168" s="562" t="str">
        <f t="shared" si="224"/>
        <v>0:0:00</v>
      </c>
      <c r="K168" s="563">
        <v>1000</v>
      </c>
      <c r="L168" s="2127">
        <f t="shared" si="225"/>
        <v>95.15</v>
      </c>
      <c r="M168" s="561">
        <f t="shared" si="226"/>
        <v>0</v>
      </c>
      <c r="N168" s="564">
        <v>1</v>
      </c>
      <c r="O168" s="561">
        <f t="shared" si="227"/>
        <v>0</v>
      </c>
      <c r="P168" s="561">
        <f t="shared" si="228"/>
        <v>0</v>
      </c>
      <c r="Q168" s="565">
        <f t="shared" si="229"/>
        <v>0</v>
      </c>
      <c r="R168" s="566">
        <f t="shared" si="230"/>
        <v>0</v>
      </c>
      <c r="S168" s="566">
        <f t="shared" si="231"/>
        <v>0</v>
      </c>
      <c r="T168" s="566">
        <f>Q168+R168+S168</f>
        <v>0</v>
      </c>
      <c r="U168" s="2028">
        <f t="shared" si="199"/>
        <v>0</v>
      </c>
      <c r="V168" s="1357"/>
      <c r="W168" s="1361">
        <v>160</v>
      </c>
      <c r="X168" s="1362"/>
      <c r="Y168" s="1363" t="s">
        <v>643</v>
      </c>
      <c r="AD168" s="2141">
        <f t="shared" si="174"/>
        <v>2.6</v>
      </c>
      <c r="AE168" s="2142" t="str">
        <f t="shared" si="223"/>
        <v/>
      </c>
      <c r="AG168" s="2118" t="s">
        <v>1816</v>
      </c>
    </row>
    <row r="169" spans="1:33" ht="25.5" hidden="1" outlineLevel="3" x14ac:dyDescent="0.2">
      <c r="A169" s="1360">
        <f t="shared" ref="A169:A184" si="234">A168+1</f>
        <v>637</v>
      </c>
      <c r="B169" s="739" t="s">
        <v>629</v>
      </c>
      <c r="C169" s="532" t="s">
        <v>1071</v>
      </c>
      <c r="D169" s="2153">
        <v>4</v>
      </c>
      <c r="E169" s="560" t="s">
        <v>502</v>
      </c>
      <c r="F169" s="2165" t="s">
        <v>312</v>
      </c>
      <c r="G169" s="2180">
        <f>0.093+0.104</f>
        <v>0.19700000000000001</v>
      </c>
      <c r="H169" s="740">
        <f>SUMIFS(Исх!$BP$30:$BP$41,Исх!$BQ$30:$BQ$41,Трудозатраты!$W169,Исх!$BN$30:$BN$41,Трудозатраты!Y169)</f>
        <v>0</v>
      </c>
      <c r="I169" s="1359">
        <f t="shared" si="233"/>
        <v>0</v>
      </c>
      <c r="J169" s="562" t="str">
        <f t="shared" si="224"/>
        <v>0:0:00</v>
      </c>
      <c r="K169" s="563">
        <v>1000</v>
      </c>
      <c r="L169" s="2127">
        <f t="shared" si="225"/>
        <v>95.15</v>
      </c>
      <c r="M169" s="561">
        <f t="shared" si="226"/>
        <v>0</v>
      </c>
      <c r="N169" s="564">
        <v>1</v>
      </c>
      <c r="O169" s="561">
        <f t="shared" si="227"/>
        <v>0</v>
      </c>
      <c r="P169" s="561">
        <f t="shared" si="228"/>
        <v>0</v>
      </c>
      <c r="Q169" s="565">
        <f t="shared" si="229"/>
        <v>0</v>
      </c>
      <c r="R169" s="566">
        <f t="shared" si="230"/>
        <v>0</v>
      </c>
      <c r="S169" s="566">
        <f t="shared" si="231"/>
        <v>0</v>
      </c>
      <c r="T169" s="566">
        <f t="shared" ref="T169" si="235">Q169+R169+S169</f>
        <v>0</v>
      </c>
      <c r="U169" s="2028">
        <f t="shared" si="199"/>
        <v>0</v>
      </c>
      <c r="V169" s="1357"/>
      <c r="W169" s="1361">
        <v>160</v>
      </c>
      <c r="X169" s="1362"/>
      <c r="Y169" s="1363" t="s">
        <v>644</v>
      </c>
      <c r="AD169" s="2141">
        <f t="shared" si="174"/>
        <v>2.6</v>
      </c>
      <c r="AE169" s="2142" t="str">
        <f t="shared" si="223"/>
        <v/>
      </c>
      <c r="AG169" s="2118" t="s">
        <v>1816</v>
      </c>
    </row>
    <row r="170" spans="1:33" ht="25.5" hidden="1" outlineLevel="3" x14ac:dyDescent="0.2">
      <c r="A170" s="1360">
        <f t="shared" si="234"/>
        <v>638</v>
      </c>
      <c r="B170" s="739" t="s">
        <v>630</v>
      </c>
      <c r="C170" s="532" t="s">
        <v>1071</v>
      </c>
      <c r="D170" s="2153">
        <v>4</v>
      </c>
      <c r="E170" s="560" t="s">
        <v>502</v>
      </c>
      <c r="F170" s="2165" t="s">
        <v>312</v>
      </c>
      <c r="G170" s="2180">
        <f>0.126+0.104</f>
        <v>0.22999999999999998</v>
      </c>
      <c r="H170" s="740">
        <f>SUMIFS(Исх!$BP$30:$BP$41,Исх!$BQ$30:$BQ$41,Трудозатраты!$W170,Исх!$BN$30:$BN$41,Трудозатраты!Y170)</f>
        <v>0</v>
      </c>
      <c r="I170" s="1359">
        <f t="shared" si="233"/>
        <v>0</v>
      </c>
      <c r="J170" s="562" t="str">
        <f t="shared" si="224"/>
        <v>0:0:00</v>
      </c>
      <c r="K170" s="563">
        <v>1000</v>
      </c>
      <c r="L170" s="2127">
        <f t="shared" si="225"/>
        <v>95.15</v>
      </c>
      <c r="M170" s="561">
        <f t="shared" si="226"/>
        <v>0</v>
      </c>
      <c r="N170" s="564">
        <v>1</v>
      </c>
      <c r="O170" s="561">
        <f t="shared" si="227"/>
        <v>0</v>
      </c>
      <c r="P170" s="561">
        <f t="shared" si="228"/>
        <v>0</v>
      </c>
      <c r="Q170" s="565">
        <f t="shared" si="229"/>
        <v>0</v>
      </c>
      <c r="R170" s="566">
        <f t="shared" si="230"/>
        <v>0</v>
      </c>
      <c r="S170" s="566">
        <f t="shared" si="231"/>
        <v>0</v>
      </c>
      <c r="T170" s="566">
        <f>Q170+R170+S170</f>
        <v>0</v>
      </c>
      <c r="U170" s="2028">
        <f t="shared" si="199"/>
        <v>0</v>
      </c>
      <c r="V170" s="1357"/>
      <c r="W170" s="1361">
        <v>160</v>
      </c>
      <c r="X170" s="1362"/>
      <c r="Y170" s="1363" t="s">
        <v>645</v>
      </c>
      <c r="AD170" s="2141">
        <f t="shared" si="174"/>
        <v>2.6</v>
      </c>
      <c r="AE170" s="2142" t="str">
        <f t="shared" si="223"/>
        <v/>
      </c>
      <c r="AG170" s="2118" t="s">
        <v>1816</v>
      </c>
    </row>
    <row r="171" spans="1:33" ht="25.5" hidden="1" outlineLevel="3" x14ac:dyDescent="0.2">
      <c r="A171" s="1360">
        <f t="shared" si="234"/>
        <v>639</v>
      </c>
      <c r="B171" s="739" t="s">
        <v>631</v>
      </c>
      <c r="C171" s="532" t="s">
        <v>1071</v>
      </c>
      <c r="D171" s="2153">
        <v>4</v>
      </c>
      <c r="E171" s="560" t="s">
        <v>502</v>
      </c>
      <c r="F171" s="2165" t="s">
        <v>312</v>
      </c>
      <c r="G171" s="2180">
        <f>0.15+0.104</f>
        <v>0.254</v>
      </c>
      <c r="H171" s="740">
        <f>SUMIFS(Исх!$BP$30:$BP$41,Исх!$BQ$30:$BQ$41,Трудозатраты!$W171,Исх!$BN$30:$BN$41,Трудозатраты!Y171)</f>
        <v>0</v>
      </c>
      <c r="I171" s="1359">
        <f t="shared" si="233"/>
        <v>0</v>
      </c>
      <c r="J171" s="562" t="str">
        <f t="shared" si="224"/>
        <v>0:0:00</v>
      </c>
      <c r="K171" s="563">
        <v>1000</v>
      </c>
      <c r="L171" s="2127">
        <f t="shared" si="225"/>
        <v>95.15</v>
      </c>
      <c r="M171" s="561">
        <f t="shared" si="226"/>
        <v>0</v>
      </c>
      <c r="N171" s="564">
        <v>1</v>
      </c>
      <c r="O171" s="561">
        <f t="shared" si="227"/>
        <v>0</v>
      </c>
      <c r="P171" s="561">
        <f t="shared" si="228"/>
        <v>0</v>
      </c>
      <c r="Q171" s="565">
        <f t="shared" si="229"/>
        <v>0</v>
      </c>
      <c r="R171" s="566">
        <f t="shared" si="230"/>
        <v>0</v>
      </c>
      <c r="S171" s="566">
        <f t="shared" si="231"/>
        <v>0</v>
      </c>
      <c r="T171" s="566">
        <f t="shared" ref="T171" si="236">Q171+R171+S171</f>
        <v>0</v>
      </c>
      <c r="U171" s="2028">
        <f t="shared" si="199"/>
        <v>0</v>
      </c>
      <c r="V171" s="1357"/>
      <c r="W171" s="1361">
        <v>160</v>
      </c>
      <c r="X171" s="1362"/>
      <c r="Y171" s="1363" t="s">
        <v>646</v>
      </c>
      <c r="AD171" s="2141">
        <f t="shared" si="174"/>
        <v>2.6</v>
      </c>
      <c r="AE171" s="2142" t="str">
        <f t="shared" si="223"/>
        <v/>
      </c>
      <c r="AG171" s="2118" t="s">
        <v>1816</v>
      </c>
    </row>
    <row r="172" spans="1:33" ht="25.5" hidden="1" outlineLevel="3" x14ac:dyDescent="0.2">
      <c r="A172" s="1360">
        <f t="shared" si="234"/>
        <v>640</v>
      </c>
      <c r="B172" s="567" t="s">
        <v>527</v>
      </c>
      <c r="C172" s="532" t="s">
        <v>1071</v>
      </c>
      <c r="D172" s="2153">
        <v>4</v>
      </c>
      <c r="E172" s="560" t="s">
        <v>502</v>
      </c>
      <c r="F172" s="2153" t="s">
        <v>312</v>
      </c>
      <c r="G172" s="2180">
        <v>0.08</v>
      </c>
      <c r="H172" s="164"/>
      <c r="I172" s="1359">
        <f>IF(H172&gt;0,IF((G172*H172/K172)&lt;0.084,0.084,(G172*H172/K172)),0)</f>
        <v>0</v>
      </c>
      <c r="J172" s="562" t="str">
        <f t="shared" si="224"/>
        <v>0:0:00</v>
      </c>
      <c r="K172" s="563">
        <v>1000</v>
      </c>
      <c r="L172" s="2127">
        <f t="shared" si="225"/>
        <v>95.15</v>
      </c>
      <c r="M172" s="561">
        <f t="shared" si="226"/>
        <v>0</v>
      </c>
      <c r="N172" s="564">
        <v>1</v>
      </c>
      <c r="O172" s="561">
        <f t="shared" si="227"/>
        <v>0</v>
      </c>
      <c r="P172" s="561">
        <f t="shared" si="228"/>
        <v>0</v>
      </c>
      <c r="Q172" s="565">
        <f t="shared" si="229"/>
        <v>0</v>
      </c>
      <c r="R172" s="566">
        <f t="shared" si="230"/>
        <v>0</v>
      </c>
      <c r="S172" s="566">
        <f t="shared" si="231"/>
        <v>0</v>
      </c>
      <c r="T172" s="566">
        <f>Q172+R172+S172</f>
        <v>0</v>
      </c>
      <c r="U172" s="2028">
        <f t="shared" si="199"/>
        <v>0</v>
      </c>
      <c r="V172" s="1357"/>
      <c r="W172" s="1361"/>
      <c r="X172" s="1361"/>
      <c r="Y172" s="1361"/>
      <c r="AD172" s="2141">
        <f t="shared" si="174"/>
        <v>2.6</v>
      </c>
      <c r="AE172" s="2142" t="str">
        <f t="shared" si="223"/>
        <v/>
      </c>
      <c r="AG172" s="2118" t="s">
        <v>1816</v>
      </c>
    </row>
    <row r="173" spans="1:33" ht="25.5" hidden="1" outlineLevel="3" x14ac:dyDescent="0.2">
      <c r="A173" s="1360">
        <f t="shared" si="234"/>
        <v>641</v>
      </c>
      <c r="B173" s="558" t="s">
        <v>528</v>
      </c>
      <c r="C173" s="532" t="s">
        <v>1071</v>
      </c>
      <c r="D173" s="2153">
        <v>4</v>
      </c>
      <c r="E173" s="560" t="s">
        <v>502</v>
      </c>
      <c r="F173" s="2153" t="s">
        <v>312</v>
      </c>
      <c r="G173" s="2180">
        <v>1.3299999999999999E-2</v>
      </c>
      <c r="H173" s="164">
        <f>SUM(H175:H184)*3</f>
        <v>0</v>
      </c>
      <c r="I173" s="1359">
        <f t="shared" si="233"/>
        <v>0</v>
      </c>
      <c r="J173" s="562" t="str">
        <f t="shared" si="224"/>
        <v>0:0:00</v>
      </c>
      <c r="K173" s="563">
        <v>1000</v>
      </c>
      <c r="L173" s="2127">
        <f t="shared" si="225"/>
        <v>95.15</v>
      </c>
      <c r="M173" s="561">
        <f t="shared" si="226"/>
        <v>0</v>
      </c>
      <c r="N173" s="564">
        <v>1</v>
      </c>
      <c r="O173" s="561">
        <f t="shared" si="227"/>
        <v>0</v>
      </c>
      <c r="P173" s="561">
        <f t="shared" si="228"/>
        <v>0</v>
      </c>
      <c r="Q173" s="565">
        <f t="shared" si="229"/>
        <v>0</v>
      </c>
      <c r="R173" s="566">
        <f t="shared" si="230"/>
        <v>0</v>
      </c>
      <c r="S173" s="566">
        <f t="shared" si="231"/>
        <v>0</v>
      </c>
      <c r="T173" s="566">
        <f t="shared" ref="T173:T184" si="237">Q173+R173+S173</f>
        <v>0</v>
      </c>
      <c r="U173" s="2028">
        <f t="shared" si="199"/>
        <v>0</v>
      </c>
      <c r="V173" s="1357"/>
      <c r="W173" s="1361"/>
      <c r="X173" s="1361"/>
      <c r="Y173" s="1361"/>
      <c r="AD173" s="2141">
        <f t="shared" si="174"/>
        <v>2.6</v>
      </c>
      <c r="AE173" s="2142" t="str">
        <f t="shared" si="223"/>
        <v/>
      </c>
      <c r="AG173" s="2118" t="s">
        <v>1816</v>
      </c>
    </row>
    <row r="174" spans="1:33" ht="25.5" hidden="1" outlineLevel="3" x14ac:dyDescent="0.2">
      <c r="A174" s="1360">
        <f t="shared" si="234"/>
        <v>642</v>
      </c>
      <c r="B174" s="567" t="s">
        <v>529</v>
      </c>
      <c r="C174" s="532" t="s">
        <v>1071</v>
      </c>
      <c r="D174" s="2153">
        <v>4</v>
      </c>
      <c r="E174" s="560" t="s">
        <v>502</v>
      </c>
      <c r="F174" s="2153" t="s">
        <v>312</v>
      </c>
      <c r="G174" s="2180">
        <v>5.8299999999999998E-2</v>
      </c>
      <c r="H174" s="164"/>
      <c r="I174" s="1359">
        <f t="shared" si="233"/>
        <v>0</v>
      </c>
      <c r="J174" s="562" t="str">
        <f t="shared" si="224"/>
        <v>0:0:00</v>
      </c>
      <c r="K174" s="563">
        <v>1000</v>
      </c>
      <c r="L174" s="2127">
        <f t="shared" si="225"/>
        <v>95.15</v>
      </c>
      <c r="M174" s="561">
        <f t="shared" si="226"/>
        <v>0</v>
      </c>
      <c r="N174" s="564">
        <v>1</v>
      </c>
      <c r="O174" s="561">
        <f t="shared" si="227"/>
        <v>0</v>
      </c>
      <c r="P174" s="561">
        <f t="shared" si="228"/>
        <v>0</v>
      </c>
      <c r="Q174" s="565">
        <f t="shared" si="229"/>
        <v>0</v>
      </c>
      <c r="R174" s="566">
        <f t="shared" si="230"/>
        <v>0</v>
      </c>
      <c r="S174" s="566">
        <f t="shared" si="231"/>
        <v>0</v>
      </c>
      <c r="T174" s="566">
        <f t="shared" si="237"/>
        <v>0</v>
      </c>
      <c r="U174" s="2028">
        <f t="shared" si="199"/>
        <v>0</v>
      </c>
      <c r="V174" s="1357"/>
      <c r="W174" s="1361"/>
      <c r="X174" s="1361"/>
      <c r="Y174" s="1361"/>
      <c r="AD174" s="2141">
        <f t="shared" si="174"/>
        <v>2.6</v>
      </c>
      <c r="AE174" s="2142" t="str">
        <f t="shared" si="223"/>
        <v/>
      </c>
      <c r="AG174" s="2118" t="s">
        <v>1816</v>
      </c>
    </row>
    <row r="175" spans="1:33" ht="25.5" hidden="1" outlineLevel="3" x14ac:dyDescent="0.2">
      <c r="A175" s="1360">
        <f t="shared" si="234"/>
        <v>643</v>
      </c>
      <c r="B175" s="568" t="s">
        <v>530</v>
      </c>
      <c r="C175" s="532" t="s">
        <v>1071</v>
      </c>
      <c r="D175" s="2153">
        <v>4</v>
      </c>
      <c r="E175" s="560" t="s">
        <v>502</v>
      </c>
      <c r="F175" s="2153" t="s">
        <v>312</v>
      </c>
      <c r="G175" s="2180">
        <v>7.1999999999999995E-2</v>
      </c>
      <c r="H175" s="164"/>
      <c r="I175" s="1359">
        <f t="shared" si="233"/>
        <v>0</v>
      </c>
      <c r="J175" s="562" t="str">
        <f t="shared" si="224"/>
        <v>0:0:00</v>
      </c>
      <c r="K175" s="563">
        <v>1000</v>
      </c>
      <c r="L175" s="2127">
        <f t="shared" si="225"/>
        <v>95.15</v>
      </c>
      <c r="M175" s="561">
        <f t="shared" si="226"/>
        <v>0</v>
      </c>
      <c r="N175" s="564">
        <v>1</v>
      </c>
      <c r="O175" s="561">
        <f t="shared" si="227"/>
        <v>0</v>
      </c>
      <c r="P175" s="561">
        <f t="shared" si="228"/>
        <v>0</v>
      </c>
      <c r="Q175" s="565">
        <f t="shared" si="229"/>
        <v>0</v>
      </c>
      <c r="R175" s="566">
        <f t="shared" si="230"/>
        <v>0</v>
      </c>
      <c r="S175" s="566">
        <f t="shared" si="231"/>
        <v>0</v>
      </c>
      <c r="T175" s="566">
        <f t="shared" si="237"/>
        <v>0</v>
      </c>
      <c r="U175" s="2028">
        <f t="shared" si="199"/>
        <v>0</v>
      </c>
      <c r="V175" s="1357"/>
      <c r="W175" s="1361"/>
      <c r="X175" s="1361"/>
      <c r="Y175" s="1361"/>
      <c r="AD175" s="2141">
        <f t="shared" si="174"/>
        <v>2.6</v>
      </c>
      <c r="AE175" s="2142" t="str">
        <f t="shared" si="223"/>
        <v/>
      </c>
      <c r="AG175" s="2118" t="s">
        <v>1816</v>
      </c>
    </row>
    <row r="176" spans="1:33" ht="25.5" hidden="1" outlineLevel="3" x14ac:dyDescent="0.2">
      <c r="A176" s="1360">
        <f t="shared" si="234"/>
        <v>644</v>
      </c>
      <c r="B176" s="568" t="s">
        <v>531</v>
      </c>
      <c r="C176" s="532" t="s">
        <v>1071</v>
      </c>
      <c r="D176" s="2153">
        <v>4</v>
      </c>
      <c r="E176" s="560" t="s">
        <v>502</v>
      </c>
      <c r="F176" s="2153" t="s">
        <v>312</v>
      </c>
      <c r="G176" s="2180">
        <v>0.107</v>
      </c>
      <c r="H176" s="164"/>
      <c r="I176" s="1359">
        <f t="shared" si="233"/>
        <v>0</v>
      </c>
      <c r="J176" s="562" t="str">
        <f t="shared" si="224"/>
        <v>0:0:00</v>
      </c>
      <c r="K176" s="563">
        <v>1000</v>
      </c>
      <c r="L176" s="2127">
        <f t="shared" si="225"/>
        <v>95.15</v>
      </c>
      <c r="M176" s="561">
        <f t="shared" si="226"/>
        <v>0</v>
      </c>
      <c r="N176" s="564">
        <v>1</v>
      </c>
      <c r="O176" s="561">
        <f t="shared" si="227"/>
        <v>0</v>
      </c>
      <c r="P176" s="561">
        <f t="shared" si="228"/>
        <v>0</v>
      </c>
      <c r="Q176" s="565">
        <f t="shared" si="229"/>
        <v>0</v>
      </c>
      <c r="R176" s="566">
        <f t="shared" si="230"/>
        <v>0</v>
      </c>
      <c r="S176" s="566">
        <f t="shared" si="231"/>
        <v>0</v>
      </c>
      <c r="T176" s="566">
        <f t="shared" si="237"/>
        <v>0</v>
      </c>
      <c r="U176" s="2028">
        <f t="shared" si="199"/>
        <v>0</v>
      </c>
      <c r="V176" s="1357"/>
      <c r="W176" s="1361"/>
      <c r="X176" s="1361"/>
      <c r="Y176" s="1361"/>
      <c r="AD176" s="2141">
        <f t="shared" si="174"/>
        <v>2.6</v>
      </c>
      <c r="AE176" s="2142" t="str">
        <f t="shared" si="223"/>
        <v/>
      </c>
      <c r="AG176" s="2118" t="s">
        <v>1816</v>
      </c>
    </row>
    <row r="177" spans="1:33" ht="25.5" hidden="1" outlineLevel="3" x14ac:dyDescent="0.2">
      <c r="A177" s="1360">
        <f t="shared" si="234"/>
        <v>645</v>
      </c>
      <c r="B177" s="568" t="s">
        <v>532</v>
      </c>
      <c r="C177" s="532" t="s">
        <v>1071</v>
      </c>
      <c r="D177" s="2153">
        <v>4</v>
      </c>
      <c r="E177" s="560" t="s">
        <v>502</v>
      </c>
      <c r="F177" s="2153" t="s">
        <v>312</v>
      </c>
      <c r="G177" s="2180">
        <v>0.128</v>
      </c>
      <c r="H177" s="164"/>
      <c r="I177" s="1359">
        <f t="shared" si="233"/>
        <v>0</v>
      </c>
      <c r="J177" s="562" t="str">
        <f t="shared" si="224"/>
        <v>0:0:00</v>
      </c>
      <c r="K177" s="563">
        <v>1000</v>
      </c>
      <c r="L177" s="2127">
        <f t="shared" si="225"/>
        <v>95.15</v>
      </c>
      <c r="M177" s="561">
        <f t="shared" si="226"/>
        <v>0</v>
      </c>
      <c r="N177" s="564">
        <v>1</v>
      </c>
      <c r="O177" s="561">
        <f t="shared" si="227"/>
        <v>0</v>
      </c>
      <c r="P177" s="561">
        <f t="shared" si="228"/>
        <v>0</v>
      </c>
      <c r="Q177" s="565">
        <f t="shared" si="229"/>
        <v>0</v>
      </c>
      <c r="R177" s="566">
        <f t="shared" si="230"/>
        <v>0</v>
      </c>
      <c r="S177" s="566">
        <f t="shared" si="231"/>
        <v>0</v>
      </c>
      <c r="T177" s="566">
        <f t="shared" si="237"/>
        <v>0</v>
      </c>
      <c r="U177" s="2028">
        <f t="shared" si="199"/>
        <v>0</v>
      </c>
      <c r="V177" s="1357"/>
      <c r="W177" s="1361"/>
      <c r="X177" s="1361"/>
      <c r="Y177" s="1361"/>
      <c r="AD177" s="2141">
        <f t="shared" ref="AD177:AD240" si="238">IF(D177&gt;0,LOOKUP(D177,$Z$30:$Z$33,$AA$30:$AA$33),"")</f>
        <v>2.6</v>
      </c>
      <c r="AE177" s="2142" t="str">
        <f t="shared" si="223"/>
        <v/>
      </c>
      <c r="AG177" s="2118" t="s">
        <v>1816</v>
      </c>
    </row>
    <row r="178" spans="1:33" ht="25.5" hidden="1" outlineLevel="3" x14ac:dyDescent="0.2">
      <c r="A178" s="1360">
        <f t="shared" si="234"/>
        <v>646</v>
      </c>
      <c r="B178" s="568" t="s">
        <v>533</v>
      </c>
      <c r="C178" s="532" t="s">
        <v>1071</v>
      </c>
      <c r="D178" s="2153">
        <v>4</v>
      </c>
      <c r="E178" s="560" t="s">
        <v>502</v>
      </c>
      <c r="F178" s="2153" t="s">
        <v>312</v>
      </c>
      <c r="G178" s="2180">
        <v>0.153</v>
      </c>
      <c r="H178" s="164"/>
      <c r="I178" s="1359">
        <f t="shared" si="233"/>
        <v>0</v>
      </c>
      <c r="J178" s="562" t="str">
        <f t="shared" si="224"/>
        <v>0:0:00</v>
      </c>
      <c r="K178" s="563">
        <v>1000</v>
      </c>
      <c r="L178" s="2127">
        <f t="shared" si="225"/>
        <v>95.15</v>
      </c>
      <c r="M178" s="561">
        <f t="shared" si="226"/>
        <v>0</v>
      </c>
      <c r="N178" s="564">
        <v>1</v>
      </c>
      <c r="O178" s="561">
        <f t="shared" si="227"/>
        <v>0</v>
      </c>
      <c r="P178" s="561">
        <f t="shared" si="228"/>
        <v>0</v>
      </c>
      <c r="Q178" s="565">
        <f t="shared" si="229"/>
        <v>0</v>
      </c>
      <c r="R178" s="566">
        <f t="shared" si="230"/>
        <v>0</v>
      </c>
      <c r="S178" s="566">
        <f t="shared" si="231"/>
        <v>0</v>
      </c>
      <c r="T178" s="566">
        <f t="shared" si="237"/>
        <v>0</v>
      </c>
      <c r="U178" s="2028">
        <f t="shared" si="199"/>
        <v>0</v>
      </c>
      <c r="V178" s="1357"/>
      <c r="W178" s="1361"/>
      <c r="X178" s="1361"/>
      <c r="Y178" s="1361"/>
      <c r="AD178" s="2141">
        <f t="shared" si="238"/>
        <v>2.6</v>
      </c>
      <c r="AE178" s="2142" t="str">
        <f t="shared" si="223"/>
        <v/>
      </c>
      <c r="AG178" s="2118" t="s">
        <v>1816</v>
      </c>
    </row>
    <row r="179" spans="1:33" ht="25.5" hidden="1" outlineLevel="3" x14ac:dyDescent="0.2">
      <c r="A179" s="1360">
        <f t="shared" si="234"/>
        <v>647</v>
      </c>
      <c r="B179" s="568" t="s">
        <v>534</v>
      </c>
      <c r="C179" s="532" t="s">
        <v>1071</v>
      </c>
      <c r="D179" s="2153">
        <v>4</v>
      </c>
      <c r="E179" s="560" t="s">
        <v>502</v>
      </c>
      <c r="F179" s="2153" t="s">
        <v>312</v>
      </c>
      <c r="G179" s="2180">
        <v>0.17199999999999999</v>
      </c>
      <c r="H179" s="164"/>
      <c r="I179" s="1359">
        <f t="shared" si="233"/>
        <v>0</v>
      </c>
      <c r="J179" s="562" t="str">
        <f t="shared" si="224"/>
        <v>0:0:00</v>
      </c>
      <c r="K179" s="563">
        <v>1000</v>
      </c>
      <c r="L179" s="2127">
        <f t="shared" si="225"/>
        <v>95.15</v>
      </c>
      <c r="M179" s="561">
        <f t="shared" si="226"/>
        <v>0</v>
      </c>
      <c r="N179" s="564">
        <v>1</v>
      </c>
      <c r="O179" s="561">
        <f t="shared" si="227"/>
        <v>0</v>
      </c>
      <c r="P179" s="561">
        <f t="shared" si="228"/>
        <v>0</v>
      </c>
      <c r="Q179" s="565">
        <f t="shared" si="229"/>
        <v>0</v>
      </c>
      <c r="R179" s="566">
        <f t="shared" si="230"/>
        <v>0</v>
      </c>
      <c r="S179" s="566">
        <f t="shared" si="231"/>
        <v>0</v>
      </c>
      <c r="T179" s="566">
        <f t="shared" si="237"/>
        <v>0</v>
      </c>
      <c r="U179" s="2028">
        <f t="shared" si="199"/>
        <v>0</v>
      </c>
      <c r="V179" s="1357"/>
      <c r="W179" s="1361"/>
      <c r="X179" s="1361"/>
      <c r="Y179" s="1361"/>
      <c r="AD179" s="2141">
        <f t="shared" si="238"/>
        <v>2.6</v>
      </c>
      <c r="AE179" s="2142" t="str">
        <f t="shared" si="223"/>
        <v/>
      </c>
      <c r="AG179" s="2118" t="s">
        <v>1816</v>
      </c>
    </row>
    <row r="180" spans="1:33" ht="25.5" hidden="1" outlineLevel="3" x14ac:dyDescent="0.2">
      <c r="A180" s="1360">
        <f t="shared" si="234"/>
        <v>648</v>
      </c>
      <c r="B180" s="568" t="s">
        <v>535</v>
      </c>
      <c r="C180" s="532" t="s">
        <v>1071</v>
      </c>
      <c r="D180" s="2153">
        <v>4</v>
      </c>
      <c r="E180" s="560" t="s">
        <v>502</v>
      </c>
      <c r="F180" s="2153" t="s">
        <v>312</v>
      </c>
      <c r="G180" s="2180">
        <v>0.22800000000000001</v>
      </c>
      <c r="H180" s="164"/>
      <c r="I180" s="1359">
        <f t="shared" si="233"/>
        <v>0</v>
      </c>
      <c r="J180" s="562" t="str">
        <f t="shared" si="224"/>
        <v>0:0:00</v>
      </c>
      <c r="K180" s="563">
        <v>1000</v>
      </c>
      <c r="L180" s="2127">
        <f t="shared" si="225"/>
        <v>95.15</v>
      </c>
      <c r="M180" s="561">
        <f t="shared" si="226"/>
        <v>0</v>
      </c>
      <c r="N180" s="564">
        <v>1</v>
      </c>
      <c r="O180" s="561">
        <f t="shared" si="227"/>
        <v>0</v>
      </c>
      <c r="P180" s="561">
        <f t="shared" si="228"/>
        <v>0</v>
      </c>
      <c r="Q180" s="565">
        <f t="shared" si="229"/>
        <v>0</v>
      </c>
      <c r="R180" s="566">
        <f t="shared" si="230"/>
        <v>0</v>
      </c>
      <c r="S180" s="566">
        <f t="shared" si="231"/>
        <v>0</v>
      </c>
      <c r="T180" s="566">
        <f t="shared" si="237"/>
        <v>0</v>
      </c>
      <c r="U180" s="2028">
        <f t="shared" si="199"/>
        <v>0</v>
      </c>
      <c r="V180" s="1357"/>
      <c r="W180" s="1361"/>
      <c r="X180" s="1361"/>
      <c r="Y180" s="1361"/>
      <c r="AD180" s="2141">
        <f t="shared" si="238"/>
        <v>2.6</v>
      </c>
      <c r="AE180" s="2142" t="str">
        <f t="shared" si="223"/>
        <v/>
      </c>
      <c r="AG180" s="2118" t="s">
        <v>1816</v>
      </c>
    </row>
    <row r="181" spans="1:33" ht="25.5" hidden="1" outlineLevel="3" x14ac:dyDescent="0.2">
      <c r="A181" s="1360">
        <f t="shared" si="234"/>
        <v>649</v>
      </c>
      <c r="B181" s="568" t="s">
        <v>536</v>
      </c>
      <c r="C181" s="532" t="s">
        <v>1071</v>
      </c>
      <c r="D181" s="2153">
        <v>4</v>
      </c>
      <c r="E181" s="560" t="s">
        <v>502</v>
      </c>
      <c r="F181" s="2153" t="s">
        <v>312</v>
      </c>
      <c r="G181" s="2180">
        <v>0.26700000000000002</v>
      </c>
      <c r="H181" s="164"/>
      <c r="I181" s="1359">
        <f t="shared" si="233"/>
        <v>0</v>
      </c>
      <c r="J181" s="562" t="str">
        <f t="shared" si="224"/>
        <v>0:0:00</v>
      </c>
      <c r="K181" s="563">
        <v>1000</v>
      </c>
      <c r="L181" s="2127">
        <f t="shared" si="225"/>
        <v>95.15</v>
      </c>
      <c r="M181" s="561">
        <f t="shared" si="226"/>
        <v>0</v>
      </c>
      <c r="N181" s="564">
        <v>1</v>
      </c>
      <c r="O181" s="561">
        <f t="shared" si="227"/>
        <v>0</v>
      </c>
      <c r="P181" s="561">
        <f t="shared" si="228"/>
        <v>0</v>
      </c>
      <c r="Q181" s="565">
        <f t="shared" si="229"/>
        <v>0</v>
      </c>
      <c r="R181" s="566">
        <f t="shared" si="230"/>
        <v>0</v>
      </c>
      <c r="S181" s="566">
        <f t="shared" si="231"/>
        <v>0</v>
      </c>
      <c r="T181" s="566">
        <f t="shared" si="237"/>
        <v>0</v>
      </c>
      <c r="U181" s="2028">
        <f t="shared" si="199"/>
        <v>0</v>
      </c>
      <c r="V181" s="1357"/>
      <c r="W181" s="1361"/>
      <c r="X181" s="1361"/>
      <c r="Y181" s="1361"/>
      <c r="AD181" s="2141">
        <f t="shared" si="238"/>
        <v>2.6</v>
      </c>
      <c r="AE181" s="2142" t="str">
        <f t="shared" si="223"/>
        <v/>
      </c>
      <c r="AG181" s="2118" t="s">
        <v>1816</v>
      </c>
    </row>
    <row r="182" spans="1:33" ht="25.5" hidden="1" outlineLevel="3" x14ac:dyDescent="0.2">
      <c r="A182" s="1360">
        <f t="shared" si="234"/>
        <v>650</v>
      </c>
      <c r="B182" s="568" t="s">
        <v>537</v>
      </c>
      <c r="C182" s="532" t="s">
        <v>1071</v>
      </c>
      <c r="D182" s="2153">
        <v>4</v>
      </c>
      <c r="E182" s="560" t="s">
        <v>502</v>
      </c>
      <c r="F182" s="2153" t="s">
        <v>312</v>
      </c>
      <c r="G182" s="2180">
        <v>0.32300000000000001</v>
      </c>
      <c r="H182" s="164"/>
      <c r="I182" s="1359">
        <f t="shared" si="233"/>
        <v>0</v>
      </c>
      <c r="J182" s="562" t="str">
        <f t="shared" si="224"/>
        <v>0:0:00</v>
      </c>
      <c r="K182" s="563">
        <v>1000</v>
      </c>
      <c r="L182" s="2127">
        <f t="shared" si="225"/>
        <v>95.15</v>
      </c>
      <c r="M182" s="561">
        <f t="shared" si="226"/>
        <v>0</v>
      </c>
      <c r="N182" s="564">
        <v>1</v>
      </c>
      <c r="O182" s="561">
        <f t="shared" si="227"/>
        <v>0</v>
      </c>
      <c r="P182" s="561">
        <f t="shared" si="228"/>
        <v>0</v>
      </c>
      <c r="Q182" s="565">
        <f t="shared" si="229"/>
        <v>0</v>
      </c>
      <c r="R182" s="566">
        <f t="shared" si="230"/>
        <v>0</v>
      </c>
      <c r="S182" s="566">
        <f t="shared" si="231"/>
        <v>0</v>
      </c>
      <c r="T182" s="566">
        <f t="shared" si="237"/>
        <v>0</v>
      </c>
      <c r="U182" s="2028">
        <f t="shared" si="199"/>
        <v>0</v>
      </c>
      <c r="V182" s="1357"/>
      <c r="W182" s="1361"/>
      <c r="X182" s="1361"/>
      <c r="Y182" s="1361"/>
      <c r="AD182" s="2141">
        <f t="shared" si="238"/>
        <v>2.6</v>
      </c>
      <c r="AE182" s="2142" t="str">
        <f t="shared" si="223"/>
        <v/>
      </c>
      <c r="AG182" s="2118" t="s">
        <v>1816</v>
      </c>
    </row>
    <row r="183" spans="1:33" ht="25.5" hidden="1" outlineLevel="3" x14ac:dyDescent="0.2">
      <c r="A183" s="1360">
        <f t="shared" si="234"/>
        <v>651</v>
      </c>
      <c r="B183" s="568" t="s">
        <v>538</v>
      </c>
      <c r="C183" s="532" t="s">
        <v>1071</v>
      </c>
      <c r="D183" s="2153">
        <v>4</v>
      </c>
      <c r="E183" s="560" t="s">
        <v>502</v>
      </c>
      <c r="F183" s="2153" t="s">
        <v>312</v>
      </c>
      <c r="G183" s="2180">
        <v>0.40300000000000002</v>
      </c>
      <c r="H183" s="164"/>
      <c r="I183" s="1359">
        <f t="shared" si="233"/>
        <v>0</v>
      </c>
      <c r="J183" s="562" t="str">
        <f t="shared" si="224"/>
        <v>0:0:00</v>
      </c>
      <c r="K183" s="563">
        <v>1000</v>
      </c>
      <c r="L183" s="2127">
        <f t="shared" si="225"/>
        <v>95.15</v>
      </c>
      <c r="M183" s="561">
        <f t="shared" si="226"/>
        <v>0</v>
      </c>
      <c r="N183" s="564">
        <v>1</v>
      </c>
      <c r="O183" s="561">
        <f t="shared" si="227"/>
        <v>0</v>
      </c>
      <c r="P183" s="561">
        <f t="shared" si="228"/>
        <v>0</v>
      </c>
      <c r="Q183" s="565">
        <f t="shared" si="229"/>
        <v>0</v>
      </c>
      <c r="R183" s="566">
        <f t="shared" si="230"/>
        <v>0</v>
      </c>
      <c r="S183" s="566">
        <f t="shared" si="231"/>
        <v>0</v>
      </c>
      <c r="T183" s="566">
        <f t="shared" si="237"/>
        <v>0</v>
      </c>
      <c r="U183" s="2028">
        <f t="shared" si="199"/>
        <v>0</v>
      </c>
      <c r="V183" s="1357"/>
      <c r="W183" s="1361"/>
      <c r="X183" s="1361"/>
      <c r="Y183" s="1361"/>
      <c r="AD183" s="2141">
        <f t="shared" si="238"/>
        <v>2.6</v>
      </c>
      <c r="AE183" s="2142" t="str">
        <f t="shared" si="223"/>
        <v/>
      </c>
      <c r="AG183" s="2118" t="s">
        <v>1816</v>
      </c>
    </row>
    <row r="184" spans="1:33" ht="25.5" hidden="1" outlineLevel="3" x14ac:dyDescent="0.2">
      <c r="A184" s="1360">
        <f t="shared" si="234"/>
        <v>652</v>
      </c>
      <c r="B184" s="568" t="s">
        <v>539</v>
      </c>
      <c r="C184" s="532" t="s">
        <v>1071</v>
      </c>
      <c r="D184" s="2153">
        <v>4</v>
      </c>
      <c r="E184" s="560" t="s">
        <v>502</v>
      </c>
      <c r="F184" s="2153" t="s">
        <v>312</v>
      </c>
      <c r="G184" s="2180">
        <v>0.503</v>
      </c>
      <c r="H184" s="164"/>
      <c r="I184" s="1359">
        <f t="shared" si="233"/>
        <v>0</v>
      </c>
      <c r="J184" s="562" t="str">
        <f t="shared" si="224"/>
        <v>0:0:00</v>
      </c>
      <c r="K184" s="563">
        <v>1000</v>
      </c>
      <c r="L184" s="2127">
        <f t="shared" si="225"/>
        <v>95.15</v>
      </c>
      <c r="M184" s="561">
        <f t="shared" si="226"/>
        <v>0</v>
      </c>
      <c r="N184" s="564">
        <v>1</v>
      </c>
      <c r="O184" s="561">
        <f t="shared" si="227"/>
        <v>0</v>
      </c>
      <c r="P184" s="561">
        <f t="shared" si="228"/>
        <v>0</v>
      </c>
      <c r="Q184" s="565">
        <f t="shared" si="229"/>
        <v>0</v>
      </c>
      <c r="R184" s="566">
        <f t="shared" si="230"/>
        <v>0</v>
      </c>
      <c r="S184" s="566">
        <f t="shared" si="231"/>
        <v>0</v>
      </c>
      <c r="T184" s="566">
        <f t="shared" si="237"/>
        <v>0</v>
      </c>
      <c r="U184" s="2028">
        <f t="shared" si="199"/>
        <v>0</v>
      </c>
      <c r="V184" s="1357"/>
      <c r="W184" s="1361"/>
      <c r="X184" s="1361"/>
      <c r="Y184" s="1361"/>
      <c r="AD184" s="2141">
        <f t="shared" si="238"/>
        <v>2.6</v>
      </c>
      <c r="AE184" s="2142" t="str">
        <f t="shared" si="223"/>
        <v/>
      </c>
      <c r="AG184" s="2118" t="s">
        <v>1816</v>
      </c>
    </row>
    <row r="185" spans="1:33" ht="14.25" hidden="1" outlineLevel="2" x14ac:dyDescent="0.2">
      <c r="A185" s="1360"/>
      <c r="B185" s="557" t="s">
        <v>1075</v>
      </c>
      <c r="C185" s="522"/>
      <c r="D185" s="2152"/>
      <c r="E185" s="523" t="s">
        <v>218</v>
      </c>
      <c r="F185" s="2164"/>
      <c r="G185" s="2181"/>
      <c r="H185" s="569">
        <f>SUM(H175:H184)</f>
        <v>0</v>
      </c>
      <c r="I185" s="2043">
        <f>SUM(I186:I203)</f>
        <v>0</v>
      </c>
      <c r="J185" s="524"/>
      <c r="K185" s="524"/>
      <c r="L185" s="526"/>
      <c r="M185" s="524"/>
      <c r="N185" s="524"/>
      <c r="O185" s="524"/>
      <c r="P185" s="524"/>
      <c r="Q185" s="527"/>
      <c r="R185" s="524"/>
      <c r="S185" s="524"/>
      <c r="T185" s="524"/>
      <c r="U185" s="2028">
        <f t="shared" si="199"/>
        <v>0</v>
      </c>
      <c r="V185" s="1357"/>
      <c r="W185" s="1361"/>
      <c r="X185" s="1361"/>
      <c r="Y185" s="1361"/>
      <c r="AD185" s="2141" t="str">
        <f t="shared" si="238"/>
        <v/>
      </c>
      <c r="AE185" s="2142" t="str">
        <f t="shared" si="223"/>
        <v/>
      </c>
      <c r="AG185" s="2118" t="s">
        <v>1816</v>
      </c>
    </row>
    <row r="186" spans="1:33" ht="25.5" hidden="1" outlineLevel="3" x14ac:dyDescent="0.2">
      <c r="A186" s="1360">
        <f>A184+1</f>
        <v>653</v>
      </c>
      <c r="B186" s="738" t="s">
        <v>632</v>
      </c>
      <c r="C186" s="532" t="s">
        <v>1071</v>
      </c>
      <c r="D186" s="2153">
        <v>4</v>
      </c>
      <c r="E186" s="560" t="s">
        <v>502</v>
      </c>
      <c r="F186" s="2165" t="s">
        <v>312</v>
      </c>
      <c r="G186" s="2180">
        <f>0.036+0.115</f>
        <v>0.151</v>
      </c>
      <c r="H186" s="740">
        <f>SUMIFS(Исх!$BP$30:$BP$41,Исх!$BQ$30:$BQ$41,Трудозатраты!$W186,Исх!$BN$30:$BN$41,Трудозатраты!Y186)</f>
        <v>0</v>
      </c>
      <c r="I186" s="1359">
        <f t="shared" si="233"/>
        <v>0</v>
      </c>
      <c r="J186" s="562" t="str">
        <f t="shared" ref="J186:J203" si="239">CONCATENATE(TRUNC(I186,0),":",INT((I186-(TRUNC(I186,0)))*60),":","00")</f>
        <v>0:0:00</v>
      </c>
      <c r="K186" s="563">
        <v>1000</v>
      </c>
      <c r="L186" s="2127">
        <f t="shared" ref="L186:L203" si="240">РезкаПодрезка</f>
        <v>95.15</v>
      </c>
      <c r="M186" s="561">
        <f t="shared" ref="M186:M203" si="241">I186*L186</f>
        <v>0</v>
      </c>
      <c r="N186" s="564">
        <v>1</v>
      </c>
      <c r="O186" s="561">
        <f t="shared" ref="O186:O203" si="242">M186*N186</f>
        <v>0</v>
      </c>
      <c r="P186" s="561">
        <f t="shared" ref="P186:P203" si="243">(M186+O186)*0.15</f>
        <v>0</v>
      </c>
      <c r="Q186" s="565">
        <f t="shared" ref="Q186:Q203" si="244">M186+O186+P186</f>
        <v>0</v>
      </c>
      <c r="R186" s="566">
        <f t="shared" ref="R186:R203" si="245">Q186*$R$1</f>
        <v>0</v>
      </c>
      <c r="S186" s="566">
        <f t="shared" ref="S186:S203" si="246">(Q186+R186)*$S$1</f>
        <v>0</v>
      </c>
      <c r="T186" s="566">
        <f t="shared" ref="T186" si="247">Q186+R186+S186</f>
        <v>0</v>
      </c>
      <c r="U186" s="2028">
        <f t="shared" si="199"/>
        <v>0</v>
      </c>
      <c r="V186" s="1357"/>
      <c r="W186" s="1361">
        <v>200</v>
      </c>
      <c r="X186" s="1362"/>
      <c r="Y186" s="1363" t="s">
        <v>642</v>
      </c>
      <c r="AD186" s="2141">
        <f t="shared" si="238"/>
        <v>2.6</v>
      </c>
      <c r="AE186" s="2142" t="str">
        <f t="shared" si="223"/>
        <v/>
      </c>
      <c r="AG186" s="2118" t="s">
        <v>1816</v>
      </c>
    </row>
    <row r="187" spans="1:33" ht="25.5" hidden="1" outlineLevel="3" x14ac:dyDescent="0.2">
      <c r="A187" s="1360">
        <f>A186+1</f>
        <v>654</v>
      </c>
      <c r="B187" s="738" t="s">
        <v>633</v>
      </c>
      <c r="C187" s="532" t="s">
        <v>1071</v>
      </c>
      <c r="D187" s="2153">
        <v>4</v>
      </c>
      <c r="E187" s="560" t="s">
        <v>502</v>
      </c>
      <c r="F187" s="2165" t="s">
        <v>312</v>
      </c>
      <c r="G187" s="2180">
        <f>0.073+0.115</f>
        <v>0.188</v>
      </c>
      <c r="H187" s="740">
        <f>SUMIFS(Исх!$BP$30:$BP$41,Исх!$BQ$30:$BQ$41,Трудозатраты!$W187,Исх!$BN$30:$BN$41,Трудозатраты!Y187)</f>
        <v>0</v>
      </c>
      <c r="I187" s="1359">
        <f t="shared" si="233"/>
        <v>0</v>
      </c>
      <c r="J187" s="562" t="str">
        <f t="shared" si="239"/>
        <v>0:0:00</v>
      </c>
      <c r="K187" s="563">
        <v>1000</v>
      </c>
      <c r="L187" s="2127">
        <f t="shared" si="240"/>
        <v>95.15</v>
      </c>
      <c r="M187" s="561">
        <f t="shared" si="241"/>
        <v>0</v>
      </c>
      <c r="N187" s="564">
        <v>1</v>
      </c>
      <c r="O187" s="561">
        <f t="shared" si="242"/>
        <v>0</v>
      </c>
      <c r="P187" s="561">
        <f t="shared" si="243"/>
        <v>0</v>
      </c>
      <c r="Q187" s="565">
        <f t="shared" si="244"/>
        <v>0</v>
      </c>
      <c r="R187" s="566">
        <f t="shared" si="245"/>
        <v>0</v>
      </c>
      <c r="S187" s="566">
        <f t="shared" si="246"/>
        <v>0</v>
      </c>
      <c r="T187" s="566">
        <f>Q187+R187+S187</f>
        <v>0</v>
      </c>
      <c r="U187" s="2028">
        <f t="shared" si="199"/>
        <v>0</v>
      </c>
      <c r="V187" s="1357"/>
      <c r="W187" s="1361">
        <v>200</v>
      </c>
      <c r="X187" s="1362"/>
      <c r="Y187" s="1363" t="s">
        <v>643</v>
      </c>
      <c r="AD187" s="2141">
        <f t="shared" si="238"/>
        <v>2.6</v>
      </c>
      <c r="AE187" s="2142" t="str">
        <f t="shared" si="223"/>
        <v/>
      </c>
      <c r="AG187" s="2118" t="s">
        <v>1816</v>
      </c>
    </row>
    <row r="188" spans="1:33" ht="25.5" hidden="1" outlineLevel="3" x14ac:dyDescent="0.2">
      <c r="A188" s="1360">
        <f t="shared" ref="A188:A203" si="248">A187+1</f>
        <v>655</v>
      </c>
      <c r="B188" s="739" t="s">
        <v>634</v>
      </c>
      <c r="C188" s="532" t="s">
        <v>1071</v>
      </c>
      <c r="D188" s="2153">
        <v>4</v>
      </c>
      <c r="E188" s="560" t="s">
        <v>502</v>
      </c>
      <c r="F188" s="2165" t="s">
        <v>312</v>
      </c>
      <c r="G188" s="2180">
        <f>0.123+0.115</f>
        <v>0.23799999999999999</v>
      </c>
      <c r="H188" s="740">
        <f>SUMIFS(Исх!$BP$30:$BP$41,Исх!$BQ$30:$BQ$41,Трудозатраты!$W188,Исх!$BN$30:$BN$41,Трудозатраты!Y188)</f>
        <v>0</v>
      </c>
      <c r="I188" s="1359">
        <f t="shared" si="233"/>
        <v>0</v>
      </c>
      <c r="J188" s="562" t="str">
        <f t="shared" si="239"/>
        <v>0:0:00</v>
      </c>
      <c r="K188" s="563">
        <v>1000</v>
      </c>
      <c r="L188" s="2127">
        <f t="shared" si="240"/>
        <v>95.15</v>
      </c>
      <c r="M188" s="561">
        <f t="shared" si="241"/>
        <v>0</v>
      </c>
      <c r="N188" s="564">
        <v>1</v>
      </c>
      <c r="O188" s="561">
        <f t="shared" si="242"/>
        <v>0</v>
      </c>
      <c r="P188" s="561">
        <f t="shared" si="243"/>
        <v>0</v>
      </c>
      <c r="Q188" s="565">
        <f t="shared" si="244"/>
        <v>0</v>
      </c>
      <c r="R188" s="566">
        <f t="shared" si="245"/>
        <v>0</v>
      </c>
      <c r="S188" s="566">
        <f t="shared" si="246"/>
        <v>0</v>
      </c>
      <c r="T188" s="566">
        <f t="shared" ref="T188" si="249">Q188+R188+S188</f>
        <v>0</v>
      </c>
      <c r="U188" s="2028">
        <f t="shared" si="199"/>
        <v>0</v>
      </c>
      <c r="V188" s="1357"/>
      <c r="W188" s="1361">
        <v>200</v>
      </c>
      <c r="X188" s="1362"/>
      <c r="Y188" s="1363" t="s">
        <v>644</v>
      </c>
      <c r="AD188" s="2141">
        <f t="shared" si="238"/>
        <v>2.6</v>
      </c>
      <c r="AE188" s="2142" t="str">
        <f t="shared" si="223"/>
        <v/>
      </c>
      <c r="AG188" s="2118" t="s">
        <v>1816</v>
      </c>
    </row>
    <row r="189" spans="1:33" ht="25.5" hidden="1" outlineLevel="3" x14ac:dyDescent="0.2">
      <c r="A189" s="1360">
        <f t="shared" si="248"/>
        <v>656</v>
      </c>
      <c r="B189" s="739" t="s">
        <v>635</v>
      </c>
      <c r="C189" s="532" t="s">
        <v>1071</v>
      </c>
      <c r="D189" s="2153">
        <v>4</v>
      </c>
      <c r="E189" s="560" t="s">
        <v>502</v>
      </c>
      <c r="F189" s="2165" t="s">
        <v>312</v>
      </c>
      <c r="G189" s="2180">
        <f>0.17+0.115</f>
        <v>0.28500000000000003</v>
      </c>
      <c r="H189" s="740">
        <f>SUMIFS(Исх!$BP$30:$BP$41,Исх!$BQ$30:$BQ$41,Трудозатраты!$W189,Исх!$BN$30:$BN$41,Трудозатраты!Y189)</f>
        <v>0</v>
      </c>
      <c r="I189" s="1359">
        <f t="shared" si="233"/>
        <v>0</v>
      </c>
      <c r="J189" s="562" t="str">
        <f t="shared" si="239"/>
        <v>0:0:00</v>
      </c>
      <c r="K189" s="563">
        <v>1000</v>
      </c>
      <c r="L189" s="2127">
        <f t="shared" si="240"/>
        <v>95.15</v>
      </c>
      <c r="M189" s="561">
        <f t="shared" si="241"/>
        <v>0</v>
      </c>
      <c r="N189" s="564">
        <v>1</v>
      </c>
      <c r="O189" s="561">
        <f t="shared" si="242"/>
        <v>0</v>
      </c>
      <c r="P189" s="561">
        <f t="shared" si="243"/>
        <v>0</v>
      </c>
      <c r="Q189" s="565">
        <f t="shared" si="244"/>
        <v>0</v>
      </c>
      <c r="R189" s="566">
        <f t="shared" si="245"/>
        <v>0</v>
      </c>
      <c r="S189" s="566">
        <f t="shared" si="246"/>
        <v>0</v>
      </c>
      <c r="T189" s="566">
        <f>Q189+R189+S189</f>
        <v>0</v>
      </c>
      <c r="U189" s="2028">
        <f t="shared" si="199"/>
        <v>0</v>
      </c>
      <c r="V189" s="1357"/>
      <c r="W189" s="1361">
        <v>200</v>
      </c>
      <c r="X189" s="1362"/>
      <c r="Y189" s="1363" t="s">
        <v>645</v>
      </c>
      <c r="AD189" s="2141">
        <f t="shared" si="238"/>
        <v>2.6</v>
      </c>
      <c r="AE189" s="2142" t="str">
        <f t="shared" si="223"/>
        <v/>
      </c>
      <c r="AG189" s="2118" t="s">
        <v>1816</v>
      </c>
    </row>
    <row r="190" spans="1:33" ht="25.5" hidden="1" outlineLevel="3" x14ac:dyDescent="0.2">
      <c r="A190" s="1360">
        <f t="shared" si="248"/>
        <v>657</v>
      </c>
      <c r="B190" s="739" t="s">
        <v>636</v>
      </c>
      <c r="C190" s="532" t="s">
        <v>1071</v>
      </c>
      <c r="D190" s="2153">
        <v>4</v>
      </c>
      <c r="E190" s="560" t="s">
        <v>502</v>
      </c>
      <c r="F190" s="2165" t="s">
        <v>312</v>
      </c>
      <c r="G190" s="2180">
        <f>0.203+0.115</f>
        <v>0.318</v>
      </c>
      <c r="H190" s="740">
        <f>SUMIFS(Исх!$BP$30:$BP$41,Исх!$BQ$30:$BQ$41,Трудозатраты!$W190,Исх!$BN$30:$BN$41,Трудозатраты!Y190)</f>
        <v>0</v>
      </c>
      <c r="I190" s="1359">
        <f t="shared" si="233"/>
        <v>0</v>
      </c>
      <c r="J190" s="562" t="str">
        <f t="shared" si="239"/>
        <v>0:0:00</v>
      </c>
      <c r="K190" s="563">
        <v>1000</v>
      </c>
      <c r="L190" s="2127">
        <f t="shared" si="240"/>
        <v>95.15</v>
      </c>
      <c r="M190" s="561">
        <f t="shared" si="241"/>
        <v>0</v>
      </c>
      <c r="N190" s="564">
        <v>1</v>
      </c>
      <c r="O190" s="561">
        <f t="shared" si="242"/>
        <v>0</v>
      </c>
      <c r="P190" s="561">
        <f t="shared" si="243"/>
        <v>0</v>
      </c>
      <c r="Q190" s="565">
        <f t="shared" si="244"/>
        <v>0</v>
      </c>
      <c r="R190" s="566">
        <f t="shared" si="245"/>
        <v>0</v>
      </c>
      <c r="S190" s="566">
        <f t="shared" si="246"/>
        <v>0</v>
      </c>
      <c r="T190" s="566">
        <f t="shared" ref="T190" si="250">Q190+R190+S190</f>
        <v>0</v>
      </c>
      <c r="U190" s="2028">
        <f t="shared" si="199"/>
        <v>0</v>
      </c>
      <c r="V190" s="1357"/>
      <c r="W190" s="1361">
        <v>200</v>
      </c>
      <c r="X190" s="1362"/>
      <c r="Y190" s="1363" t="s">
        <v>646</v>
      </c>
      <c r="AD190" s="2141">
        <f t="shared" si="238"/>
        <v>2.6</v>
      </c>
      <c r="AE190" s="2142" t="str">
        <f t="shared" si="223"/>
        <v/>
      </c>
      <c r="AG190" s="2118" t="s">
        <v>1816</v>
      </c>
    </row>
    <row r="191" spans="1:33" ht="25.5" hidden="1" outlineLevel="3" x14ac:dyDescent="0.2">
      <c r="A191" s="1360">
        <f t="shared" si="248"/>
        <v>658</v>
      </c>
      <c r="B191" s="567" t="s">
        <v>540</v>
      </c>
      <c r="C191" s="532" t="s">
        <v>1071</v>
      </c>
      <c r="D191" s="2153">
        <v>4</v>
      </c>
      <c r="E191" s="560" t="s">
        <v>502</v>
      </c>
      <c r="F191" s="2153" t="s">
        <v>312</v>
      </c>
      <c r="G191" s="2180">
        <v>0.105</v>
      </c>
      <c r="H191" s="164"/>
      <c r="I191" s="1359">
        <f t="shared" si="233"/>
        <v>0</v>
      </c>
      <c r="J191" s="562" t="str">
        <f t="shared" si="239"/>
        <v>0:0:00</v>
      </c>
      <c r="K191" s="563">
        <v>1000</v>
      </c>
      <c r="L191" s="2127">
        <f t="shared" si="240"/>
        <v>95.15</v>
      </c>
      <c r="M191" s="561">
        <f t="shared" si="241"/>
        <v>0</v>
      </c>
      <c r="N191" s="564">
        <v>1</v>
      </c>
      <c r="O191" s="561">
        <f t="shared" si="242"/>
        <v>0</v>
      </c>
      <c r="P191" s="561">
        <f t="shared" si="243"/>
        <v>0</v>
      </c>
      <c r="Q191" s="565">
        <f t="shared" si="244"/>
        <v>0</v>
      </c>
      <c r="R191" s="566">
        <f t="shared" si="245"/>
        <v>0</v>
      </c>
      <c r="S191" s="566">
        <f t="shared" si="246"/>
        <v>0</v>
      </c>
      <c r="T191" s="566">
        <f>Q191+R191+S191</f>
        <v>0</v>
      </c>
      <c r="U191" s="2028">
        <f t="shared" si="199"/>
        <v>0</v>
      </c>
      <c r="V191" s="1357"/>
      <c r="W191" s="1361"/>
      <c r="X191" s="1361"/>
      <c r="Y191" s="1361"/>
      <c r="AD191" s="2141">
        <f t="shared" si="238"/>
        <v>2.6</v>
      </c>
      <c r="AE191" s="2142" t="str">
        <f t="shared" si="223"/>
        <v/>
      </c>
      <c r="AG191" s="2118" t="s">
        <v>1816</v>
      </c>
    </row>
    <row r="192" spans="1:33" ht="25.5" hidden="1" outlineLevel="3" x14ac:dyDescent="0.2">
      <c r="A192" s="1360">
        <f t="shared" si="248"/>
        <v>659</v>
      </c>
      <c r="B192" s="558" t="s">
        <v>541</v>
      </c>
      <c r="C192" s="532" t="s">
        <v>1071</v>
      </c>
      <c r="D192" s="2153">
        <v>4</v>
      </c>
      <c r="E192" s="560" t="s">
        <v>502</v>
      </c>
      <c r="F192" s="2153" t="s">
        <v>312</v>
      </c>
      <c r="G192" s="2180">
        <v>1.83E-2</v>
      </c>
      <c r="H192" s="164">
        <f>SUM(H194:H203)*3</f>
        <v>0</v>
      </c>
      <c r="I192" s="1359">
        <f t="shared" si="233"/>
        <v>0</v>
      </c>
      <c r="J192" s="562" t="str">
        <f t="shared" si="239"/>
        <v>0:0:00</v>
      </c>
      <c r="K192" s="563">
        <v>1000</v>
      </c>
      <c r="L192" s="2127">
        <f t="shared" si="240"/>
        <v>95.15</v>
      </c>
      <c r="M192" s="561">
        <f t="shared" si="241"/>
        <v>0</v>
      </c>
      <c r="N192" s="564">
        <v>1</v>
      </c>
      <c r="O192" s="561">
        <f t="shared" si="242"/>
        <v>0</v>
      </c>
      <c r="P192" s="561">
        <f t="shared" si="243"/>
        <v>0</v>
      </c>
      <c r="Q192" s="565">
        <f t="shared" si="244"/>
        <v>0</v>
      </c>
      <c r="R192" s="566">
        <f t="shared" si="245"/>
        <v>0</v>
      </c>
      <c r="S192" s="566">
        <f t="shared" si="246"/>
        <v>0</v>
      </c>
      <c r="T192" s="566">
        <f t="shared" ref="T192:T203" si="251">Q192+R192+S192</f>
        <v>0</v>
      </c>
      <c r="U192" s="2028">
        <f t="shared" si="199"/>
        <v>0</v>
      </c>
      <c r="V192" s="1357"/>
      <c r="W192" s="1361"/>
      <c r="X192" s="1361"/>
      <c r="Y192" s="1361"/>
      <c r="AD192" s="2141">
        <f t="shared" si="238"/>
        <v>2.6</v>
      </c>
      <c r="AE192" s="2142" t="str">
        <f t="shared" si="223"/>
        <v/>
      </c>
      <c r="AG192" s="2118" t="s">
        <v>1816</v>
      </c>
    </row>
    <row r="193" spans="1:33" ht="25.5" hidden="1" outlineLevel="3" x14ac:dyDescent="0.2">
      <c r="A193" s="1360">
        <f t="shared" si="248"/>
        <v>660</v>
      </c>
      <c r="B193" s="567" t="s">
        <v>542</v>
      </c>
      <c r="C193" s="532" t="s">
        <v>1071</v>
      </c>
      <c r="D193" s="2153">
        <v>4</v>
      </c>
      <c r="E193" s="560" t="s">
        <v>502</v>
      </c>
      <c r="F193" s="2153" t="s">
        <v>312</v>
      </c>
      <c r="G193" s="2180">
        <v>7.6300000000000007E-2</v>
      </c>
      <c r="H193" s="164"/>
      <c r="I193" s="1359">
        <f t="shared" si="233"/>
        <v>0</v>
      </c>
      <c r="J193" s="562" t="str">
        <f t="shared" si="239"/>
        <v>0:0:00</v>
      </c>
      <c r="K193" s="563">
        <v>1000</v>
      </c>
      <c r="L193" s="2127">
        <f t="shared" si="240"/>
        <v>95.15</v>
      </c>
      <c r="M193" s="561">
        <f t="shared" si="241"/>
        <v>0</v>
      </c>
      <c r="N193" s="564">
        <v>1</v>
      </c>
      <c r="O193" s="561">
        <f t="shared" si="242"/>
        <v>0</v>
      </c>
      <c r="P193" s="561">
        <f t="shared" si="243"/>
        <v>0</v>
      </c>
      <c r="Q193" s="565">
        <f t="shared" si="244"/>
        <v>0</v>
      </c>
      <c r="R193" s="566">
        <f t="shared" si="245"/>
        <v>0</v>
      </c>
      <c r="S193" s="566">
        <f t="shared" si="246"/>
        <v>0</v>
      </c>
      <c r="T193" s="566">
        <f t="shared" si="251"/>
        <v>0</v>
      </c>
      <c r="U193" s="2028">
        <f t="shared" si="199"/>
        <v>0</v>
      </c>
      <c r="V193" s="1357"/>
      <c r="W193" s="1361"/>
      <c r="X193" s="1361"/>
      <c r="Y193" s="1361"/>
      <c r="AD193" s="2141">
        <f t="shared" si="238"/>
        <v>2.6</v>
      </c>
      <c r="AE193" s="2142" t="str">
        <f t="shared" si="223"/>
        <v/>
      </c>
      <c r="AG193" s="2118" t="s">
        <v>1816</v>
      </c>
    </row>
    <row r="194" spans="1:33" ht="25.5" hidden="1" outlineLevel="3" x14ac:dyDescent="0.2">
      <c r="A194" s="1360">
        <f t="shared" si="248"/>
        <v>661</v>
      </c>
      <c r="B194" s="568" t="s">
        <v>543</v>
      </c>
      <c r="C194" s="532" t="s">
        <v>1071</v>
      </c>
      <c r="D194" s="2153">
        <v>4</v>
      </c>
      <c r="E194" s="560" t="s">
        <v>502</v>
      </c>
      <c r="F194" s="2153" t="s">
        <v>312</v>
      </c>
      <c r="G194" s="2180">
        <v>9.5000000000000001E-2</v>
      </c>
      <c r="H194" s="164"/>
      <c r="I194" s="1359">
        <f t="shared" si="233"/>
        <v>0</v>
      </c>
      <c r="J194" s="562" t="str">
        <f t="shared" si="239"/>
        <v>0:0:00</v>
      </c>
      <c r="K194" s="563">
        <v>1000</v>
      </c>
      <c r="L194" s="2127">
        <f t="shared" si="240"/>
        <v>95.15</v>
      </c>
      <c r="M194" s="561">
        <f t="shared" si="241"/>
        <v>0</v>
      </c>
      <c r="N194" s="564">
        <v>1</v>
      </c>
      <c r="O194" s="561">
        <f t="shared" si="242"/>
        <v>0</v>
      </c>
      <c r="P194" s="561">
        <f t="shared" si="243"/>
        <v>0</v>
      </c>
      <c r="Q194" s="565">
        <f t="shared" si="244"/>
        <v>0</v>
      </c>
      <c r="R194" s="566">
        <f t="shared" si="245"/>
        <v>0</v>
      </c>
      <c r="S194" s="566">
        <f t="shared" si="246"/>
        <v>0</v>
      </c>
      <c r="T194" s="566">
        <f t="shared" si="251"/>
        <v>0</v>
      </c>
      <c r="U194" s="2028">
        <f t="shared" si="199"/>
        <v>0</v>
      </c>
      <c r="V194" s="1357"/>
      <c r="W194" s="1361"/>
      <c r="X194" s="1361"/>
      <c r="Y194" s="1361"/>
      <c r="AD194" s="2141">
        <f t="shared" si="238"/>
        <v>2.6</v>
      </c>
      <c r="AE194" s="2142" t="str">
        <f t="shared" si="223"/>
        <v/>
      </c>
      <c r="AG194" s="2118" t="s">
        <v>1816</v>
      </c>
    </row>
    <row r="195" spans="1:33" ht="25.5" hidden="1" outlineLevel="3" x14ac:dyDescent="0.2">
      <c r="A195" s="1360">
        <f t="shared" si="248"/>
        <v>662</v>
      </c>
      <c r="B195" s="568" t="s">
        <v>544</v>
      </c>
      <c r="C195" s="532" t="s">
        <v>1071</v>
      </c>
      <c r="D195" s="2153">
        <v>4</v>
      </c>
      <c r="E195" s="560" t="s">
        <v>502</v>
      </c>
      <c r="F195" s="2153" t="s">
        <v>312</v>
      </c>
      <c r="G195" s="2180">
        <v>0.14199999999999999</v>
      </c>
      <c r="H195" s="164"/>
      <c r="I195" s="1359">
        <f t="shared" si="233"/>
        <v>0</v>
      </c>
      <c r="J195" s="562" t="str">
        <f t="shared" si="239"/>
        <v>0:0:00</v>
      </c>
      <c r="K195" s="563">
        <v>1000</v>
      </c>
      <c r="L195" s="2127">
        <f t="shared" si="240"/>
        <v>95.15</v>
      </c>
      <c r="M195" s="561">
        <f t="shared" si="241"/>
        <v>0</v>
      </c>
      <c r="N195" s="564">
        <v>1</v>
      </c>
      <c r="O195" s="561">
        <f t="shared" si="242"/>
        <v>0</v>
      </c>
      <c r="P195" s="561">
        <f t="shared" si="243"/>
        <v>0</v>
      </c>
      <c r="Q195" s="565">
        <f t="shared" si="244"/>
        <v>0</v>
      </c>
      <c r="R195" s="566">
        <f t="shared" si="245"/>
        <v>0</v>
      </c>
      <c r="S195" s="566">
        <f t="shared" si="246"/>
        <v>0</v>
      </c>
      <c r="T195" s="566">
        <f t="shared" si="251"/>
        <v>0</v>
      </c>
      <c r="U195" s="2028">
        <f t="shared" ref="U195:U278" si="252">IF(T195&gt;0,1,0)</f>
        <v>0</v>
      </c>
      <c r="V195" s="1357"/>
      <c r="W195" s="1361"/>
      <c r="X195" s="1361"/>
      <c r="Y195" s="1361"/>
      <c r="AD195" s="2141">
        <f t="shared" si="238"/>
        <v>2.6</v>
      </c>
      <c r="AE195" s="2142" t="str">
        <f t="shared" si="223"/>
        <v/>
      </c>
      <c r="AG195" s="2118" t="s">
        <v>1816</v>
      </c>
    </row>
    <row r="196" spans="1:33" ht="25.5" hidden="1" outlineLevel="3" x14ac:dyDescent="0.2">
      <c r="A196" s="1360">
        <f t="shared" si="248"/>
        <v>663</v>
      </c>
      <c r="B196" s="568" t="s">
        <v>545</v>
      </c>
      <c r="C196" s="532" t="s">
        <v>1071</v>
      </c>
      <c r="D196" s="2153">
        <v>4</v>
      </c>
      <c r="E196" s="560" t="s">
        <v>502</v>
      </c>
      <c r="F196" s="2153" t="s">
        <v>312</v>
      </c>
      <c r="G196" s="2180">
        <v>0.17499999999999999</v>
      </c>
      <c r="H196" s="164"/>
      <c r="I196" s="1359">
        <f t="shared" si="233"/>
        <v>0</v>
      </c>
      <c r="J196" s="562" t="str">
        <f t="shared" si="239"/>
        <v>0:0:00</v>
      </c>
      <c r="K196" s="563">
        <v>1000</v>
      </c>
      <c r="L196" s="2127">
        <f t="shared" si="240"/>
        <v>95.15</v>
      </c>
      <c r="M196" s="561">
        <f t="shared" si="241"/>
        <v>0</v>
      </c>
      <c r="N196" s="564">
        <v>1</v>
      </c>
      <c r="O196" s="561">
        <f t="shared" si="242"/>
        <v>0</v>
      </c>
      <c r="P196" s="561">
        <f t="shared" si="243"/>
        <v>0</v>
      </c>
      <c r="Q196" s="565">
        <f t="shared" si="244"/>
        <v>0</v>
      </c>
      <c r="R196" s="566">
        <f t="shared" si="245"/>
        <v>0</v>
      </c>
      <c r="S196" s="566">
        <f t="shared" si="246"/>
        <v>0</v>
      </c>
      <c r="T196" s="566">
        <f t="shared" si="251"/>
        <v>0</v>
      </c>
      <c r="U196" s="2028">
        <f t="shared" si="252"/>
        <v>0</v>
      </c>
      <c r="V196" s="1357"/>
      <c r="W196" s="1361"/>
      <c r="X196" s="1361"/>
      <c r="Y196" s="1361"/>
      <c r="AD196" s="2141">
        <f t="shared" si="238"/>
        <v>2.6</v>
      </c>
      <c r="AE196" s="2142" t="str">
        <f t="shared" si="223"/>
        <v/>
      </c>
      <c r="AG196" s="2118" t="s">
        <v>1816</v>
      </c>
    </row>
    <row r="197" spans="1:33" ht="25.5" hidden="1" outlineLevel="3" x14ac:dyDescent="0.2">
      <c r="A197" s="1360">
        <f t="shared" si="248"/>
        <v>664</v>
      </c>
      <c r="B197" s="568" t="s">
        <v>546</v>
      </c>
      <c r="C197" s="532" t="s">
        <v>1071</v>
      </c>
      <c r="D197" s="2153">
        <v>4</v>
      </c>
      <c r="E197" s="560" t="s">
        <v>502</v>
      </c>
      <c r="F197" s="2153" t="s">
        <v>312</v>
      </c>
      <c r="G197" s="2180">
        <v>0.21</v>
      </c>
      <c r="H197" s="164"/>
      <c r="I197" s="1359">
        <f t="shared" si="233"/>
        <v>0</v>
      </c>
      <c r="J197" s="562" t="str">
        <f t="shared" si="239"/>
        <v>0:0:00</v>
      </c>
      <c r="K197" s="563">
        <v>1000</v>
      </c>
      <c r="L197" s="2127">
        <f t="shared" si="240"/>
        <v>95.15</v>
      </c>
      <c r="M197" s="561">
        <f t="shared" si="241"/>
        <v>0</v>
      </c>
      <c r="N197" s="564">
        <v>1</v>
      </c>
      <c r="O197" s="561">
        <f t="shared" si="242"/>
        <v>0</v>
      </c>
      <c r="P197" s="561">
        <f t="shared" si="243"/>
        <v>0</v>
      </c>
      <c r="Q197" s="565">
        <f t="shared" si="244"/>
        <v>0</v>
      </c>
      <c r="R197" s="566">
        <f t="shared" si="245"/>
        <v>0</v>
      </c>
      <c r="S197" s="566">
        <f t="shared" si="246"/>
        <v>0</v>
      </c>
      <c r="T197" s="566">
        <f t="shared" si="251"/>
        <v>0</v>
      </c>
      <c r="U197" s="2028">
        <f t="shared" si="252"/>
        <v>0</v>
      </c>
      <c r="V197" s="1357"/>
      <c r="W197" s="1361"/>
      <c r="X197" s="1361"/>
      <c r="Y197" s="1361"/>
      <c r="AD197" s="2141">
        <f t="shared" si="238"/>
        <v>2.6</v>
      </c>
      <c r="AE197" s="2142" t="str">
        <f t="shared" si="223"/>
        <v/>
      </c>
      <c r="AG197" s="2118" t="s">
        <v>1816</v>
      </c>
    </row>
    <row r="198" spans="1:33" ht="25.5" hidden="1" outlineLevel="3" x14ac:dyDescent="0.2">
      <c r="A198" s="1360">
        <f t="shared" si="248"/>
        <v>665</v>
      </c>
      <c r="B198" s="568" t="s">
        <v>547</v>
      </c>
      <c r="C198" s="532" t="s">
        <v>1071</v>
      </c>
      <c r="D198" s="2153">
        <v>4</v>
      </c>
      <c r="E198" s="560" t="s">
        <v>502</v>
      </c>
      <c r="F198" s="2153" t="s">
        <v>312</v>
      </c>
      <c r="G198" s="2180">
        <v>0.23799999999999999</v>
      </c>
      <c r="H198" s="164"/>
      <c r="I198" s="1359">
        <f t="shared" si="233"/>
        <v>0</v>
      </c>
      <c r="J198" s="562" t="str">
        <f t="shared" si="239"/>
        <v>0:0:00</v>
      </c>
      <c r="K198" s="563">
        <v>1000</v>
      </c>
      <c r="L198" s="2127">
        <f t="shared" si="240"/>
        <v>95.15</v>
      </c>
      <c r="M198" s="561">
        <f t="shared" si="241"/>
        <v>0</v>
      </c>
      <c r="N198" s="564">
        <v>1</v>
      </c>
      <c r="O198" s="561">
        <f t="shared" si="242"/>
        <v>0</v>
      </c>
      <c r="P198" s="561">
        <f t="shared" si="243"/>
        <v>0</v>
      </c>
      <c r="Q198" s="565">
        <f t="shared" si="244"/>
        <v>0</v>
      </c>
      <c r="R198" s="566">
        <f t="shared" si="245"/>
        <v>0</v>
      </c>
      <c r="S198" s="566">
        <f t="shared" si="246"/>
        <v>0</v>
      </c>
      <c r="T198" s="566">
        <f t="shared" si="251"/>
        <v>0</v>
      </c>
      <c r="U198" s="2028">
        <f t="shared" si="252"/>
        <v>0</v>
      </c>
      <c r="V198" s="1357"/>
      <c r="W198" s="1361"/>
      <c r="X198" s="1361"/>
      <c r="Y198" s="1361"/>
      <c r="AD198" s="2141">
        <f t="shared" si="238"/>
        <v>2.6</v>
      </c>
      <c r="AE198" s="2142" t="str">
        <f t="shared" si="223"/>
        <v/>
      </c>
      <c r="AG198" s="2118" t="s">
        <v>1816</v>
      </c>
    </row>
    <row r="199" spans="1:33" ht="25.5" hidden="1" outlineLevel="3" x14ac:dyDescent="0.2">
      <c r="A199" s="1360">
        <f t="shared" si="248"/>
        <v>666</v>
      </c>
      <c r="B199" s="568" t="s">
        <v>548</v>
      </c>
      <c r="C199" s="532" t="s">
        <v>1071</v>
      </c>
      <c r="D199" s="2153">
        <v>4</v>
      </c>
      <c r="E199" s="560" t="s">
        <v>502</v>
      </c>
      <c r="F199" s="2153" t="s">
        <v>312</v>
      </c>
      <c r="G199" s="2180">
        <v>0.318</v>
      </c>
      <c r="H199" s="164"/>
      <c r="I199" s="1359">
        <f t="shared" si="233"/>
        <v>0</v>
      </c>
      <c r="J199" s="562" t="str">
        <f t="shared" si="239"/>
        <v>0:0:00</v>
      </c>
      <c r="K199" s="563">
        <v>1000</v>
      </c>
      <c r="L199" s="2127">
        <f t="shared" si="240"/>
        <v>95.15</v>
      </c>
      <c r="M199" s="561">
        <f t="shared" si="241"/>
        <v>0</v>
      </c>
      <c r="N199" s="564">
        <v>1</v>
      </c>
      <c r="O199" s="561">
        <f t="shared" si="242"/>
        <v>0</v>
      </c>
      <c r="P199" s="561">
        <f t="shared" si="243"/>
        <v>0</v>
      </c>
      <c r="Q199" s="565">
        <f t="shared" si="244"/>
        <v>0</v>
      </c>
      <c r="R199" s="566">
        <f t="shared" si="245"/>
        <v>0</v>
      </c>
      <c r="S199" s="566">
        <f t="shared" si="246"/>
        <v>0</v>
      </c>
      <c r="T199" s="566">
        <f t="shared" si="251"/>
        <v>0</v>
      </c>
      <c r="U199" s="2028">
        <f t="shared" si="252"/>
        <v>0</v>
      </c>
      <c r="V199" s="1357"/>
      <c r="W199" s="1361"/>
      <c r="X199" s="1361"/>
      <c r="Y199" s="1361"/>
      <c r="AD199" s="2141">
        <f t="shared" si="238"/>
        <v>2.6</v>
      </c>
      <c r="AE199" s="2142" t="str">
        <f t="shared" si="223"/>
        <v/>
      </c>
      <c r="AG199" s="2118" t="s">
        <v>1816</v>
      </c>
    </row>
    <row r="200" spans="1:33" ht="25.5" hidden="1" outlineLevel="3" x14ac:dyDescent="0.2">
      <c r="A200" s="1360">
        <f t="shared" si="248"/>
        <v>667</v>
      </c>
      <c r="B200" s="568" t="s">
        <v>549</v>
      </c>
      <c r="C200" s="532" t="s">
        <v>1071</v>
      </c>
      <c r="D200" s="2153">
        <v>4</v>
      </c>
      <c r="E200" s="560" t="s">
        <v>502</v>
      </c>
      <c r="F200" s="2153" t="s">
        <v>312</v>
      </c>
      <c r="G200" s="2180">
        <v>0.372</v>
      </c>
      <c r="H200" s="164"/>
      <c r="I200" s="1359">
        <f t="shared" si="233"/>
        <v>0</v>
      </c>
      <c r="J200" s="562" t="str">
        <f t="shared" si="239"/>
        <v>0:0:00</v>
      </c>
      <c r="K200" s="563">
        <v>1000</v>
      </c>
      <c r="L200" s="2127">
        <f t="shared" si="240"/>
        <v>95.15</v>
      </c>
      <c r="M200" s="561">
        <f t="shared" si="241"/>
        <v>0</v>
      </c>
      <c r="N200" s="564">
        <v>1</v>
      </c>
      <c r="O200" s="561">
        <f t="shared" si="242"/>
        <v>0</v>
      </c>
      <c r="P200" s="561">
        <f t="shared" si="243"/>
        <v>0</v>
      </c>
      <c r="Q200" s="565">
        <f t="shared" si="244"/>
        <v>0</v>
      </c>
      <c r="R200" s="566">
        <f t="shared" si="245"/>
        <v>0</v>
      </c>
      <c r="S200" s="566">
        <f t="shared" si="246"/>
        <v>0</v>
      </c>
      <c r="T200" s="566">
        <f t="shared" si="251"/>
        <v>0</v>
      </c>
      <c r="U200" s="2028">
        <f t="shared" si="252"/>
        <v>0</v>
      </c>
      <c r="V200" s="1357"/>
      <c r="W200" s="1361"/>
      <c r="X200" s="1361"/>
      <c r="Y200" s="1361"/>
      <c r="AD200" s="2141">
        <f t="shared" si="238"/>
        <v>2.6</v>
      </c>
      <c r="AE200" s="2142" t="str">
        <f t="shared" si="223"/>
        <v/>
      </c>
      <c r="AG200" s="2118" t="s">
        <v>1816</v>
      </c>
    </row>
    <row r="201" spans="1:33" ht="25.5" hidden="1" outlineLevel="3" x14ac:dyDescent="0.2">
      <c r="A201" s="1360">
        <f t="shared" si="248"/>
        <v>668</v>
      </c>
      <c r="B201" s="568" t="s">
        <v>550</v>
      </c>
      <c r="C201" s="532" t="s">
        <v>1071</v>
      </c>
      <c r="D201" s="2153">
        <v>4</v>
      </c>
      <c r="E201" s="560" t="s">
        <v>502</v>
      </c>
      <c r="F201" s="2153" t="s">
        <v>312</v>
      </c>
      <c r="G201" s="2180">
        <v>0.45200000000000001</v>
      </c>
      <c r="H201" s="164"/>
      <c r="I201" s="1359">
        <f t="shared" si="233"/>
        <v>0</v>
      </c>
      <c r="J201" s="562" t="str">
        <f t="shared" si="239"/>
        <v>0:0:00</v>
      </c>
      <c r="K201" s="563">
        <v>1000</v>
      </c>
      <c r="L201" s="2127">
        <f t="shared" si="240"/>
        <v>95.15</v>
      </c>
      <c r="M201" s="561">
        <f t="shared" si="241"/>
        <v>0</v>
      </c>
      <c r="N201" s="564">
        <v>1</v>
      </c>
      <c r="O201" s="561">
        <f t="shared" si="242"/>
        <v>0</v>
      </c>
      <c r="P201" s="561">
        <f t="shared" si="243"/>
        <v>0</v>
      </c>
      <c r="Q201" s="565">
        <f t="shared" si="244"/>
        <v>0</v>
      </c>
      <c r="R201" s="566">
        <f t="shared" si="245"/>
        <v>0</v>
      </c>
      <c r="S201" s="566">
        <f t="shared" si="246"/>
        <v>0</v>
      </c>
      <c r="T201" s="566">
        <f t="shared" si="251"/>
        <v>0</v>
      </c>
      <c r="U201" s="2028">
        <f t="shared" si="252"/>
        <v>0</v>
      </c>
      <c r="V201" s="1357"/>
      <c r="W201" s="1361"/>
      <c r="X201" s="1361"/>
      <c r="Y201" s="1361"/>
      <c r="AD201" s="2141">
        <f t="shared" si="238"/>
        <v>2.6</v>
      </c>
      <c r="AE201" s="2142" t="str">
        <f t="shared" si="223"/>
        <v/>
      </c>
      <c r="AG201" s="2118" t="s">
        <v>1816</v>
      </c>
    </row>
    <row r="202" spans="1:33" ht="25.5" hidden="1" outlineLevel="3" x14ac:dyDescent="0.2">
      <c r="A202" s="1360">
        <f t="shared" si="248"/>
        <v>669</v>
      </c>
      <c r="B202" s="568" t="s">
        <v>551</v>
      </c>
      <c r="C202" s="532" t="s">
        <v>1071</v>
      </c>
      <c r="D202" s="2153">
        <v>4</v>
      </c>
      <c r="E202" s="560" t="s">
        <v>502</v>
      </c>
      <c r="F202" s="2153" t="s">
        <v>312</v>
      </c>
      <c r="G202" s="2180">
        <v>0.56699999999999995</v>
      </c>
      <c r="H202" s="164"/>
      <c r="I202" s="1359">
        <f t="shared" si="233"/>
        <v>0</v>
      </c>
      <c r="J202" s="562" t="str">
        <f t="shared" si="239"/>
        <v>0:0:00</v>
      </c>
      <c r="K202" s="563">
        <v>1000</v>
      </c>
      <c r="L202" s="2127">
        <f t="shared" si="240"/>
        <v>95.15</v>
      </c>
      <c r="M202" s="561">
        <f t="shared" si="241"/>
        <v>0</v>
      </c>
      <c r="N202" s="564">
        <v>1</v>
      </c>
      <c r="O202" s="561">
        <f t="shared" si="242"/>
        <v>0</v>
      </c>
      <c r="P202" s="561">
        <f t="shared" si="243"/>
        <v>0</v>
      </c>
      <c r="Q202" s="565">
        <f t="shared" si="244"/>
        <v>0</v>
      </c>
      <c r="R202" s="566">
        <f t="shared" si="245"/>
        <v>0</v>
      </c>
      <c r="S202" s="566">
        <f t="shared" si="246"/>
        <v>0</v>
      </c>
      <c r="T202" s="566">
        <f t="shared" si="251"/>
        <v>0</v>
      </c>
      <c r="U202" s="2028">
        <f t="shared" si="252"/>
        <v>0</v>
      </c>
      <c r="V202" s="1357"/>
      <c r="W202" s="1361"/>
      <c r="X202" s="1361"/>
      <c r="Y202" s="1361"/>
      <c r="AD202" s="2141">
        <f t="shared" si="238"/>
        <v>2.6</v>
      </c>
      <c r="AE202" s="2142" t="str">
        <f t="shared" si="223"/>
        <v/>
      </c>
      <c r="AG202" s="2118" t="s">
        <v>1816</v>
      </c>
    </row>
    <row r="203" spans="1:33" ht="25.5" hidden="1" outlineLevel="3" x14ac:dyDescent="0.2">
      <c r="A203" s="1360">
        <f t="shared" si="248"/>
        <v>670</v>
      </c>
      <c r="B203" s="568" t="s">
        <v>552</v>
      </c>
      <c r="C203" s="532" t="s">
        <v>1071</v>
      </c>
      <c r="D203" s="2153">
        <v>4</v>
      </c>
      <c r="E203" s="560" t="s">
        <v>502</v>
      </c>
      <c r="F203" s="2153" t="s">
        <v>312</v>
      </c>
      <c r="G203" s="2180">
        <v>0.71</v>
      </c>
      <c r="H203" s="164"/>
      <c r="I203" s="1359">
        <f t="shared" si="233"/>
        <v>0</v>
      </c>
      <c r="J203" s="562" t="str">
        <f t="shared" si="239"/>
        <v>0:0:00</v>
      </c>
      <c r="K203" s="563">
        <v>1000</v>
      </c>
      <c r="L203" s="2127">
        <f t="shared" si="240"/>
        <v>95.15</v>
      </c>
      <c r="M203" s="561">
        <f t="shared" si="241"/>
        <v>0</v>
      </c>
      <c r="N203" s="564">
        <v>1</v>
      </c>
      <c r="O203" s="561">
        <f t="shared" si="242"/>
        <v>0</v>
      </c>
      <c r="P203" s="561">
        <f t="shared" si="243"/>
        <v>0</v>
      </c>
      <c r="Q203" s="565">
        <f t="shared" si="244"/>
        <v>0</v>
      </c>
      <c r="R203" s="566">
        <f t="shared" si="245"/>
        <v>0</v>
      </c>
      <c r="S203" s="566">
        <f t="shared" si="246"/>
        <v>0</v>
      </c>
      <c r="T203" s="566">
        <f t="shared" si="251"/>
        <v>0</v>
      </c>
      <c r="U203" s="2028">
        <f t="shared" si="252"/>
        <v>0</v>
      </c>
      <c r="V203" s="1357"/>
      <c r="W203" s="1361"/>
      <c r="X203" s="1361"/>
      <c r="Y203" s="1361"/>
      <c r="AD203" s="2141">
        <f t="shared" si="238"/>
        <v>2.6</v>
      </c>
      <c r="AE203" s="2142" t="str">
        <f t="shared" si="223"/>
        <v/>
      </c>
      <c r="AG203" s="2118" t="s">
        <v>1816</v>
      </c>
    </row>
    <row r="204" spans="1:33" ht="14.25" hidden="1" outlineLevel="2" x14ac:dyDescent="0.2">
      <c r="A204" s="1360"/>
      <c r="B204" s="557" t="s">
        <v>1076</v>
      </c>
      <c r="C204" s="522"/>
      <c r="D204" s="2152"/>
      <c r="E204" s="523" t="s">
        <v>218</v>
      </c>
      <c r="F204" s="2164"/>
      <c r="G204" s="2181"/>
      <c r="H204" s="569">
        <f>SUM(H194:H203)</f>
        <v>0</v>
      </c>
      <c r="I204" s="2043">
        <f>SUM(I205:I222)</f>
        <v>0</v>
      </c>
      <c r="J204" s="524"/>
      <c r="K204" s="524"/>
      <c r="L204" s="526"/>
      <c r="M204" s="524"/>
      <c r="N204" s="524"/>
      <c r="O204" s="524"/>
      <c r="P204" s="524"/>
      <c r="Q204" s="527"/>
      <c r="R204" s="524"/>
      <c r="S204" s="524"/>
      <c r="T204" s="524"/>
      <c r="U204" s="2028">
        <f t="shared" si="252"/>
        <v>0</v>
      </c>
      <c r="V204" s="1357"/>
      <c r="W204" s="1361"/>
      <c r="X204" s="1361"/>
      <c r="Y204" s="1361"/>
      <c r="AD204" s="2141" t="str">
        <f t="shared" si="238"/>
        <v/>
      </c>
      <c r="AE204" s="2142" t="str">
        <f t="shared" si="223"/>
        <v/>
      </c>
      <c r="AG204" s="2118" t="s">
        <v>1816</v>
      </c>
    </row>
    <row r="205" spans="1:33" ht="25.5" hidden="1" outlineLevel="3" x14ac:dyDescent="0.2">
      <c r="A205" s="1360">
        <f>A203+1</f>
        <v>671</v>
      </c>
      <c r="B205" s="738" t="s">
        <v>637</v>
      </c>
      <c r="C205" s="532" t="s">
        <v>1071</v>
      </c>
      <c r="D205" s="2153">
        <v>4</v>
      </c>
      <c r="E205" s="560" t="s">
        <v>502</v>
      </c>
      <c r="F205" s="2165" t="s">
        <v>312</v>
      </c>
      <c r="G205" s="2180">
        <f>0.047+0.127</f>
        <v>0.17399999999999999</v>
      </c>
      <c r="H205" s="740">
        <f>SUMIFS(Исх!$BP$30:$BP$41,Исх!$BQ$30:$BQ$41,Трудозатраты!$W205,Исх!$BN$30:$BN$41,Трудозатраты!Y205)</f>
        <v>0</v>
      </c>
      <c r="I205" s="1359">
        <f t="shared" si="233"/>
        <v>0</v>
      </c>
      <c r="J205" s="562" t="str">
        <f t="shared" ref="J205:J222" si="253">CONCATENATE(TRUNC(I205,0),":",INT((I205-(TRUNC(I205,0)))*60),":","00")</f>
        <v>0:0:00</v>
      </c>
      <c r="K205" s="563">
        <v>1000</v>
      </c>
      <c r="L205" s="2127">
        <f t="shared" ref="L205:L222" si="254">РезкаПодрезка</f>
        <v>95.15</v>
      </c>
      <c r="M205" s="561">
        <f t="shared" ref="M205:M222" si="255">I205*L205</f>
        <v>0</v>
      </c>
      <c r="N205" s="564">
        <v>1</v>
      </c>
      <c r="O205" s="561">
        <f t="shared" ref="O205:O222" si="256">M205*N205</f>
        <v>0</v>
      </c>
      <c r="P205" s="561">
        <f t="shared" ref="P205:P222" si="257">(M205+O205)*0.15</f>
        <v>0</v>
      </c>
      <c r="Q205" s="565">
        <f t="shared" ref="Q205:Q222" si="258">M205+O205+P205</f>
        <v>0</v>
      </c>
      <c r="R205" s="566">
        <f t="shared" ref="R205:R222" si="259">Q205*$R$1</f>
        <v>0</v>
      </c>
      <c r="S205" s="566">
        <f t="shared" ref="S205:S222" si="260">(Q205+R205)*$S$1</f>
        <v>0</v>
      </c>
      <c r="T205" s="566">
        <f t="shared" ref="T205" si="261">Q205+R205+S205</f>
        <v>0</v>
      </c>
      <c r="U205" s="2028">
        <f t="shared" si="252"/>
        <v>0</v>
      </c>
      <c r="V205" s="1357"/>
      <c r="W205" s="1361">
        <v>201</v>
      </c>
      <c r="X205" s="1362"/>
      <c r="Y205" s="1363" t="s">
        <v>642</v>
      </c>
      <c r="AD205" s="2141">
        <f t="shared" si="238"/>
        <v>2.6</v>
      </c>
      <c r="AE205" s="2142" t="str">
        <f t="shared" si="223"/>
        <v/>
      </c>
      <c r="AG205" s="2118" t="s">
        <v>1816</v>
      </c>
    </row>
    <row r="206" spans="1:33" ht="25.5" hidden="1" outlineLevel="3" x14ac:dyDescent="0.2">
      <c r="A206" s="1360">
        <f>A205+1</f>
        <v>672</v>
      </c>
      <c r="B206" s="738" t="s">
        <v>638</v>
      </c>
      <c r="C206" s="532" t="s">
        <v>1071</v>
      </c>
      <c r="D206" s="2153">
        <v>4</v>
      </c>
      <c r="E206" s="560" t="s">
        <v>502</v>
      </c>
      <c r="F206" s="2165" t="s">
        <v>312</v>
      </c>
      <c r="G206" s="2180">
        <f>0.095+0.127</f>
        <v>0.222</v>
      </c>
      <c r="H206" s="740">
        <f>SUMIFS(Исх!$BP$30:$BP$41,Исх!$BQ$30:$BQ$41,Трудозатраты!$W206,Исх!$BN$30:$BN$41,Трудозатраты!Y206)</f>
        <v>0</v>
      </c>
      <c r="I206" s="1359">
        <f t="shared" si="233"/>
        <v>0</v>
      </c>
      <c r="J206" s="562" t="str">
        <f t="shared" si="253"/>
        <v>0:0:00</v>
      </c>
      <c r="K206" s="563">
        <v>1000</v>
      </c>
      <c r="L206" s="2127">
        <f t="shared" si="254"/>
        <v>95.15</v>
      </c>
      <c r="M206" s="561">
        <f t="shared" si="255"/>
        <v>0</v>
      </c>
      <c r="N206" s="564">
        <v>1</v>
      </c>
      <c r="O206" s="561">
        <f t="shared" si="256"/>
        <v>0</v>
      </c>
      <c r="P206" s="561">
        <f t="shared" si="257"/>
        <v>0</v>
      </c>
      <c r="Q206" s="565">
        <f t="shared" si="258"/>
        <v>0</v>
      </c>
      <c r="R206" s="566">
        <f t="shared" si="259"/>
        <v>0</v>
      </c>
      <c r="S206" s="566">
        <f t="shared" si="260"/>
        <v>0</v>
      </c>
      <c r="T206" s="566">
        <f>Q206+R206+S206</f>
        <v>0</v>
      </c>
      <c r="U206" s="2028">
        <f t="shared" si="252"/>
        <v>0</v>
      </c>
      <c r="V206" s="1357"/>
      <c r="W206" s="1361">
        <v>201</v>
      </c>
      <c r="X206" s="1362"/>
      <c r="Y206" s="1363" t="s">
        <v>643</v>
      </c>
      <c r="AD206" s="2141">
        <f t="shared" si="238"/>
        <v>2.6</v>
      </c>
      <c r="AE206" s="2142" t="str">
        <f t="shared" si="223"/>
        <v/>
      </c>
      <c r="AG206" s="2118" t="s">
        <v>1816</v>
      </c>
    </row>
    <row r="207" spans="1:33" ht="25.5" hidden="1" outlineLevel="3" x14ac:dyDescent="0.2">
      <c r="A207" s="1360">
        <f t="shared" ref="A207:A222" si="262">A206+1</f>
        <v>673</v>
      </c>
      <c r="B207" s="739" t="s">
        <v>639</v>
      </c>
      <c r="C207" s="532" t="s">
        <v>1071</v>
      </c>
      <c r="D207" s="2153">
        <v>4</v>
      </c>
      <c r="E207" s="560" t="s">
        <v>502</v>
      </c>
      <c r="F207" s="2165" t="s">
        <v>312</v>
      </c>
      <c r="G207" s="2180">
        <f>0.16+0.127</f>
        <v>0.28700000000000003</v>
      </c>
      <c r="H207" s="740">
        <f>SUMIFS(Исх!$BP$30:$BP$41,Исх!$BQ$30:$BQ$41,Трудозатраты!$W207,Исх!$BN$30:$BN$41,Трудозатраты!Y207)</f>
        <v>0</v>
      </c>
      <c r="I207" s="1359">
        <f t="shared" si="233"/>
        <v>0</v>
      </c>
      <c r="J207" s="562" t="str">
        <f t="shared" si="253"/>
        <v>0:0:00</v>
      </c>
      <c r="K207" s="563">
        <v>1000</v>
      </c>
      <c r="L207" s="2127">
        <f t="shared" si="254"/>
        <v>95.15</v>
      </c>
      <c r="M207" s="561">
        <f t="shared" si="255"/>
        <v>0</v>
      </c>
      <c r="N207" s="564">
        <v>1</v>
      </c>
      <c r="O207" s="561">
        <f t="shared" si="256"/>
        <v>0</v>
      </c>
      <c r="P207" s="561">
        <f t="shared" si="257"/>
        <v>0</v>
      </c>
      <c r="Q207" s="565">
        <f t="shared" si="258"/>
        <v>0</v>
      </c>
      <c r="R207" s="566">
        <f t="shared" si="259"/>
        <v>0</v>
      </c>
      <c r="S207" s="566">
        <f t="shared" si="260"/>
        <v>0</v>
      </c>
      <c r="T207" s="566">
        <f t="shared" ref="T207" si="263">Q207+R207+S207</f>
        <v>0</v>
      </c>
      <c r="U207" s="2028">
        <f t="shared" si="252"/>
        <v>0</v>
      </c>
      <c r="V207" s="1357"/>
      <c r="W207" s="1361">
        <v>201</v>
      </c>
      <c r="X207" s="1362"/>
      <c r="Y207" s="1363" t="s">
        <v>644</v>
      </c>
      <c r="AD207" s="2141">
        <f t="shared" si="238"/>
        <v>2.6</v>
      </c>
      <c r="AE207" s="2142" t="str">
        <f t="shared" si="223"/>
        <v/>
      </c>
      <c r="AG207" s="2118" t="s">
        <v>1816</v>
      </c>
    </row>
    <row r="208" spans="1:33" ht="25.5" hidden="1" outlineLevel="3" x14ac:dyDescent="0.2">
      <c r="A208" s="1360">
        <f t="shared" si="262"/>
        <v>674</v>
      </c>
      <c r="B208" s="739" t="s">
        <v>640</v>
      </c>
      <c r="C208" s="532" t="s">
        <v>1071</v>
      </c>
      <c r="D208" s="2153">
        <v>4</v>
      </c>
      <c r="E208" s="560" t="s">
        <v>502</v>
      </c>
      <c r="F208" s="2165" t="s">
        <v>312</v>
      </c>
      <c r="G208" s="2180">
        <f>0.221+0.127</f>
        <v>0.34799999999999998</v>
      </c>
      <c r="H208" s="740">
        <f>SUMIFS(Исх!$BP$30:$BP$41,Исх!$BQ$30:$BQ$41,Трудозатраты!$W208,Исх!$BN$30:$BN$41,Трудозатраты!Y208)</f>
        <v>0</v>
      </c>
      <c r="I208" s="1359">
        <f t="shared" si="233"/>
        <v>0</v>
      </c>
      <c r="J208" s="562" t="str">
        <f t="shared" si="253"/>
        <v>0:0:00</v>
      </c>
      <c r="K208" s="563">
        <v>1000</v>
      </c>
      <c r="L208" s="2127">
        <f t="shared" si="254"/>
        <v>95.15</v>
      </c>
      <c r="M208" s="561">
        <f t="shared" si="255"/>
        <v>0</v>
      </c>
      <c r="N208" s="564">
        <v>1</v>
      </c>
      <c r="O208" s="561">
        <f t="shared" si="256"/>
        <v>0</v>
      </c>
      <c r="P208" s="561">
        <f t="shared" si="257"/>
        <v>0</v>
      </c>
      <c r="Q208" s="565">
        <f t="shared" si="258"/>
        <v>0</v>
      </c>
      <c r="R208" s="566">
        <f t="shared" si="259"/>
        <v>0</v>
      </c>
      <c r="S208" s="566">
        <f t="shared" si="260"/>
        <v>0</v>
      </c>
      <c r="T208" s="566">
        <f>Q208+R208+S208</f>
        <v>0</v>
      </c>
      <c r="U208" s="2028">
        <f t="shared" si="252"/>
        <v>0</v>
      </c>
      <c r="V208" s="1357"/>
      <c r="W208" s="1361">
        <v>201</v>
      </c>
      <c r="X208" s="1362"/>
      <c r="Y208" s="1363" t="s">
        <v>645</v>
      </c>
      <c r="AD208" s="2141">
        <f t="shared" si="238"/>
        <v>2.6</v>
      </c>
      <c r="AE208" s="2142" t="str">
        <f t="shared" si="223"/>
        <v/>
      </c>
      <c r="AG208" s="2118" t="s">
        <v>1816</v>
      </c>
    </row>
    <row r="209" spans="1:33" ht="25.5" hidden="1" outlineLevel="3" x14ac:dyDescent="0.2">
      <c r="A209" s="1360">
        <f t="shared" si="262"/>
        <v>675</v>
      </c>
      <c r="B209" s="739" t="s">
        <v>641</v>
      </c>
      <c r="C209" s="532" t="s">
        <v>1071</v>
      </c>
      <c r="D209" s="2153">
        <v>4</v>
      </c>
      <c r="E209" s="560" t="s">
        <v>502</v>
      </c>
      <c r="F209" s="2165" t="s">
        <v>312</v>
      </c>
      <c r="G209" s="2180">
        <f>0.264+0.127</f>
        <v>0.39100000000000001</v>
      </c>
      <c r="H209" s="740">
        <f>SUMIFS(Исх!$BP$30:$BP$41,Исх!$BQ$30:$BQ$41,Трудозатраты!$W209,Исх!$BN$30:$BN$41,Трудозатраты!Y209)</f>
        <v>0</v>
      </c>
      <c r="I209" s="1359">
        <f t="shared" si="233"/>
        <v>0</v>
      </c>
      <c r="J209" s="562" t="str">
        <f t="shared" si="253"/>
        <v>0:0:00</v>
      </c>
      <c r="K209" s="563">
        <v>1000</v>
      </c>
      <c r="L209" s="2127">
        <f t="shared" si="254"/>
        <v>95.15</v>
      </c>
      <c r="M209" s="561">
        <f t="shared" si="255"/>
        <v>0</v>
      </c>
      <c r="N209" s="564">
        <v>1</v>
      </c>
      <c r="O209" s="561">
        <f t="shared" si="256"/>
        <v>0</v>
      </c>
      <c r="P209" s="561">
        <f t="shared" si="257"/>
        <v>0</v>
      </c>
      <c r="Q209" s="565">
        <f t="shared" si="258"/>
        <v>0</v>
      </c>
      <c r="R209" s="566">
        <f t="shared" si="259"/>
        <v>0</v>
      </c>
      <c r="S209" s="566">
        <f t="shared" si="260"/>
        <v>0</v>
      </c>
      <c r="T209" s="566">
        <f t="shared" ref="T209" si="264">Q209+R209+S209</f>
        <v>0</v>
      </c>
      <c r="U209" s="2028">
        <f t="shared" si="252"/>
        <v>0</v>
      </c>
      <c r="V209" s="1357"/>
      <c r="W209" s="1361">
        <v>201</v>
      </c>
      <c r="X209" s="1362"/>
      <c r="Y209" s="1363" t="s">
        <v>646</v>
      </c>
      <c r="AD209" s="2141">
        <f t="shared" si="238"/>
        <v>2.6</v>
      </c>
      <c r="AE209" s="2142" t="str">
        <f t="shared" si="223"/>
        <v/>
      </c>
      <c r="AG209" s="2118" t="s">
        <v>1816</v>
      </c>
    </row>
    <row r="210" spans="1:33" ht="25.5" hidden="1" outlineLevel="3" x14ac:dyDescent="0.2">
      <c r="A210" s="1360">
        <f t="shared" si="262"/>
        <v>676</v>
      </c>
      <c r="B210" s="567" t="s">
        <v>553</v>
      </c>
      <c r="C210" s="532" t="s">
        <v>1071</v>
      </c>
      <c r="D210" s="2153">
        <v>4</v>
      </c>
      <c r="E210" s="560" t="s">
        <v>502</v>
      </c>
      <c r="F210" s="2153" t="s">
        <v>312</v>
      </c>
      <c r="G210" s="2180">
        <v>0.13650000000000001</v>
      </c>
      <c r="H210" s="164"/>
      <c r="I210" s="1359">
        <f t="shared" si="233"/>
        <v>0</v>
      </c>
      <c r="J210" s="562" t="str">
        <f t="shared" si="253"/>
        <v>0:0:00</v>
      </c>
      <c r="K210" s="563">
        <v>1000</v>
      </c>
      <c r="L210" s="2127">
        <f t="shared" si="254"/>
        <v>95.15</v>
      </c>
      <c r="M210" s="561">
        <f t="shared" si="255"/>
        <v>0</v>
      </c>
      <c r="N210" s="564">
        <v>1</v>
      </c>
      <c r="O210" s="561">
        <f t="shared" si="256"/>
        <v>0</v>
      </c>
      <c r="P210" s="561">
        <f t="shared" si="257"/>
        <v>0</v>
      </c>
      <c r="Q210" s="565">
        <f t="shared" si="258"/>
        <v>0</v>
      </c>
      <c r="R210" s="566">
        <f t="shared" si="259"/>
        <v>0</v>
      </c>
      <c r="S210" s="566">
        <f t="shared" si="260"/>
        <v>0</v>
      </c>
      <c r="T210" s="566">
        <f>Q210+R210+S210</f>
        <v>0</v>
      </c>
      <c r="U210" s="2028">
        <f t="shared" si="252"/>
        <v>0</v>
      </c>
      <c r="V210" s="1357"/>
      <c r="W210" s="1357"/>
      <c r="X210" s="1357"/>
      <c r="Y210" s="1357"/>
      <c r="AD210" s="2141">
        <f t="shared" si="238"/>
        <v>2.6</v>
      </c>
      <c r="AE210" s="2142" t="str">
        <f t="shared" si="223"/>
        <v/>
      </c>
      <c r="AG210" s="2118" t="s">
        <v>1816</v>
      </c>
    </row>
    <row r="211" spans="1:33" ht="25.5" hidden="1" outlineLevel="3" x14ac:dyDescent="0.2">
      <c r="A211" s="1360">
        <f t="shared" si="262"/>
        <v>677</v>
      </c>
      <c r="B211" s="558" t="s">
        <v>554</v>
      </c>
      <c r="C211" s="532" t="s">
        <v>1071</v>
      </c>
      <c r="D211" s="2153">
        <v>4</v>
      </c>
      <c r="E211" s="560" t="s">
        <v>502</v>
      </c>
      <c r="F211" s="2153" t="s">
        <v>312</v>
      </c>
      <c r="G211" s="2180">
        <v>2.3800000000000002E-2</v>
      </c>
      <c r="H211" s="164">
        <f>SUM(H213:H222)*3</f>
        <v>0</v>
      </c>
      <c r="I211" s="1359">
        <f t="shared" si="233"/>
        <v>0</v>
      </c>
      <c r="J211" s="562" t="str">
        <f t="shared" si="253"/>
        <v>0:0:00</v>
      </c>
      <c r="K211" s="563">
        <v>1000</v>
      </c>
      <c r="L211" s="2127">
        <f t="shared" si="254"/>
        <v>95.15</v>
      </c>
      <c r="M211" s="561">
        <f t="shared" si="255"/>
        <v>0</v>
      </c>
      <c r="N211" s="564">
        <v>1</v>
      </c>
      <c r="O211" s="561">
        <f t="shared" si="256"/>
        <v>0</v>
      </c>
      <c r="P211" s="561">
        <f t="shared" si="257"/>
        <v>0</v>
      </c>
      <c r="Q211" s="565">
        <f t="shared" si="258"/>
        <v>0</v>
      </c>
      <c r="R211" s="566">
        <f t="shared" si="259"/>
        <v>0</v>
      </c>
      <c r="S211" s="566">
        <f t="shared" si="260"/>
        <v>0</v>
      </c>
      <c r="T211" s="566">
        <f t="shared" ref="T211:T222" si="265">Q211+R211+S211</f>
        <v>0</v>
      </c>
      <c r="U211" s="2028">
        <f t="shared" si="252"/>
        <v>0</v>
      </c>
      <c r="V211" s="1357"/>
      <c r="W211" s="1357"/>
      <c r="X211" s="1357"/>
      <c r="Y211" s="1357"/>
      <c r="AD211" s="2141">
        <f t="shared" si="238"/>
        <v>2.6</v>
      </c>
      <c r="AE211" s="2142" t="str">
        <f t="shared" si="223"/>
        <v/>
      </c>
      <c r="AG211" s="2118" t="s">
        <v>1816</v>
      </c>
    </row>
    <row r="212" spans="1:33" ht="25.5" hidden="1" outlineLevel="3" x14ac:dyDescent="0.2">
      <c r="A212" s="1360">
        <f t="shared" si="262"/>
        <v>678</v>
      </c>
      <c r="B212" s="567" t="s">
        <v>555</v>
      </c>
      <c r="C212" s="532" t="s">
        <v>1071</v>
      </c>
      <c r="D212" s="2153">
        <v>4</v>
      </c>
      <c r="E212" s="560" t="s">
        <v>502</v>
      </c>
      <c r="F212" s="2153" t="s">
        <v>312</v>
      </c>
      <c r="G212" s="2180">
        <v>9.9599999999999994E-2</v>
      </c>
      <c r="H212" s="164"/>
      <c r="I212" s="1359">
        <f t="shared" si="233"/>
        <v>0</v>
      </c>
      <c r="J212" s="562" t="str">
        <f t="shared" si="253"/>
        <v>0:0:00</v>
      </c>
      <c r="K212" s="563">
        <v>1000</v>
      </c>
      <c r="L212" s="2127">
        <f t="shared" si="254"/>
        <v>95.15</v>
      </c>
      <c r="M212" s="561">
        <f t="shared" si="255"/>
        <v>0</v>
      </c>
      <c r="N212" s="564">
        <v>1</v>
      </c>
      <c r="O212" s="561">
        <f t="shared" si="256"/>
        <v>0</v>
      </c>
      <c r="P212" s="561">
        <f t="shared" si="257"/>
        <v>0</v>
      </c>
      <c r="Q212" s="565">
        <f t="shared" si="258"/>
        <v>0</v>
      </c>
      <c r="R212" s="566">
        <f t="shared" si="259"/>
        <v>0</v>
      </c>
      <c r="S212" s="566">
        <f t="shared" si="260"/>
        <v>0</v>
      </c>
      <c r="T212" s="566">
        <f t="shared" si="265"/>
        <v>0</v>
      </c>
      <c r="U212" s="2028">
        <f t="shared" si="252"/>
        <v>0</v>
      </c>
      <c r="V212" s="1357"/>
      <c r="W212" s="1357"/>
      <c r="X212" s="1357"/>
      <c r="Y212" s="1357"/>
      <c r="AD212" s="2141">
        <f t="shared" si="238"/>
        <v>2.6</v>
      </c>
      <c r="AE212" s="2142" t="str">
        <f t="shared" si="223"/>
        <v/>
      </c>
      <c r="AG212" s="2118" t="s">
        <v>1816</v>
      </c>
    </row>
    <row r="213" spans="1:33" ht="25.5" hidden="1" outlineLevel="3" x14ac:dyDescent="0.2">
      <c r="A213" s="1360">
        <f t="shared" si="262"/>
        <v>679</v>
      </c>
      <c r="B213" s="568" t="s">
        <v>556</v>
      </c>
      <c r="C213" s="532" t="s">
        <v>1071</v>
      </c>
      <c r="D213" s="2153">
        <v>4</v>
      </c>
      <c r="E213" s="560" t="s">
        <v>502</v>
      </c>
      <c r="F213" s="2153" t="s">
        <v>312</v>
      </c>
      <c r="G213" s="2180">
        <v>0.1235</v>
      </c>
      <c r="H213" s="164"/>
      <c r="I213" s="1359">
        <f t="shared" si="233"/>
        <v>0</v>
      </c>
      <c r="J213" s="562" t="str">
        <f t="shared" si="253"/>
        <v>0:0:00</v>
      </c>
      <c r="K213" s="563">
        <v>1000</v>
      </c>
      <c r="L213" s="2127">
        <f t="shared" si="254"/>
        <v>95.15</v>
      </c>
      <c r="M213" s="561">
        <f t="shared" si="255"/>
        <v>0</v>
      </c>
      <c r="N213" s="564">
        <v>1</v>
      </c>
      <c r="O213" s="561">
        <f t="shared" si="256"/>
        <v>0</v>
      </c>
      <c r="P213" s="561">
        <f t="shared" si="257"/>
        <v>0</v>
      </c>
      <c r="Q213" s="565">
        <f t="shared" si="258"/>
        <v>0</v>
      </c>
      <c r="R213" s="566">
        <f t="shared" si="259"/>
        <v>0</v>
      </c>
      <c r="S213" s="566">
        <f t="shared" si="260"/>
        <v>0</v>
      </c>
      <c r="T213" s="566">
        <f t="shared" si="265"/>
        <v>0</v>
      </c>
      <c r="U213" s="2028">
        <f t="shared" si="252"/>
        <v>0</v>
      </c>
      <c r="V213" s="1357"/>
      <c r="W213" s="1357"/>
      <c r="X213" s="1357"/>
      <c r="Y213" s="1357"/>
      <c r="AD213" s="2141">
        <f t="shared" si="238"/>
        <v>2.6</v>
      </c>
      <c r="AE213" s="2142" t="str">
        <f t="shared" si="223"/>
        <v/>
      </c>
      <c r="AG213" s="2118" t="s">
        <v>1816</v>
      </c>
    </row>
    <row r="214" spans="1:33" ht="25.5" hidden="1" outlineLevel="3" x14ac:dyDescent="0.2">
      <c r="A214" s="1360">
        <f t="shared" si="262"/>
        <v>680</v>
      </c>
      <c r="B214" s="568" t="s">
        <v>557</v>
      </c>
      <c r="C214" s="532" t="s">
        <v>1071</v>
      </c>
      <c r="D214" s="2153">
        <v>4</v>
      </c>
      <c r="E214" s="560" t="s">
        <v>502</v>
      </c>
      <c r="F214" s="2153" t="s">
        <v>312</v>
      </c>
      <c r="G214" s="2180">
        <v>0.1842</v>
      </c>
      <c r="H214" s="164"/>
      <c r="I214" s="1359">
        <f t="shared" si="233"/>
        <v>0</v>
      </c>
      <c r="J214" s="562" t="str">
        <f t="shared" si="253"/>
        <v>0:0:00</v>
      </c>
      <c r="K214" s="563">
        <v>1000</v>
      </c>
      <c r="L214" s="2127">
        <f t="shared" si="254"/>
        <v>95.15</v>
      </c>
      <c r="M214" s="561">
        <f t="shared" si="255"/>
        <v>0</v>
      </c>
      <c r="N214" s="564">
        <v>1</v>
      </c>
      <c r="O214" s="561">
        <f t="shared" si="256"/>
        <v>0</v>
      </c>
      <c r="P214" s="561">
        <f t="shared" si="257"/>
        <v>0</v>
      </c>
      <c r="Q214" s="565">
        <f t="shared" si="258"/>
        <v>0</v>
      </c>
      <c r="R214" s="566">
        <f t="shared" si="259"/>
        <v>0</v>
      </c>
      <c r="S214" s="566">
        <f t="shared" si="260"/>
        <v>0</v>
      </c>
      <c r="T214" s="566">
        <f t="shared" si="265"/>
        <v>0</v>
      </c>
      <c r="U214" s="2028">
        <f t="shared" si="252"/>
        <v>0</v>
      </c>
      <c r="V214" s="1357"/>
      <c r="W214" s="1357"/>
      <c r="X214" s="1357"/>
      <c r="Y214" s="1357"/>
      <c r="AD214" s="2141">
        <f t="shared" si="238"/>
        <v>2.6</v>
      </c>
      <c r="AE214" s="2142" t="str">
        <f t="shared" si="223"/>
        <v/>
      </c>
      <c r="AG214" s="2118" t="s">
        <v>1816</v>
      </c>
    </row>
    <row r="215" spans="1:33" ht="25.5" hidden="1" outlineLevel="3" x14ac:dyDescent="0.2">
      <c r="A215" s="1360">
        <f t="shared" si="262"/>
        <v>681</v>
      </c>
      <c r="B215" s="568" t="s">
        <v>558</v>
      </c>
      <c r="C215" s="532" t="s">
        <v>1071</v>
      </c>
      <c r="D215" s="2153">
        <v>4</v>
      </c>
      <c r="E215" s="560" t="s">
        <v>502</v>
      </c>
      <c r="F215" s="2153" t="s">
        <v>312</v>
      </c>
      <c r="G215" s="2180">
        <v>0.22750000000000001</v>
      </c>
      <c r="H215" s="164"/>
      <c r="I215" s="1359">
        <f t="shared" si="233"/>
        <v>0</v>
      </c>
      <c r="J215" s="562" t="str">
        <f t="shared" si="253"/>
        <v>0:0:00</v>
      </c>
      <c r="K215" s="563">
        <v>1000</v>
      </c>
      <c r="L215" s="2127">
        <f t="shared" si="254"/>
        <v>95.15</v>
      </c>
      <c r="M215" s="561">
        <f t="shared" si="255"/>
        <v>0</v>
      </c>
      <c r="N215" s="564">
        <v>1</v>
      </c>
      <c r="O215" s="561">
        <f t="shared" si="256"/>
        <v>0</v>
      </c>
      <c r="P215" s="561">
        <f t="shared" si="257"/>
        <v>0</v>
      </c>
      <c r="Q215" s="565">
        <f t="shared" si="258"/>
        <v>0</v>
      </c>
      <c r="R215" s="566">
        <f t="shared" si="259"/>
        <v>0</v>
      </c>
      <c r="S215" s="566">
        <f t="shared" si="260"/>
        <v>0</v>
      </c>
      <c r="T215" s="566">
        <f t="shared" si="265"/>
        <v>0</v>
      </c>
      <c r="U215" s="2028">
        <f t="shared" si="252"/>
        <v>0</v>
      </c>
      <c r="V215" s="1357"/>
      <c r="W215" s="1357"/>
      <c r="X215" s="1357"/>
      <c r="Y215" s="1357"/>
      <c r="AD215" s="2141">
        <f t="shared" si="238"/>
        <v>2.6</v>
      </c>
      <c r="AE215" s="2142" t="str">
        <f t="shared" si="223"/>
        <v/>
      </c>
      <c r="AG215" s="2118" t="s">
        <v>1816</v>
      </c>
    </row>
    <row r="216" spans="1:33" ht="25.5" hidden="1" outlineLevel="3" x14ac:dyDescent="0.2">
      <c r="A216" s="1360">
        <f t="shared" si="262"/>
        <v>682</v>
      </c>
      <c r="B216" s="568" t="s">
        <v>559</v>
      </c>
      <c r="C216" s="532" t="s">
        <v>1071</v>
      </c>
      <c r="D216" s="2153">
        <v>4</v>
      </c>
      <c r="E216" s="560" t="s">
        <v>502</v>
      </c>
      <c r="F216" s="2153" t="s">
        <v>312</v>
      </c>
      <c r="G216" s="2180">
        <v>0.27300000000000002</v>
      </c>
      <c r="H216" s="164"/>
      <c r="I216" s="1359">
        <f t="shared" si="233"/>
        <v>0</v>
      </c>
      <c r="J216" s="562" t="str">
        <f t="shared" si="253"/>
        <v>0:0:00</v>
      </c>
      <c r="K216" s="563">
        <v>1000</v>
      </c>
      <c r="L216" s="2127">
        <f t="shared" si="254"/>
        <v>95.15</v>
      </c>
      <c r="M216" s="561">
        <f t="shared" si="255"/>
        <v>0</v>
      </c>
      <c r="N216" s="564">
        <v>1</v>
      </c>
      <c r="O216" s="561">
        <f t="shared" si="256"/>
        <v>0</v>
      </c>
      <c r="P216" s="561">
        <f t="shared" si="257"/>
        <v>0</v>
      </c>
      <c r="Q216" s="565">
        <f t="shared" si="258"/>
        <v>0</v>
      </c>
      <c r="R216" s="566">
        <f t="shared" si="259"/>
        <v>0</v>
      </c>
      <c r="S216" s="566">
        <f t="shared" si="260"/>
        <v>0</v>
      </c>
      <c r="T216" s="566">
        <f t="shared" si="265"/>
        <v>0</v>
      </c>
      <c r="U216" s="2028">
        <f t="shared" si="252"/>
        <v>0</v>
      </c>
      <c r="V216" s="1357"/>
      <c r="W216" s="1357"/>
      <c r="X216" s="1357"/>
      <c r="Y216" s="1357"/>
      <c r="AD216" s="2141">
        <f t="shared" si="238"/>
        <v>2.6</v>
      </c>
      <c r="AE216" s="2142" t="str">
        <f t="shared" si="223"/>
        <v/>
      </c>
      <c r="AG216" s="2118" t="s">
        <v>1816</v>
      </c>
    </row>
    <row r="217" spans="1:33" ht="25.5" hidden="1" outlineLevel="3" x14ac:dyDescent="0.2">
      <c r="A217" s="1360">
        <f t="shared" si="262"/>
        <v>683</v>
      </c>
      <c r="B217" s="568" t="s">
        <v>560</v>
      </c>
      <c r="C217" s="532" t="s">
        <v>1071</v>
      </c>
      <c r="D217" s="2153">
        <v>4</v>
      </c>
      <c r="E217" s="560" t="s">
        <v>502</v>
      </c>
      <c r="F217" s="2153" t="s">
        <v>312</v>
      </c>
      <c r="G217" s="2180">
        <v>0.30980000000000002</v>
      </c>
      <c r="H217" s="164"/>
      <c r="I217" s="1359">
        <f t="shared" si="233"/>
        <v>0</v>
      </c>
      <c r="J217" s="562" t="str">
        <f t="shared" si="253"/>
        <v>0:0:00</v>
      </c>
      <c r="K217" s="563">
        <v>1000</v>
      </c>
      <c r="L217" s="2127">
        <f t="shared" si="254"/>
        <v>95.15</v>
      </c>
      <c r="M217" s="561">
        <f t="shared" si="255"/>
        <v>0</v>
      </c>
      <c r="N217" s="564">
        <v>1</v>
      </c>
      <c r="O217" s="561">
        <f t="shared" si="256"/>
        <v>0</v>
      </c>
      <c r="P217" s="561">
        <f t="shared" si="257"/>
        <v>0</v>
      </c>
      <c r="Q217" s="565">
        <f t="shared" si="258"/>
        <v>0</v>
      </c>
      <c r="R217" s="566">
        <f t="shared" si="259"/>
        <v>0</v>
      </c>
      <c r="S217" s="566">
        <f t="shared" si="260"/>
        <v>0</v>
      </c>
      <c r="T217" s="566">
        <f t="shared" si="265"/>
        <v>0</v>
      </c>
      <c r="U217" s="2028">
        <f t="shared" si="252"/>
        <v>0</v>
      </c>
      <c r="V217" s="1357"/>
      <c r="W217" s="1357"/>
      <c r="X217" s="1357"/>
      <c r="Y217" s="1357"/>
      <c r="AD217" s="2141">
        <f t="shared" si="238"/>
        <v>2.6</v>
      </c>
      <c r="AE217" s="2142" t="str">
        <f t="shared" si="223"/>
        <v/>
      </c>
      <c r="AG217" s="2118" t="s">
        <v>1816</v>
      </c>
    </row>
    <row r="218" spans="1:33" ht="25.5" hidden="1" outlineLevel="3" x14ac:dyDescent="0.2">
      <c r="A218" s="1360">
        <f t="shared" si="262"/>
        <v>684</v>
      </c>
      <c r="B218" s="568" t="s">
        <v>561</v>
      </c>
      <c r="C218" s="532" t="s">
        <v>1071</v>
      </c>
      <c r="D218" s="2153">
        <v>4</v>
      </c>
      <c r="E218" s="560" t="s">
        <v>502</v>
      </c>
      <c r="F218" s="2153" t="s">
        <v>312</v>
      </c>
      <c r="G218" s="2180">
        <v>0.4138</v>
      </c>
      <c r="H218" s="164"/>
      <c r="I218" s="1359">
        <f t="shared" si="233"/>
        <v>0</v>
      </c>
      <c r="J218" s="562" t="str">
        <f t="shared" si="253"/>
        <v>0:0:00</v>
      </c>
      <c r="K218" s="563">
        <v>1000</v>
      </c>
      <c r="L218" s="2127">
        <f t="shared" si="254"/>
        <v>95.15</v>
      </c>
      <c r="M218" s="561">
        <f t="shared" si="255"/>
        <v>0</v>
      </c>
      <c r="N218" s="564">
        <v>1</v>
      </c>
      <c r="O218" s="561">
        <f t="shared" si="256"/>
        <v>0</v>
      </c>
      <c r="P218" s="561">
        <f t="shared" si="257"/>
        <v>0</v>
      </c>
      <c r="Q218" s="565">
        <f t="shared" si="258"/>
        <v>0</v>
      </c>
      <c r="R218" s="566">
        <f t="shared" si="259"/>
        <v>0</v>
      </c>
      <c r="S218" s="566">
        <f t="shared" si="260"/>
        <v>0</v>
      </c>
      <c r="T218" s="566">
        <f t="shared" si="265"/>
        <v>0</v>
      </c>
      <c r="U218" s="2028">
        <f t="shared" si="252"/>
        <v>0</v>
      </c>
      <c r="V218" s="1357"/>
      <c r="W218" s="1357"/>
      <c r="X218" s="1357"/>
      <c r="Y218" s="1357"/>
      <c r="AD218" s="2141">
        <f t="shared" si="238"/>
        <v>2.6</v>
      </c>
      <c r="AE218" s="2142" t="str">
        <f t="shared" ref="AE218:AE281" si="266">IF(T218&gt;0,T218*AD218,"")</f>
        <v/>
      </c>
      <c r="AG218" s="2118" t="s">
        <v>1816</v>
      </c>
    </row>
    <row r="219" spans="1:33" ht="25.5" hidden="1" outlineLevel="3" x14ac:dyDescent="0.2">
      <c r="A219" s="1360">
        <f t="shared" si="262"/>
        <v>685</v>
      </c>
      <c r="B219" s="568" t="s">
        <v>562</v>
      </c>
      <c r="C219" s="532" t="s">
        <v>1071</v>
      </c>
      <c r="D219" s="2153">
        <v>4</v>
      </c>
      <c r="E219" s="560" t="s">
        <v>502</v>
      </c>
      <c r="F219" s="2153" t="s">
        <v>312</v>
      </c>
      <c r="G219" s="2180">
        <v>0.48320000000000002</v>
      </c>
      <c r="H219" s="164"/>
      <c r="I219" s="1359">
        <f t="shared" si="233"/>
        <v>0</v>
      </c>
      <c r="J219" s="562" t="str">
        <f t="shared" si="253"/>
        <v>0:0:00</v>
      </c>
      <c r="K219" s="563">
        <v>1000</v>
      </c>
      <c r="L219" s="2127">
        <f t="shared" si="254"/>
        <v>95.15</v>
      </c>
      <c r="M219" s="561">
        <f t="shared" si="255"/>
        <v>0</v>
      </c>
      <c r="N219" s="564">
        <v>1</v>
      </c>
      <c r="O219" s="561">
        <f t="shared" si="256"/>
        <v>0</v>
      </c>
      <c r="P219" s="561">
        <f t="shared" si="257"/>
        <v>0</v>
      </c>
      <c r="Q219" s="565">
        <f t="shared" si="258"/>
        <v>0</v>
      </c>
      <c r="R219" s="566">
        <f t="shared" si="259"/>
        <v>0</v>
      </c>
      <c r="S219" s="566">
        <f t="shared" si="260"/>
        <v>0</v>
      </c>
      <c r="T219" s="566">
        <f t="shared" si="265"/>
        <v>0</v>
      </c>
      <c r="U219" s="2028">
        <f t="shared" si="252"/>
        <v>0</v>
      </c>
      <c r="V219" s="1357"/>
      <c r="W219" s="1357"/>
      <c r="X219" s="1357"/>
      <c r="Y219" s="1357"/>
      <c r="AD219" s="2141">
        <f t="shared" si="238"/>
        <v>2.6</v>
      </c>
      <c r="AE219" s="2142" t="str">
        <f t="shared" si="266"/>
        <v/>
      </c>
      <c r="AG219" s="2118" t="s">
        <v>1816</v>
      </c>
    </row>
    <row r="220" spans="1:33" ht="25.5" hidden="1" outlineLevel="3" x14ac:dyDescent="0.2">
      <c r="A220" s="1360">
        <f t="shared" si="262"/>
        <v>686</v>
      </c>
      <c r="B220" s="568" t="s">
        <v>563</v>
      </c>
      <c r="C220" s="532" t="s">
        <v>1071</v>
      </c>
      <c r="D220" s="2153">
        <v>4</v>
      </c>
      <c r="E220" s="560" t="s">
        <v>502</v>
      </c>
      <c r="F220" s="2153" t="s">
        <v>312</v>
      </c>
      <c r="G220" s="2180">
        <v>0.58720000000000006</v>
      </c>
      <c r="H220" s="164"/>
      <c r="I220" s="1359">
        <f t="shared" si="233"/>
        <v>0</v>
      </c>
      <c r="J220" s="562" t="str">
        <f t="shared" si="253"/>
        <v>0:0:00</v>
      </c>
      <c r="K220" s="563">
        <v>1000</v>
      </c>
      <c r="L220" s="2127">
        <f t="shared" si="254"/>
        <v>95.15</v>
      </c>
      <c r="M220" s="561">
        <f t="shared" si="255"/>
        <v>0</v>
      </c>
      <c r="N220" s="564">
        <v>1</v>
      </c>
      <c r="O220" s="561">
        <f t="shared" si="256"/>
        <v>0</v>
      </c>
      <c r="P220" s="561">
        <f t="shared" si="257"/>
        <v>0</v>
      </c>
      <c r="Q220" s="565">
        <f t="shared" si="258"/>
        <v>0</v>
      </c>
      <c r="R220" s="566">
        <f t="shared" si="259"/>
        <v>0</v>
      </c>
      <c r="S220" s="566">
        <f t="shared" si="260"/>
        <v>0</v>
      </c>
      <c r="T220" s="566">
        <f t="shared" si="265"/>
        <v>0</v>
      </c>
      <c r="U220" s="2028">
        <f t="shared" si="252"/>
        <v>0</v>
      </c>
      <c r="V220" s="1357"/>
      <c r="W220" s="1357"/>
      <c r="X220" s="1357"/>
      <c r="Y220" s="1357"/>
      <c r="AD220" s="2141">
        <f t="shared" si="238"/>
        <v>2.6</v>
      </c>
      <c r="AE220" s="2142" t="str">
        <f t="shared" si="266"/>
        <v/>
      </c>
      <c r="AG220" s="2118" t="s">
        <v>1816</v>
      </c>
    </row>
    <row r="221" spans="1:33" ht="25.5" hidden="1" outlineLevel="3" x14ac:dyDescent="0.2">
      <c r="A221" s="1360">
        <f t="shared" si="262"/>
        <v>687</v>
      </c>
      <c r="B221" s="568" t="s">
        <v>564</v>
      </c>
      <c r="C221" s="532" t="s">
        <v>1071</v>
      </c>
      <c r="D221" s="2153">
        <v>4</v>
      </c>
      <c r="E221" s="560" t="s">
        <v>502</v>
      </c>
      <c r="F221" s="2153" t="s">
        <v>312</v>
      </c>
      <c r="G221" s="2180">
        <v>0.73670000000000002</v>
      </c>
      <c r="H221" s="164"/>
      <c r="I221" s="1359">
        <f t="shared" si="233"/>
        <v>0</v>
      </c>
      <c r="J221" s="562" t="str">
        <f t="shared" si="253"/>
        <v>0:0:00</v>
      </c>
      <c r="K221" s="563">
        <v>1000</v>
      </c>
      <c r="L221" s="2127">
        <f t="shared" si="254"/>
        <v>95.15</v>
      </c>
      <c r="M221" s="561">
        <f t="shared" si="255"/>
        <v>0</v>
      </c>
      <c r="N221" s="564">
        <v>1</v>
      </c>
      <c r="O221" s="561">
        <f t="shared" si="256"/>
        <v>0</v>
      </c>
      <c r="P221" s="561">
        <f t="shared" si="257"/>
        <v>0</v>
      </c>
      <c r="Q221" s="565">
        <f t="shared" si="258"/>
        <v>0</v>
      </c>
      <c r="R221" s="566">
        <f t="shared" si="259"/>
        <v>0</v>
      </c>
      <c r="S221" s="566">
        <f t="shared" si="260"/>
        <v>0</v>
      </c>
      <c r="T221" s="566">
        <f t="shared" si="265"/>
        <v>0</v>
      </c>
      <c r="U221" s="2028">
        <f t="shared" si="252"/>
        <v>0</v>
      </c>
      <c r="V221" s="1357"/>
      <c r="W221" s="1357"/>
      <c r="X221" s="1357"/>
      <c r="Y221" s="1357"/>
      <c r="AD221" s="2141">
        <f t="shared" si="238"/>
        <v>2.6</v>
      </c>
      <c r="AE221" s="2142" t="str">
        <f t="shared" si="266"/>
        <v/>
      </c>
      <c r="AG221" s="2118" t="s">
        <v>1816</v>
      </c>
    </row>
    <row r="222" spans="1:33" ht="25.5" hidden="1" outlineLevel="3" x14ac:dyDescent="0.2">
      <c r="A222" s="1360">
        <f t="shared" si="262"/>
        <v>688</v>
      </c>
      <c r="B222" s="568" t="s">
        <v>565</v>
      </c>
      <c r="C222" s="532" t="s">
        <v>1071</v>
      </c>
      <c r="D222" s="2153">
        <v>4</v>
      </c>
      <c r="E222" s="560" t="s">
        <v>502</v>
      </c>
      <c r="F222" s="2153" t="s">
        <v>312</v>
      </c>
      <c r="G222" s="2180">
        <v>0.92300000000000004</v>
      </c>
      <c r="H222" s="164"/>
      <c r="I222" s="1359">
        <f t="shared" si="233"/>
        <v>0</v>
      </c>
      <c r="J222" s="562" t="str">
        <f t="shared" si="253"/>
        <v>0:0:00</v>
      </c>
      <c r="K222" s="563">
        <v>1000</v>
      </c>
      <c r="L222" s="2127">
        <f t="shared" si="254"/>
        <v>95.15</v>
      </c>
      <c r="M222" s="561">
        <f t="shared" si="255"/>
        <v>0</v>
      </c>
      <c r="N222" s="564">
        <v>1</v>
      </c>
      <c r="O222" s="561">
        <f t="shared" si="256"/>
        <v>0</v>
      </c>
      <c r="P222" s="561">
        <f t="shared" si="257"/>
        <v>0</v>
      </c>
      <c r="Q222" s="565">
        <f t="shared" si="258"/>
        <v>0</v>
      </c>
      <c r="R222" s="566">
        <f t="shared" si="259"/>
        <v>0</v>
      </c>
      <c r="S222" s="566">
        <f t="shared" si="260"/>
        <v>0</v>
      </c>
      <c r="T222" s="566">
        <f t="shared" si="265"/>
        <v>0</v>
      </c>
      <c r="U222" s="2028">
        <f t="shared" si="252"/>
        <v>0</v>
      </c>
      <c r="V222" s="1357"/>
      <c r="W222" s="1357"/>
      <c r="X222" s="1357"/>
      <c r="Y222" s="1357"/>
      <c r="AD222" s="2141">
        <f t="shared" si="238"/>
        <v>2.6</v>
      </c>
      <c r="AE222" s="2142" t="str">
        <f t="shared" si="266"/>
        <v/>
      </c>
      <c r="AG222" s="2118" t="s">
        <v>1816</v>
      </c>
    </row>
    <row r="223" spans="1:33" ht="28.5" hidden="1" outlineLevel="2" x14ac:dyDescent="0.2">
      <c r="A223" s="1360"/>
      <c r="B223" s="557" t="s">
        <v>1078</v>
      </c>
      <c r="C223" s="522"/>
      <c r="D223" s="2152"/>
      <c r="E223" s="523" t="s">
        <v>218</v>
      </c>
      <c r="F223" s="2164"/>
      <c r="G223" s="2181"/>
      <c r="H223" s="569">
        <f>SUM(H213:H222)</f>
        <v>0</v>
      </c>
      <c r="I223" s="2043">
        <f>SUM(I224)</f>
        <v>0</v>
      </c>
      <c r="J223" s="524"/>
      <c r="K223" s="524"/>
      <c r="L223" s="526"/>
      <c r="M223" s="524"/>
      <c r="N223" s="524"/>
      <c r="O223" s="524"/>
      <c r="P223" s="524"/>
      <c r="Q223" s="527"/>
      <c r="R223" s="524"/>
      <c r="S223" s="524"/>
      <c r="T223" s="524"/>
      <c r="U223" s="2028">
        <f t="shared" si="252"/>
        <v>0</v>
      </c>
      <c r="V223" s="1357"/>
      <c r="W223" s="1357"/>
      <c r="X223" s="1357"/>
      <c r="Y223" s="1357"/>
      <c r="AD223" s="2141" t="str">
        <f t="shared" si="238"/>
        <v/>
      </c>
      <c r="AE223" s="2142" t="str">
        <f t="shared" si="266"/>
        <v/>
      </c>
      <c r="AG223" s="2118" t="s">
        <v>1816</v>
      </c>
    </row>
    <row r="224" spans="1:33" ht="25.5" hidden="1" outlineLevel="3" x14ac:dyDescent="0.2">
      <c r="A224" s="1360">
        <f>A222+1</f>
        <v>689</v>
      </c>
      <c r="B224" s="570" t="s">
        <v>1774</v>
      </c>
      <c r="C224" s="532" t="s">
        <v>1077</v>
      </c>
      <c r="D224" s="2123">
        <v>2</v>
      </c>
      <c r="E224" s="560" t="s">
        <v>502</v>
      </c>
      <c r="F224" s="2153" t="s">
        <v>312</v>
      </c>
      <c r="G224" s="2180">
        <v>0.106</v>
      </c>
      <c r="H224" s="164">
        <f>H147+H166+H185+H204+H223</f>
        <v>0</v>
      </c>
      <c r="I224" s="1359">
        <f t="shared" si="233"/>
        <v>0</v>
      </c>
      <c r="J224" s="562" t="str">
        <f t="shared" ref="J224" si="267">CONCATENATE(TRUNC(I224,0),":",INT((I224-(TRUNC(I224,0)))*60),":","00")</f>
        <v>0:0:00</v>
      </c>
      <c r="K224" s="563">
        <v>1000</v>
      </c>
      <c r="L224" s="2127">
        <f>РезкаПодрезка</f>
        <v>95.15</v>
      </c>
      <c r="M224" s="561">
        <f>I224*L224</f>
        <v>0</v>
      </c>
      <c r="N224" s="564">
        <v>1</v>
      </c>
      <c r="O224" s="561">
        <f t="shared" ref="O224" si="268">M224*N224</f>
        <v>0</v>
      </c>
      <c r="P224" s="561">
        <f t="shared" ref="P224" si="269">(M224+O224)*0.15</f>
        <v>0</v>
      </c>
      <c r="Q224" s="565">
        <f t="shared" ref="Q224" si="270">M224+O224+P224</f>
        <v>0</v>
      </c>
      <c r="R224" s="566">
        <f t="shared" ref="R224" si="271">Q224*$R$1</f>
        <v>0</v>
      </c>
      <c r="S224" s="566">
        <f t="shared" ref="S224" si="272">(Q224+R224)*$S$1</f>
        <v>0</v>
      </c>
      <c r="T224" s="566">
        <f>Q224+R224+S224</f>
        <v>0</v>
      </c>
      <c r="U224" s="2028">
        <f t="shared" si="252"/>
        <v>0</v>
      </c>
      <c r="V224" s="1357"/>
      <c r="W224" s="1357"/>
      <c r="X224" s="1357"/>
      <c r="Y224" s="1357"/>
      <c r="AD224" s="2141">
        <f t="shared" si="238"/>
        <v>1.5</v>
      </c>
      <c r="AE224" s="2142" t="str">
        <f t="shared" si="266"/>
        <v/>
      </c>
      <c r="AG224" s="2118" t="s">
        <v>1816</v>
      </c>
    </row>
    <row r="225" spans="1:33" ht="14.25" hidden="1" outlineLevel="2" x14ac:dyDescent="0.2">
      <c r="A225" s="1360"/>
      <c r="B225" s="557" t="s">
        <v>1080</v>
      </c>
      <c r="C225" s="522"/>
      <c r="D225" s="2152"/>
      <c r="E225" s="523" t="s">
        <v>218</v>
      </c>
      <c r="F225" s="2164"/>
      <c r="G225" s="2181"/>
      <c r="H225" s="525"/>
      <c r="I225" s="2043">
        <f>SUM(I226:I238)</f>
        <v>0</v>
      </c>
      <c r="J225" s="524"/>
      <c r="K225" s="524"/>
      <c r="L225" s="526"/>
      <c r="M225" s="524"/>
      <c r="N225" s="524"/>
      <c r="O225" s="524"/>
      <c r="P225" s="524"/>
      <c r="Q225" s="527"/>
      <c r="R225" s="524"/>
      <c r="S225" s="524"/>
      <c r="T225" s="524"/>
      <c r="U225" s="2028">
        <f t="shared" si="252"/>
        <v>0</v>
      </c>
      <c r="V225" s="1357"/>
      <c r="W225" s="1357"/>
      <c r="X225" s="1357"/>
      <c r="Y225" s="1357"/>
      <c r="AD225" s="2141" t="str">
        <f t="shared" si="238"/>
        <v/>
      </c>
      <c r="AE225" s="2142" t="str">
        <f t="shared" si="266"/>
        <v/>
      </c>
      <c r="AG225" s="2118" t="s">
        <v>1816</v>
      </c>
    </row>
    <row r="226" spans="1:33" ht="25.5" hidden="1" outlineLevel="3" x14ac:dyDescent="0.2">
      <c r="A226" s="1360">
        <f>A224+1</f>
        <v>690</v>
      </c>
      <c r="B226" s="571" t="s">
        <v>566</v>
      </c>
      <c r="C226" s="532" t="s">
        <v>1079</v>
      </c>
      <c r="D226" s="2153">
        <v>4</v>
      </c>
      <c r="E226" s="560" t="s">
        <v>502</v>
      </c>
      <c r="F226" s="2153" t="s">
        <v>312</v>
      </c>
      <c r="G226" s="2180">
        <v>4.2999999999999997E-2</v>
      </c>
      <c r="H226" s="164"/>
      <c r="I226" s="1359">
        <f t="shared" si="233"/>
        <v>0</v>
      </c>
      <c r="J226" s="562" t="str">
        <f t="shared" ref="J226:J238" si="273">CONCATENATE(TRUNC(I226,0),":",INT((I226-(TRUNC(I226,0)))*60),":","00")</f>
        <v>0:0:00</v>
      </c>
      <c r="K226" s="563">
        <v>1000</v>
      </c>
      <c r="L226" s="2127">
        <f t="shared" ref="L226:L238" si="274">РезкаПодрезка</f>
        <v>95.15</v>
      </c>
      <c r="M226" s="561">
        <f t="shared" ref="M226:M238" si="275">I226*L226</f>
        <v>0</v>
      </c>
      <c r="N226" s="564">
        <v>1</v>
      </c>
      <c r="O226" s="561">
        <f t="shared" ref="O226:O238" si="276">M226*N226</f>
        <v>0</v>
      </c>
      <c r="P226" s="561">
        <f t="shared" ref="P226:P238" si="277">(M226+O226)*0.15</f>
        <v>0</v>
      </c>
      <c r="Q226" s="565">
        <f t="shared" ref="Q226:Q238" si="278">M226+O226+P226</f>
        <v>0</v>
      </c>
      <c r="R226" s="566">
        <f t="shared" ref="R226:R238" si="279">Q226*$R$1</f>
        <v>0</v>
      </c>
      <c r="S226" s="566">
        <f t="shared" ref="S226:S238" si="280">(Q226+R226)*$S$1</f>
        <v>0</v>
      </c>
      <c r="T226" s="566">
        <f>Q226+R226+S226</f>
        <v>0</v>
      </c>
      <c r="U226" s="2028">
        <f t="shared" si="252"/>
        <v>0</v>
      </c>
      <c r="V226" s="1357"/>
      <c r="W226" s="1357"/>
      <c r="X226" s="1357"/>
      <c r="Y226" s="1357"/>
      <c r="AD226" s="2141">
        <f t="shared" si="238"/>
        <v>2.6</v>
      </c>
      <c r="AE226" s="2142" t="str">
        <f t="shared" si="266"/>
        <v/>
      </c>
      <c r="AG226" s="2118" t="s">
        <v>1816</v>
      </c>
    </row>
    <row r="227" spans="1:33" ht="25.5" hidden="1" outlineLevel="3" x14ac:dyDescent="0.2">
      <c r="A227" s="1360">
        <f>A226+1</f>
        <v>691</v>
      </c>
      <c r="B227" s="572" t="s">
        <v>567</v>
      </c>
      <c r="C227" s="532" t="s">
        <v>1079</v>
      </c>
      <c r="D227" s="2153">
        <v>4</v>
      </c>
      <c r="E227" s="560" t="s">
        <v>502</v>
      </c>
      <c r="F227" s="2153" t="s">
        <v>312</v>
      </c>
      <c r="G227" s="2180">
        <v>6.7000000000000002E-3</v>
      </c>
      <c r="H227" s="164">
        <f>SUM(H229:H238)*3</f>
        <v>0</v>
      </c>
      <c r="I227" s="1359">
        <f t="shared" si="233"/>
        <v>0</v>
      </c>
      <c r="J227" s="562" t="str">
        <f t="shared" si="273"/>
        <v>0:0:00</v>
      </c>
      <c r="K227" s="563">
        <v>1000</v>
      </c>
      <c r="L227" s="2127">
        <f t="shared" si="274"/>
        <v>95.15</v>
      </c>
      <c r="M227" s="561">
        <f t="shared" si="275"/>
        <v>0</v>
      </c>
      <c r="N227" s="564">
        <v>1</v>
      </c>
      <c r="O227" s="561">
        <f t="shared" si="276"/>
        <v>0</v>
      </c>
      <c r="P227" s="561">
        <f t="shared" si="277"/>
        <v>0</v>
      </c>
      <c r="Q227" s="565">
        <f t="shared" si="278"/>
        <v>0</v>
      </c>
      <c r="R227" s="566">
        <f t="shared" si="279"/>
        <v>0</v>
      </c>
      <c r="S227" s="566">
        <f t="shared" si="280"/>
        <v>0</v>
      </c>
      <c r="T227" s="566">
        <f t="shared" ref="T227:T238" si="281">Q227+R227+S227</f>
        <v>0</v>
      </c>
      <c r="U227" s="2028">
        <f t="shared" si="252"/>
        <v>0</v>
      </c>
      <c r="V227" s="1357"/>
      <c r="W227" s="1357"/>
      <c r="X227" s="1357"/>
      <c r="Y227" s="1357"/>
      <c r="AD227" s="2141">
        <f t="shared" si="238"/>
        <v>2.6</v>
      </c>
      <c r="AE227" s="2142" t="str">
        <f t="shared" si="266"/>
        <v/>
      </c>
      <c r="AG227" s="2118" t="s">
        <v>1816</v>
      </c>
    </row>
    <row r="228" spans="1:33" ht="25.5" hidden="1" outlineLevel="3" x14ac:dyDescent="0.2">
      <c r="A228" s="1360">
        <f t="shared" ref="A228:A238" si="282">A227+1</f>
        <v>692</v>
      </c>
      <c r="B228" s="573" t="s">
        <v>503</v>
      </c>
      <c r="C228" s="532" t="s">
        <v>1079</v>
      </c>
      <c r="D228" s="2153">
        <v>4</v>
      </c>
      <c r="E228" s="560" t="s">
        <v>502</v>
      </c>
      <c r="F228" s="2153" t="s">
        <v>312</v>
      </c>
      <c r="G228" s="2180">
        <v>3.3300000000000003E-2</v>
      </c>
      <c r="H228" s="164"/>
      <c r="I228" s="1359">
        <f t="shared" si="233"/>
        <v>0</v>
      </c>
      <c r="J228" s="562" t="str">
        <f t="shared" si="273"/>
        <v>0:0:00</v>
      </c>
      <c r="K228" s="563">
        <v>1000</v>
      </c>
      <c r="L228" s="2127">
        <f t="shared" si="274"/>
        <v>95.15</v>
      </c>
      <c r="M228" s="561">
        <f t="shared" si="275"/>
        <v>0</v>
      </c>
      <c r="N228" s="564">
        <v>1</v>
      </c>
      <c r="O228" s="561">
        <f t="shared" si="276"/>
        <v>0</v>
      </c>
      <c r="P228" s="561">
        <f t="shared" si="277"/>
        <v>0</v>
      </c>
      <c r="Q228" s="565">
        <f t="shared" si="278"/>
        <v>0</v>
      </c>
      <c r="R228" s="566">
        <f t="shared" si="279"/>
        <v>0</v>
      </c>
      <c r="S228" s="566">
        <f t="shared" si="280"/>
        <v>0</v>
      </c>
      <c r="T228" s="566">
        <f t="shared" si="281"/>
        <v>0</v>
      </c>
      <c r="U228" s="2028">
        <f t="shared" si="252"/>
        <v>0</v>
      </c>
      <c r="V228" s="1357"/>
      <c r="W228" s="1357"/>
      <c r="X228" s="1357"/>
      <c r="Y228" s="1357"/>
      <c r="AD228" s="2141">
        <f t="shared" si="238"/>
        <v>2.6</v>
      </c>
      <c r="AE228" s="2142" t="str">
        <f t="shared" si="266"/>
        <v/>
      </c>
      <c r="AG228" s="2118" t="s">
        <v>1816</v>
      </c>
    </row>
    <row r="229" spans="1:33" ht="25.5" hidden="1" outlineLevel="3" x14ac:dyDescent="0.2">
      <c r="A229" s="1360">
        <f t="shared" si="282"/>
        <v>693</v>
      </c>
      <c r="B229" s="573" t="s">
        <v>504</v>
      </c>
      <c r="C229" s="532" t="s">
        <v>1079</v>
      </c>
      <c r="D229" s="2153">
        <v>4</v>
      </c>
      <c r="E229" s="560" t="s">
        <v>502</v>
      </c>
      <c r="F229" s="2153" t="s">
        <v>312</v>
      </c>
      <c r="G229" s="2180">
        <v>0.04</v>
      </c>
      <c r="H229" s="164"/>
      <c r="I229" s="1359">
        <f t="shared" si="233"/>
        <v>0</v>
      </c>
      <c r="J229" s="562" t="str">
        <f t="shared" si="273"/>
        <v>0:0:00</v>
      </c>
      <c r="K229" s="563">
        <v>1000</v>
      </c>
      <c r="L229" s="2127">
        <f t="shared" si="274"/>
        <v>95.15</v>
      </c>
      <c r="M229" s="561">
        <f t="shared" si="275"/>
        <v>0</v>
      </c>
      <c r="N229" s="564">
        <v>1</v>
      </c>
      <c r="O229" s="561">
        <f t="shared" si="276"/>
        <v>0</v>
      </c>
      <c r="P229" s="561">
        <f t="shared" si="277"/>
        <v>0</v>
      </c>
      <c r="Q229" s="565">
        <f t="shared" si="278"/>
        <v>0</v>
      </c>
      <c r="R229" s="566">
        <f t="shared" si="279"/>
        <v>0</v>
      </c>
      <c r="S229" s="566">
        <f t="shared" si="280"/>
        <v>0</v>
      </c>
      <c r="T229" s="566">
        <f t="shared" si="281"/>
        <v>0</v>
      </c>
      <c r="U229" s="2028">
        <f t="shared" si="252"/>
        <v>0</v>
      </c>
      <c r="V229" s="1357"/>
      <c r="W229" s="1357"/>
      <c r="X229" s="1357"/>
      <c r="Y229" s="1357"/>
      <c r="AD229" s="2141">
        <f t="shared" si="238"/>
        <v>2.6</v>
      </c>
      <c r="AE229" s="2142" t="str">
        <f t="shared" si="266"/>
        <v/>
      </c>
      <c r="AG229" s="2118" t="s">
        <v>1816</v>
      </c>
    </row>
    <row r="230" spans="1:33" ht="25.5" hidden="1" outlineLevel="3" x14ac:dyDescent="0.2">
      <c r="A230" s="1360">
        <f t="shared" si="282"/>
        <v>694</v>
      </c>
      <c r="B230" s="573" t="s">
        <v>505</v>
      </c>
      <c r="C230" s="532" t="s">
        <v>1079</v>
      </c>
      <c r="D230" s="2153">
        <v>4</v>
      </c>
      <c r="E230" s="560" t="s">
        <v>502</v>
      </c>
      <c r="F230" s="2153" t="s">
        <v>312</v>
      </c>
      <c r="G230" s="2180">
        <v>5.5E-2</v>
      </c>
      <c r="H230" s="164"/>
      <c r="I230" s="1359">
        <f t="shared" si="233"/>
        <v>0</v>
      </c>
      <c r="J230" s="562" t="str">
        <f t="shared" si="273"/>
        <v>0:0:00</v>
      </c>
      <c r="K230" s="563">
        <v>1000</v>
      </c>
      <c r="L230" s="2127">
        <f t="shared" si="274"/>
        <v>95.15</v>
      </c>
      <c r="M230" s="561">
        <f t="shared" si="275"/>
        <v>0</v>
      </c>
      <c r="N230" s="564">
        <v>1</v>
      </c>
      <c r="O230" s="561">
        <f t="shared" si="276"/>
        <v>0</v>
      </c>
      <c r="P230" s="561">
        <f t="shared" si="277"/>
        <v>0</v>
      </c>
      <c r="Q230" s="565">
        <f t="shared" si="278"/>
        <v>0</v>
      </c>
      <c r="R230" s="566">
        <f t="shared" si="279"/>
        <v>0</v>
      </c>
      <c r="S230" s="566">
        <f t="shared" si="280"/>
        <v>0</v>
      </c>
      <c r="T230" s="566">
        <f t="shared" si="281"/>
        <v>0</v>
      </c>
      <c r="U230" s="2028">
        <f t="shared" si="252"/>
        <v>0</v>
      </c>
      <c r="V230" s="1357"/>
      <c r="W230" s="1357"/>
      <c r="X230" s="1357"/>
      <c r="Y230" s="1357"/>
      <c r="AD230" s="2141">
        <f t="shared" si="238"/>
        <v>2.6</v>
      </c>
      <c r="AE230" s="2142" t="str">
        <f t="shared" si="266"/>
        <v/>
      </c>
      <c r="AG230" s="2118" t="s">
        <v>1816</v>
      </c>
    </row>
    <row r="231" spans="1:33" ht="25.5" hidden="1" outlineLevel="3" x14ac:dyDescent="0.2">
      <c r="A231" s="1360">
        <f t="shared" si="282"/>
        <v>695</v>
      </c>
      <c r="B231" s="573" t="s">
        <v>506</v>
      </c>
      <c r="C231" s="532" t="s">
        <v>1079</v>
      </c>
      <c r="D231" s="2153">
        <v>4</v>
      </c>
      <c r="E231" s="560" t="s">
        <v>502</v>
      </c>
      <c r="F231" s="2153" t="s">
        <v>312</v>
      </c>
      <c r="G231" s="2180">
        <v>6.6699999999999995E-2</v>
      </c>
      <c r="H231" s="164"/>
      <c r="I231" s="1359">
        <f t="shared" si="233"/>
        <v>0</v>
      </c>
      <c r="J231" s="562" t="str">
        <f t="shared" si="273"/>
        <v>0:0:00</v>
      </c>
      <c r="K231" s="563">
        <v>1000</v>
      </c>
      <c r="L231" s="2127">
        <f t="shared" si="274"/>
        <v>95.15</v>
      </c>
      <c r="M231" s="561">
        <f t="shared" si="275"/>
        <v>0</v>
      </c>
      <c r="N231" s="564">
        <v>1</v>
      </c>
      <c r="O231" s="561">
        <f t="shared" si="276"/>
        <v>0</v>
      </c>
      <c r="P231" s="561">
        <f t="shared" si="277"/>
        <v>0</v>
      </c>
      <c r="Q231" s="565">
        <f t="shared" si="278"/>
        <v>0</v>
      </c>
      <c r="R231" s="566">
        <f t="shared" si="279"/>
        <v>0</v>
      </c>
      <c r="S231" s="566">
        <f t="shared" si="280"/>
        <v>0</v>
      </c>
      <c r="T231" s="566">
        <f t="shared" si="281"/>
        <v>0</v>
      </c>
      <c r="U231" s="2028">
        <f t="shared" si="252"/>
        <v>0</v>
      </c>
      <c r="V231" s="1357"/>
      <c r="W231" s="1357"/>
      <c r="X231" s="1357"/>
      <c r="Y231" s="1357"/>
      <c r="AD231" s="2141">
        <f t="shared" si="238"/>
        <v>2.6</v>
      </c>
      <c r="AE231" s="2142" t="str">
        <f t="shared" si="266"/>
        <v/>
      </c>
      <c r="AG231" s="2118" t="s">
        <v>1816</v>
      </c>
    </row>
    <row r="232" spans="1:33" ht="25.5" hidden="1" outlineLevel="3" x14ac:dyDescent="0.2">
      <c r="A232" s="1360">
        <f t="shared" si="282"/>
        <v>696</v>
      </c>
      <c r="B232" s="573" t="s">
        <v>507</v>
      </c>
      <c r="C232" s="532" t="s">
        <v>1079</v>
      </c>
      <c r="D232" s="2153">
        <v>4</v>
      </c>
      <c r="E232" s="560" t="s">
        <v>502</v>
      </c>
      <c r="F232" s="2153" t="s">
        <v>312</v>
      </c>
      <c r="G232" s="2180">
        <v>7.6700000000000004E-2</v>
      </c>
      <c r="H232" s="164"/>
      <c r="I232" s="1359">
        <f t="shared" ref="I232:I299" si="283">IF(H232&gt;0,IF((G232*H232/K232)&lt;0.084,0.084,(G232*H232/K232)),0)</f>
        <v>0</v>
      </c>
      <c r="J232" s="562" t="str">
        <f t="shared" si="273"/>
        <v>0:0:00</v>
      </c>
      <c r="K232" s="563">
        <v>1000</v>
      </c>
      <c r="L232" s="2127">
        <f t="shared" si="274"/>
        <v>95.15</v>
      </c>
      <c r="M232" s="561">
        <f t="shared" si="275"/>
        <v>0</v>
      </c>
      <c r="N232" s="564">
        <v>1</v>
      </c>
      <c r="O232" s="561">
        <f t="shared" si="276"/>
        <v>0</v>
      </c>
      <c r="P232" s="561">
        <f t="shared" si="277"/>
        <v>0</v>
      </c>
      <c r="Q232" s="565">
        <f t="shared" si="278"/>
        <v>0</v>
      </c>
      <c r="R232" s="566">
        <f t="shared" si="279"/>
        <v>0</v>
      </c>
      <c r="S232" s="566">
        <f t="shared" si="280"/>
        <v>0</v>
      </c>
      <c r="T232" s="566">
        <f t="shared" si="281"/>
        <v>0</v>
      </c>
      <c r="U232" s="2028">
        <f t="shared" si="252"/>
        <v>0</v>
      </c>
      <c r="V232" s="1357"/>
      <c r="W232" s="1357"/>
      <c r="X232" s="1357"/>
      <c r="Y232" s="1357"/>
      <c r="AD232" s="2141">
        <f t="shared" si="238"/>
        <v>2.6</v>
      </c>
      <c r="AE232" s="2142" t="str">
        <f t="shared" si="266"/>
        <v/>
      </c>
      <c r="AG232" s="2118" t="s">
        <v>1816</v>
      </c>
    </row>
    <row r="233" spans="1:33" ht="25.5" hidden="1" outlineLevel="3" x14ac:dyDescent="0.2">
      <c r="A233" s="1360">
        <f t="shared" si="282"/>
        <v>697</v>
      </c>
      <c r="B233" s="573" t="s">
        <v>508</v>
      </c>
      <c r="C233" s="532" t="s">
        <v>1079</v>
      </c>
      <c r="D233" s="2153">
        <v>4</v>
      </c>
      <c r="E233" s="560" t="s">
        <v>502</v>
      </c>
      <c r="F233" s="2153" t="s">
        <v>312</v>
      </c>
      <c r="G233" s="2180">
        <v>8.8300000000000003E-2</v>
      </c>
      <c r="H233" s="164"/>
      <c r="I233" s="1359">
        <f t="shared" si="283"/>
        <v>0</v>
      </c>
      <c r="J233" s="562" t="str">
        <f t="shared" si="273"/>
        <v>0:0:00</v>
      </c>
      <c r="K233" s="563">
        <v>1000</v>
      </c>
      <c r="L233" s="2127">
        <f t="shared" si="274"/>
        <v>95.15</v>
      </c>
      <c r="M233" s="561">
        <f t="shared" si="275"/>
        <v>0</v>
      </c>
      <c r="N233" s="564">
        <v>1</v>
      </c>
      <c r="O233" s="561">
        <f t="shared" si="276"/>
        <v>0</v>
      </c>
      <c r="P233" s="561">
        <f t="shared" si="277"/>
        <v>0</v>
      </c>
      <c r="Q233" s="565">
        <f t="shared" si="278"/>
        <v>0</v>
      </c>
      <c r="R233" s="566">
        <f t="shared" si="279"/>
        <v>0</v>
      </c>
      <c r="S233" s="566">
        <f t="shared" si="280"/>
        <v>0</v>
      </c>
      <c r="T233" s="566">
        <f t="shared" si="281"/>
        <v>0</v>
      </c>
      <c r="U233" s="2028">
        <f t="shared" si="252"/>
        <v>0</v>
      </c>
      <c r="V233" s="1357"/>
      <c r="W233" s="1357"/>
      <c r="X233" s="1357"/>
      <c r="Y233" s="1357"/>
      <c r="AD233" s="2141">
        <f t="shared" si="238"/>
        <v>2.6</v>
      </c>
      <c r="AE233" s="2142" t="str">
        <f t="shared" si="266"/>
        <v/>
      </c>
      <c r="AG233" s="2118" t="s">
        <v>1816</v>
      </c>
    </row>
    <row r="234" spans="1:33" ht="25.5" hidden="1" outlineLevel="3" x14ac:dyDescent="0.2">
      <c r="A234" s="1360">
        <f t="shared" si="282"/>
        <v>698</v>
      </c>
      <c r="B234" s="573" t="s">
        <v>509</v>
      </c>
      <c r="C234" s="532" t="s">
        <v>1079</v>
      </c>
      <c r="D234" s="2153">
        <v>4</v>
      </c>
      <c r="E234" s="560" t="s">
        <v>502</v>
      </c>
      <c r="F234" s="2153" t="s">
        <v>312</v>
      </c>
      <c r="G234" s="2180">
        <v>0.1167</v>
      </c>
      <c r="H234" s="164"/>
      <c r="I234" s="1359">
        <f t="shared" si="283"/>
        <v>0</v>
      </c>
      <c r="J234" s="562" t="str">
        <f t="shared" si="273"/>
        <v>0:0:00</v>
      </c>
      <c r="K234" s="563">
        <v>1000</v>
      </c>
      <c r="L234" s="2127">
        <f t="shared" si="274"/>
        <v>95.15</v>
      </c>
      <c r="M234" s="561">
        <f t="shared" si="275"/>
        <v>0</v>
      </c>
      <c r="N234" s="564">
        <v>1</v>
      </c>
      <c r="O234" s="561">
        <f t="shared" si="276"/>
        <v>0</v>
      </c>
      <c r="P234" s="561">
        <f t="shared" si="277"/>
        <v>0</v>
      </c>
      <c r="Q234" s="565">
        <f t="shared" si="278"/>
        <v>0</v>
      </c>
      <c r="R234" s="566">
        <f t="shared" si="279"/>
        <v>0</v>
      </c>
      <c r="S234" s="566">
        <f t="shared" si="280"/>
        <v>0</v>
      </c>
      <c r="T234" s="566">
        <f t="shared" si="281"/>
        <v>0</v>
      </c>
      <c r="U234" s="2028">
        <f t="shared" si="252"/>
        <v>0</v>
      </c>
      <c r="V234" s="1357"/>
      <c r="W234" s="1357"/>
      <c r="X234" s="1357"/>
      <c r="Y234" s="1357"/>
      <c r="AD234" s="2141">
        <f t="shared" si="238"/>
        <v>2.6</v>
      </c>
      <c r="AE234" s="2142" t="str">
        <f t="shared" si="266"/>
        <v/>
      </c>
      <c r="AG234" s="2118" t="s">
        <v>1816</v>
      </c>
    </row>
    <row r="235" spans="1:33" ht="25.5" hidden="1" outlineLevel="3" x14ac:dyDescent="0.2">
      <c r="A235" s="1360">
        <f t="shared" si="282"/>
        <v>699</v>
      </c>
      <c r="B235" s="573" t="s">
        <v>510</v>
      </c>
      <c r="C235" s="532" t="s">
        <v>1079</v>
      </c>
      <c r="D235" s="2153">
        <v>4</v>
      </c>
      <c r="E235" s="560" t="s">
        <v>502</v>
      </c>
      <c r="F235" s="2153" t="s">
        <v>312</v>
      </c>
      <c r="G235" s="2180">
        <v>0.13500000000000001</v>
      </c>
      <c r="H235" s="164"/>
      <c r="I235" s="1359">
        <f t="shared" si="283"/>
        <v>0</v>
      </c>
      <c r="J235" s="562" t="str">
        <f t="shared" si="273"/>
        <v>0:0:00</v>
      </c>
      <c r="K235" s="563">
        <v>1000</v>
      </c>
      <c r="L235" s="2127">
        <f t="shared" si="274"/>
        <v>95.15</v>
      </c>
      <c r="M235" s="561">
        <f t="shared" si="275"/>
        <v>0</v>
      </c>
      <c r="N235" s="564">
        <v>1</v>
      </c>
      <c r="O235" s="561">
        <f t="shared" si="276"/>
        <v>0</v>
      </c>
      <c r="P235" s="561">
        <f t="shared" si="277"/>
        <v>0</v>
      </c>
      <c r="Q235" s="565">
        <f t="shared" si="278"/>
        <v>0</v>
      </c>
      <c r="R235" s="566">
        <f t="shared" si="279"/>
        <v>0</v>
      </c>
      <c r="S235" s="566">
        <f t="shared" si="280"/>
        <v>0</v>
      </c>
      <c r="T235" s="566">
        <f t="shared" si="281"/>
        <v>0</v>
      </c>
      <c r="U235" s="2028">
        <f t="shared" si="252"/>
        <v>0</v>
      </c>
      <c r="V235" s="1357"/>
      <c r="W235" s="1357"/>
      <c r="X235" s="1357"/>
      <c r="Y235" s="1357"/>
      <c r="AD235" s="2141">
        <f t="shared" si="238"/>
        <v>2.6</v>
      </c>
      <c r="AE235" s="2142" t="str">
        <f t="shared" si="266"/>
        <v/>
      </c>
      <c r="AG235" s="2118" t="s">
        <v>1816</v>
      </c>
    </row>
    <row r="236" spans="1:33" ht="25.5" hidden="1" outlineLevel="3" x14ac:dyDescent="0.2">
      <c r="A236" s="1360">
        <f t="shared" si="282"/>
        <v>700</v>
      </c>
      <c r="B236" s="573" t="s">
        <v>511</v>
      </c>
      <c r="C236" s="532" t="s">
        <v>1079</v>
      </c>
      <c r="D236" s="2153">
        <v>4</v>
      </c>
      <c r="E236" s="560" t="s">
        <v>502</v>
      </c>
      <c r="F236" s="2153" t="s">
        <v>312</v>
      </c>
      <c r="G236" s="2180">
        <v>0.1633</v>
      </c>
      <c r="H236" s="164"/>
      <c r="I236" s="1359">
        <f t="shared" si="283"/>
        <v>0</v>
      </c>
      <c r="J236" s="562" t="str">
        <f t="shared" si="273"/>
        <v>0:0:00</v>
      </c>
      <c r="K236" s="563">
        <v>1000</v>
      </c>
      <c r="L236" s="2127">
        <f t="shared" si="274"/>
        <v>95.15</v>
      </c>
      <c r="M236" s="561">
        <f t="shared" si="275"/>
        <v>0</v>
      </c>
      <c r="N236" s="564">
        <v>1</v>
      </c>
      <c r="O236" s="561">
        <f t="shared" si="276"/>
        <v>0</v>
      </c>
      <c r="P236" s="561">
        <f t="shared" si="277"/>
        <v>0</v>
      </c>
      <c r="Q236" s="565">
        <f t="shared" si="278"/>
        <v>0</v>
      </c>
      <c r="R236" s="566">
        <f t="shared" si="279"/>
        <v>0</v>
      </c>
      <c r="S236" s="566">
        <f t="shared" si="280"/>
        <v>0</v>
      </c>
      <c r="T236" s="566">
        <f t="shared" si="281"/>
        <v>0</v>
      </c>
      <c r="U236" s="2028">
        <f t="shared" si="252"/>
        <v>0</v>
      </c>
      <c r="V236" s="1357"/>
      <c r="W236" s="1357"/>
      <c r="X236" s="1357"/>
      <c r="Y236" s="1357"/>
      <c r="AD236" s="2141">
        <f t="shared" si="238"/>
        <v>2.6</v>
      </c>
      <c r="AE236" s="2142" t="str">
        <f t="shared" si="266"/>
        <v/>
      </c>
      <c r="AG236" s="2118" t="s">
        <v>1816</v>
      </c>
    </row>
    <row r="237" spans="1:33" ht="25.5" hidden="1" outlineLevel="3" x14ac:dyDescent="0.2">
      <c r="A237" s="1360">
        <f t="shared" si="282"/>
        <v>701</v>
      </c>
      <c r="B237" s="573" t="s">
        <v>512</v>
      </c>
      <c r="C237" s="532" t="s">
        <v>1079</v>
      </c>
      <c r="D237" s="2153">
        <v>4</v>
      </c>
      <c r="E237" s="560" t="s">
        <v>502</v>
      </c>
      <c r="F237" s="2153" t="s">
        <v>312</v>
      </c>
      <c r="G237" s="2180">
        <v>0.20330000000000001</v>
      </c>
      <c r="H237" s="164"/>
      <c r="I237" s="1359">
        <f t="shared" si="283"/>
        <v>0</v>
      </c>
      <c r="J237" s="562" t="str">
        <f t="shared" si="273"/>
        <v>0:0:00</v>
      </c>
      <c r="K237" s="563">
        <v>1000</v>
      </c>
      <c r="L237" s="2127">
        <f t="shared" si="274"/>
        <v>95.15</v>
      </c>
      <c r="M237" s="561">
        <f t="shared" si="275"/>
        <v>0</v>
      </c>
      <c r="N237" s="564">
        <v>1</v>
      </c>
      <c r="O237" s="561">
        <f t="shared" si="276"/>
        <v>0</v>
      </c>
      <c r="P237" s="561">
        <f t="shared" si="277"/>
        <v>0</v>
      </c>
      <c r="Q237" s="565">
        <f t="shared" si="278"/>
        <v>0</v>
      </c>
      <c r="R237" s="566">
        <f t="shared" si="279"/>
        <v>0</v>
      </c>
      <c r="S237" s="566">
        <f t="shared" si="280"/>
        <v>0</v>
      </c>
      <c r="T237" s="566">
        <f t="shared" si="281"/>
        <v>0</v>
      </c>
      <c r="U237" s="2028">
        <f t="shared" si="252"/>
        <v>0</v>
      </c>
      <c r="V237" s="1357"/>
      <c r="W237" s="1357"/>
      <c r="X237" s="1357"/>
      <c r="Y237" s="1357"/>
      <c r="AD237" s="2141">
        <f t="shared" si="238"/>
        <v>2.6</v>
      </c>
      <c r="AE237" s="2142" t="str">
        <f t="shared" si="266"/>
        <v/>
      </c>
      <c r="AG237" s="2118" t="s">
        <v>1816</v>
      </c>
    </row>
    <row r="238" spans="1:33" ht="25.5" hidden="1" outlineLevel="3" x14ac:dyDescent="0.2">
      <c r="A238" s="1360">
        <f t="shared" si="282"/>
        <v>702</v>
      </c>
      <c r="B238" s="573" t="s">
        <v>513</v>
      </c>
      <c r="C238" s="532" t="s">
        <v>1079</v>
      </c>
      <c r="D238" s="2153">
        <v>4</v>
      </c>
      <c r="E238" s="560" t="s">
        <v>502</v>
      </c>
      <c r="F238" s="2153" t="s">
        <v>312</v>
      </c>
      <c r="G238" s="2180">
        <v>0.25169999999999998</v>
      </c>
      <c r="H238" s="164"/>
      <c r="I238" s="1359">
        <f t="shared" si="283"/>
        <v>0</v>
      </c>
      <c r="J238" s="562" t="str">
        <f t="shared" si="273"/>
        <v>0:0:00</v>
      </c>
      <c r="K238" s="563">
        <v>1000</v>
      </c>
      <c r="L238" s="2127">
        <f t="shared" si="274"/>
        <v>95.15</v>
      </c>
      <c r="M238" s="561">
        <f t="shared" si="275"/>
        <v>0</v>
      </c>
      <c r="N238" s="564">
        <v>1</v>
      </c>
      <c r="O238" s="561">
        <f t="shared" si="276"/>
        <v>0</v>
      </c>
      <c r="P238" s="561">
        <f t="shared" si="277"/>
        <v>0</v>
      </c>
      <c r="Q238" s="565">
        <f t="shared" si="278"/>
        <v>0</v>
      </c>
      <c r="R238" s="566">
        <f t="shared" si="279"/>
        <v>0</v>
      </c>
      <c r="S238" s="566">
        <f t="shared" si="280"/>
        <v>0</v>
      </c>
      <c r="T238" s="566">
        <f t="shared" si="281"/>
        <v>0</v>
      </c>
      <c r="U238" s="2028">
        <f t="shared" si="252"/>
        <v>0</v>
      </c>
      <c r="V238" s="1357"/>
      <c r="W238" s="1357"/>
      <c r="X238" s="1357"/>
      <c r="Y238" s="1357"/>
      <c r="AD238" s="2141">
        <f t="shared" si="238"/>
        <v>2.6</v>
      </c>
      <c r="AE238" s="2142" t="str">
        <f t="shared" si="266"/>
        <v/>
      </c>
      <c r="AG238" s="2118" t="s">
        <v>1816</v>
      </c>
    </row>
    <row r="239" spans="1:33" ht="14.25" hidden="1" outlineLevel="2" x14ac:dyDescent="0.2">
      <c r="A239" s="1360"/>
      <c r="B239" s="557" t="s">
        <v>1081</v>
      </c>
      <c r="C239" s="522"/>
      <c r="D239" s="2152"/>
      <c r="E239" s="523" t="s">
        <v>218</v>
      </c>
      <c r="F239" s="2164"/>
      <c r="G239" s="2181"/>
      <c r="H239" s="569">
        <f>SUM(H229:H238)</f>
        <v>0</v>
      </c>
      <c r="I239" s="2043">
        <f>SUM(I240:I252)</f>
        <v>0</v>
      </c>
      <c r="J239" s="524"/>
      <c r="K239" s="524"/>
      <c r="L239" s="526"/>
      <c r="M239" s="524"/>
      <c r="N239" s="524"/>
      <c r="O239" s="524"/>
      <c r="P239" s="524"/>
      <c r="Q239" s="527"/>
      <c r="R239" s="524"/>
      <c r="S239" s="524"/>
      <c r="T239" s="524"/>
      <c r="U239" s="2028">
        <f t="shared" si="252"/>
        <v>0</v>
      </c>
      <c r="V239" s="1357"/>
      <c r="W239" s="1357"/>
      <c r="X239" s="1357"/>
      <c r="Y239" s="1357"/>
      <c r="AD239" s="2141" t="str">
        <f t="shared" si="238"/>
        <v/>
      </c>
      <c r="AE239" s="2142" t="str">
        <f t="shared" si="266"/>
        <v/>
      </c>
      <c r="AG239" s="2118" t="s">
        <v>1816</v>
      </c>
    </row>
    <row r="240" spans="1:33" ht="25.5" hidden="1" outlineLevel="3" x14ac:dyDescent="0.2">
      <c r="A240" s="1360">
        <f>A238+1</f>
        <v>703</v>
      </c>
      <c r="B240" s="571" t="s">
        <v>568</v>
      </c>
      <c r="C240" s="532" t="s">
        <v>1079</v>
      </c>
      <c r="D240" s="2153">
        <v>4</v>
      </c>
      <c r="E240" s="560" t="s">
        <v>502</v>
      </c>
      <c r="F240" s="2153" t="s">
        <v>312</v>
      </c>
      <c r="G240" s="2180">
        <v>5.33E-2</v>
      </c>
      <c r="H240" s="164"/>
      <c r="I240" s="1359">
        <f t="shared" si="283"/>
        <v>0</v>
      </c>
      <c r="J240" s="562" t="str">
        <f t="shared" ref="J240:J252" si="284">CONCATENATE(TRUNC(I240,0),":",INT((I240-(TRUNC(I240,0)))*60),":","00")</f>
        <v>0:0:00</v>
      </c>
      <c r="K240" s="563">
        <v>1000</v>
      </c>
      <c r="L240" s="2127">
        <f t="shared" ref="L240:L252" si="285">РезкаПодрезка</f>
        <v>95.15</v>
      </c>
      <c r="M240" s="561">
        <f t="shared" ref="M240:M252" si="286">I240*L240</f>
        <v>0</v>
      </c>
      <c r="N240" s="564">
        <v>1</v>
      </c>
      <c r="O240" s="561">
        <f t="shared" ref="O240:O252" si="287">M240*N240</f>
        <v>0</v>
      </c>
      <c r="P240" s="561">
        <f t="shared" ref="P240:P252" si="288">(M240+O240)*0.15</f>
        <v>0</v>
      </c>
      <c r="Q240" s="565">
        <f t="shared" ref="Q240:Q252" si="289">M240+O240+P240</f>
        <v>0</v>
      </c>
      <c r="R240" s="566">
        <f t="shared" ref="R240:R252" si="290">Q240*$R$1</f>
        <v>0</v>
      </c>
      <c r="S240" s="566">
        <f t="shared" ref="S240:S252" si="291">(Q240+R240)*$S$1</f>
        <v>0</v>
      </c>
      <c r="T240" s="566">
        <f>Q240+R240+S240</f>
        <v>0</v>
      </c>
      <c r="U240" s="2028">
        <f t="shared" si="252"/>
        <v>0</v>
      </c>
      <c r="V240" s="1357"/>
      <c r="W240" s="1357"/>
      <c r="X240" s="1357"/>
      <c r="Y240" s="1357"/>
      <c r="AD240" s="2141">
        <f t="shared" si="238"/>
        <v>2.6</v>
      </c>
      <c r="AE240" s="2142" t="str">
        <f t="shared" si="266"/>
        <v/>
      </c>
      <c r="AG240" s="2118" t="s">
        <v>1816</v>
      </c>
    </row>
    <row r="241" spans="1:33" ht="25.5" hidden="1" outlineLevel="3" x14ac:dyDescent="0.2">
      <c r="A241" s="1360">
        <f>A240+1</f>
        <v>704</v>
      </c>
      <c r="B241" s="572" t="s">
        <v>515</v>
      </c>
      <c r="C241" s="532" t="s">
        <v>1079</v>
      </c>
      <c r="D241" s="2153">
        <v>4</v>
      </c>
      <c r="E241" s="560" t="s">
        <v>502</v>
      </c>
      <c r="F241" s="2153" t="s">
        <v>312</v>
      </c>
      <c r="G241" s="2180">
        <v>8.3000000000000001E-3</v>
      </c>
      <c r="H241" s="164">
        <f>SUM(H243:H252)*3</f>
        <v>0</v>
      </c>
      <c r="I241" s="1359">
        <f t="shared" si="283"/>
        <v>0</v>
      </c>
      <c r="J241" s="562" t="str">
        <f t="shared" si="284"/>
        <v>0:0:00</v>
      </c>
      <c r="K241" s="563">
        <v>1000</v>
      </c>
      <c r="L241" s="2127">
        <f t="shared" si="285"/>
        <v>95.15</v>
      </c>
      <c r="M241" s="561">
        <f t="shared" si="286"/>
        <v>0</v>
      </c>
      <c r="N241" s="564">
        <v>1</v>
      </c>
      <c r="O241" s="561">
        <f t="shared" si="287"/>
        <v>0</v>
      </c>
      <c r="P241" s="561">
        <f t="shared" si="288"/>
        <v>0</v>
      </c>
      <c r="Q241" s="565">
        <f t="shared" si="289"/>
        <v>0</v>
      </c>
      <c r="R241" s="566">
        <f t="shared" si="290"/>
        <v>0</v>
      </c>
      <c r="S241" s="566">
        <f t="shared" si="291"/>
        <v>0</v>
      </c>
      <c r="T241" s="566">
        <f t="shared" ref="T241:T252" si="292">Q241+R241+S241</f>
        <v>0</v>
      </c>
      <c r="U241" s="2028">
        <f t="shared" si="252"/>
        <v>0</v>
      </c>
      <c r="V241" s="1357"/>
      <c r="W241" s="1357"/>
      <c r="X241" s="1357"/>
      <c r="Y241" s="1357"/>
      <c r="AD241" s="2141">
        <f t="shared" ref="AD241:AD304" si="293">IF(D241&gt;0,LOOKUP(D241,$Z$30:$Z$33,$AA$30:$AA$33),"")</f>
        <v>2.6</v>
      </c>
      <c r="AE241" s="2142" t="str">
        <f t="shared" si="266"/>
        <v/>
      </c>
      <c r="AG241" s="2118" t="s">
        <v>1816</v>
      </c>
    </row>
    <row r="242" spans="1:33" ht="25.5" hidden="1" outlineLevel="3" x14ac:dyDescent="0.2">
      <c r="A242" s="1360">
        <f t="shared" ref="A242:A252" si="294">A241+1</f>
        <v>705</v>
      </c>
      <c r="B242" s="573" t="s">
        <v>569</v>
      </c>
      <c r="C242" s="532" t="s">
        <v>1079</v>
      </c>
      <c r="D242" s="2153">
        <v>4</v>
      </c>
      <c r="E242" s="560" t="s">
        <v>502</v>
      </c>
      <c r="F242" s="2153" t="s">
        <v>312</v>
      </c>
      <c r="G242" s="2180">
        <v>3.8300000000000001E-2</v>
      </c>
      <c r="H242" s="164"/>
      <c r="I242" s="1359">
        <f t="shared" si="283"/>
        <v>0</v>
      </c>
      <c r="J242" s="562" t="str">
        <f t="shared" si="284"/>
        <v>0:0:00</v>
      </c>
      <c r="K242" s="563">
        <v>1000</v>
      </c>
      <c r="L242" s="2127">
        <f t="shared" si="285"/>
        <v>95.15</v>
      </c>
      <c r="M242" s="561">
        <f t="shared" si="286"/>
        <v>0</v>
      </c>
      <c r="N242" s="564">
        <v>1</v>
      </c>
      <c r="O242" s="561">
        <f t="shared" si="287"/>
        <v>0</v>
      </c>
      <c r="P242" s="561">
        <f t="shared" si="288"/>
        <v>0</v>
      </c>
      <c r="Q242" s="565">
        <f t="shared" si="289"/>
        <v>0</v>
      </c>
      <c r="R242" s="566">
        <f t="shared" si="290"/>
        <v>0</v>
      </c>
      <c r="S242" s="566">
        <f t="shared" si="291"/>
        <v>0</v>
      </c>
      <c r="T242" s="566">
        <f t="shared" si="292"/>
        <v>0</v>
      </c>
      <c r="U242" s="2028">
        <f t="shared" si="252"/>
        <v>0</v>
      </c>
      <c r="V242" s="1357"/>
      <c r="W242" s="1357"/>
      <c r="X242" s="1357"/>
      <c r="Y242" s="1357"/>
      <c r="AD242" s="2141">
        <f t="shared" si="293"/>
        <v>2.6</v>
      </c>
      <c r="AE242" s="2142" t="str">
        <f t="shared" si="266"/>
        <v/>
      </c>
      <c r="AG242" s="2118" t="s">
        <v>1816</v>
      </c>
    </row>
    <row r="243" spans="1:33" ht="25.5" hidden="1" outlineLevel="3" x14ac:dyDescent="0.2">
      <c r="A243" s="1360">
        <f t="shared" si="294"/>
        <v>706</v>
      </c>
      <c r="B243" s="573" t="s">
        <v>517</v>
      </c>
      <c r="C243" s="532" t="s">
        <v>1079</v>
      </c>
      <c r="D243" s="2153">
        <v>4</v>
      </c>
      <c r="E243" s="560" t="s">
        <v>502</v>
      </c>
      <c r="F243" s="2153" t="s">
        <v>312</v>
      </c>
      <c r="G243" s="2180">
        <v>4.6699999999999998E-2</v>
      </c>
      <c r="H243" s="164"/>
      <c r="I243" s="1359">
        <f t="shared" si="283"/>
        <v>0</v>
      </c>
      <c r="J243" s="562" t="str">
        <f t="shared" si="284"/>
        <v>0:0:00</v>
      </c>
      <c r="K243" s="563">
        <v>1000</v>
      </c>
      <c r="L243" s="2127">
        <f t="shared" si="285"/>
        <v>95.15</v>
      </c>
      <c r="M243" s="561">
        <f t="shared" si="286"/>
        <v>0</v>
      </c>
      <c r="N243" s="564">
        <v>1</v>
      </c>
      <c r="O243" s="561">
        <f t="shared" si="287"/>
        <v>0</v>
      </c>
      <c r="P243" s="561">
        <f t="shared" si="288"/>
        <v>0</v>
      </c>
      <c r="Q243" s="565">
        <f t="shared" si="289"/>
        <v>0</v>
      </c>
      <c r="R243" s="566">
        <f t="shared" si="290"/>
        <v>0</v>
      </c>
      <c r="S243" s="566">
        <f t="shared" si="291"/>
        <v>0</v>
      </c>
      <c r="T243" s="566">
        <f t="shared" si="292"/>
        <v>0</v>
      </c>
      <c r="U243" s="2028">
        <f t="shared" si="252"/>
        <v>0</v>
      </c>
      <c r="V243" s="1357"/>
      <c r="W243" s="1357"/>
      <c r="X243" s="1357"/>
      <c r="Y243" s="1357"/>
      <c r="AD243" s="2141">
        <f t="shared" si="293"/>
        <v>2.6</v>
      </c>
      <c r="AE243" s="2142" t="str">
        <f t="shared" si="266"/>
        <v/>
      </c>
      <c r="AG243" s="2118" t="s">
        <v>1816</v>
      </c>
    </row>
    <row r="244" spans="1:33" ht="25.5" hidden="1" outlineLevel="3" x14ac:dyDescent="0.2">
      <c r="A244" s="1360">
        <f t="shared" si="294"/>
        <v>707</v>
      </c>
      <c r="B244" s="573" t="s">
        <v>518</v>
      </c>
      <c r="C244" s="532" t="s">
        <v>1079</v>
      </c>
      <c r="D244" s="2153">
        <v>4</v>
      </c>
      <c r="E244" s="560" t="s">
        <v>502</v>
      </c>
      <c r="F244" s="2153" t="s">
        <v>312</v>
      </c>
      <c r="G244" s="2180">
        <v>6.83E-2</v>
      </c>
      <c r="H244" s="164"/>
      <c r="I244" s="1359">
        <f t="shared" si="283"/>
        <v>0</v>
      </c>
      <c r="J244" s="562" t="str">
        <f t="shared" si="284"/>
        <v>0:0:00</v>
      </c>
      <c r="K244" s="563">
        <v>1000</v>
      </c>
      <c r="L244" s="2127">
        <f t="shared" si="285"/>
        <v>95.15</v>
      </c>
      <c r="M244" s="561">
        <f t="shared" si="286"/>
        <v>0</v>
      </c>
      <c r="N244" s="564">
        <v>1</v>
      </c>
      <c r="O244" s="561">
        <f t="shared" si="287"/>
        <v>0</v>
      </c>
      <c r="P244" s="561">
        <f t="shared" si="288"/>
        <v>0</v>
      </c>
      <c r="Q244" s="565">
        <f t="shared" si="289"/>
        <v>0</v>
      </c>
      <c r="R244" s="566">
        <f t="shared" si="290"/>
        <v>0</v>
      </c>
      <c r="S244" s="566">
        <f t="shared" si="291"/>
        <v>0</v>
      </c>
      <c r="T244" s="566">
        <f t="shared" si="292"/>
        <v>0</v>
      </c>
      <c r="U244" s="2028">
        <f t="shared" si="252"/>
        <v>0</v>
      </c>
      <c r="V244" s="1357"/>
      <c r="W244" s="1357"/>
      <c r="X244" s="1357"/>
      <c r="Y244" s="1357"/>
      <c r="AD244" s="2141">
        <f t="shared" si="293"/>
        <v>2.6</v>
      </c>
      <c r="AE244" s="2142" t="str">
        <f t="shared" si="266"/>
        <v/>
      </c>
      <c r="AG244" s="2118" t="s">
        <v>1816</v>
      </c>
    </row>
    <row r="245" spans="1:33" ht="25.5" hidden="1" outlineLevel="3" x14ac:dyDescent="0.2">
      <c r="A245" s="1360">
        <f t="shared" si="294"/>
        <v>708</v>
      </c>
      <c r="B245" s="573" t="s">
        <v>519</v>
      </c>
      <c r="C245" s="532" t="s">
        <v>1079</v>
      </c>
      <c r="D245" s="2153">
        <v>4</v>
      </c>
      <c r="E245" s="560" t="s">
        <v>502</v>
      </c>
      <c r="F245" s="2153" t="s">
        <v>312</v>
      </c>
      <c r="G245" s="2180">
        <v>8.3299999999999999E-2</v>
      </c>
      <c r="H245" s="164"/>
      <c r="I245" s="1359">
        <f t="shared" si="283"/>
        <v>0</v>
      </c>
      <c r="J245" s="562" t="str">
        <f t="shared" si="284"/>
        <v>0:0:00</v>
      </c>
      <c r="K245" s="563">
        <v>1000</v>
      </c>
      <c r="L245" s="2127">
        <f t="shared" si="285"/>
        <v>95.15</v>
      </c>
      <c r="M245" s="561">
        <f t="shared" si="286"/>
        <v>0</v>
      </c>
      <c r="N245" s="564">
        <v>1</v>
      </c>
      <c r="O245" s="561">
        <f t="shared" si="287"/>
        <v>0</v>
      </c>
      <c r="P245" s="561">
        <f t="shared" si="288"/>
        <v>0</v>
      </c>
      <c r="Q245" s="565">
        <f t="shared" si="289"/>
        <v>0</v>
      </c>
      <c r="R245" s="566">
        <f t="shared" si="290"/>
        <v>0</v>
      </c>
      <c r="S245" s="566">
        <f t="shared" si="291"/>
        <v>0</v>
      </c>
      <c r="T245" s="566">
        <f t="shared" si="292"/>
        <v>0</v>
      </c>
      <c r="U245" s="2028">
        <f t="shared" si="252"/>
        <v>0</v>
      </c>
      <c r="V245" s="1357"/>
      <c r="W245" s="1357"/>
      <c r="X245" s="1357"/>
      <c r="Y245" s="1357"/>
      <c r="AD245" s="2141">
        <f t="shared" si="293"/>
        <v>2.6</v>
      </c>
      <c r="AE245" s="2142" t="str">
        <f t="shared" si="266"/>
        <v/>
      </c>
      <c r="AG245" s="2118" t="s">
        <v>1816</v>
      </c>
    </row>
    <row r="246" spans="1:33" ht="25.5" hidden="1" outlineLevel="3" x14ac:dyDescent="0.2">
      <c r="A246" s="1360">
        <f t="shared" si="294"/>
        <v>709</v>
      </c>
      <c r="B246" s="573" t="s">
        <v>520</v>
      </c>
      <c r="C246" s="532" t="s">
        <v>1079</v>
      </c>
      <c r="D246" s="2153">
        <v>4</v>
      </c>
      <c r="E246" s="560" t="s">
        <v>502</v>
      </c>
      <c r="F246" s="2153" t="s">
        <v>312</v>
      </c>
      <c r="G246" s="2180">
        <v>0.1</v>
      </c>
      <c r="H246" s="164"/>
      <c r="I246" s="1359">
        <f t="shared" si="283"/>
        <v>0</v>
      </c>
      <c r="J246" s="562" t="str">
        <f t="shared" si="284"/>
        <v>0:0:00</v>
      </c>
      <c r="K246" s="563">
        <v>1000</v>
      </c>
      <c r="L246" s="2127">
        <f t="shared" si="285"/>
        <v>95.15</v>
      </c>
      <c r="M246" s="561">
        <f t="shared" si="286"/>
        <v>0</v>
      </c>
      <c r="N246" s="564">
        <v>1</v>
      </c>
      <c r="O246" s="561">
        <f t="shared" si="287"/>
        <v>0</v>
      </c>
      <c r="P246" s="561">
        <f t="shared" si="288"/>
        <v>0</v>
      </c>
      <c r="Q246" s="565">
        <f t="shared" si="289"/>
        <v>0</v>
      </c>
      <c r="R246" s="566">
        <f t="shared" si="290"/>
        <v>0</v>
      </c>
      <c r="S246" s="566">
        <f t="shared" si="291"/>
        <v>0</v>
      </c>
      <c r="T246" s="566">
        <f t="shared" si="292"/>
        <v>0</v>
      </c>
      <c r="U246" s="2028">
        <f t="shared" si="252"/>
        <v>0</v>
      </c>
      <c r="V246" s="1357"/>
      <c r="W246" s="1357"/>
      <c r="X246" s="1357"/>
      <c r="Y246" s="1357"/>
      <c r="AD246" s="2141">
        <f t="shared" si="293"/>
        <v>2.6</v>
      </c>
      <c r="AE246" s="2142" t="str">
        <f t="shared" si="266"/>
        <v/>
      </c>
      <c r="AG246" s="2118" t="s">
        <v>1816</v>
      </c>
    </row>
    <row r="247" spans="1:33" ht="25.5" hidden="1" outlineLevel="3" x14ac:dyDescent="0.2">
      <c r="A247" s="1360">
        <f t="shared" si="294"/>
        <v>710</v>
      </c>
      <c r="B247" s="573" t="s">
        <v>521</v>
      </c>
      <c r="C247" s="532" t="s">
        <v>1079</v>
      </c>
      <c r="D247" s="2153">
        <v>4</v>
      </c>
      <c r="E247" s="560" t="s">
        <v>502</v>
      </c>
      <c r="F247" s="2153" t="s">
        <v>312</v>
      </c>
      <c r="G247" s="2180">
        <v>0.1133</v>
      </c>
      <c r="H247" s="164"/>
      <c r="I247" s="1359">
        <f t="shared" si="283"/>
        <v>0</v>
      </c>
      <c r="J247" s="562" t="str">
        <f t="shared" si="284"/>
        <v>0:0:00</v>
      </c>
      <c r="K247" s="563">
        <v>1000</v>
      </c>
      <c r="L247" s="2127">
        <f t="shared" si="285"/>
        <v>95.15</v>
      </c>
      <c r="M247" s="561">
        <f t="shared" si="286"/>
        <v>0</v>
      </c>
      <c r="N247" s="564">
        <v>1</v>
      </c>
      <c r="O247" s="561">
        <f t="shared" si="287"/>
        <v>0</v>
      </c>
      <c r="P247" s="561">
        <f t="shared" si="288"/>
        <v>0</v>
      </c>
      <c r="Q247" s="565">
        <f t="shared" si="289"/>
        <v>0</v>
      </c>
      <c r="R247" s="566">
        <f t="shared" si="290"/>
        <v>0</v>
      </c>
      <c r="S247" s="566">
        <f t="shared" si="291"/>
        <v>0</v>
      </c>
      <c r="T247" s="566">
        <f t="shared" si="292"/>
        <v>0</v>
      </c>
      <c r="U247" s="2028">
        <f t="shared" si="252"/>
        <v>0</v>
      </c>
      <c r="V247" s="1357"/>
      <c r="W247" s="1357"/>
      <c r="X247" s="1357"/>
      <c r="Y247" s="1357"/>
      <c r="AD247" s="2141">
        <f t="shared" si="293"/>
        <v>2.6</v>
      </c>
      <c r="AE247" s="2142" t="str">
        <f t="shared" si="266"/>
        <v/>
      </c>
      <c r="AG247" s="2118" t="s">
        <v>1816</v>
      </c>
    </row>
    <row r="248" spans="1:33" ht="25.5" hidden="1" outlineLevel="3" x14ac:dyDescent="0.2">
      <c r="A248" s="1360">
        <f t="shared" si="294"/>
        <v>711</v>
      </c>
      <c r="B248" s="573" t="s">
        <v>522</v>
      </c>
      <c r="C248" s="532" t="s">
        <v>1079</v>
      </c>
      <c r="D248" s="2153">
        <v>4</v>
      </c>
      <c r="E248" s="560" t="s">
        <v>502</v>
      </c>
      <c r="F248" s="2153" t="s">
        <v>312</v>
      </c>
      <c r="G248" s="2180">
        <v>0.16500000000000001</v>
      </c>
      <c r="H248" s="164"/>
      <c r="I248" s="1359">
        <f t="shared" si="283"/>
        <v>0</v>
      </c>
      <c r="J248" s="562" t="str">
        <f t="shared" si="284"/>
        <v>0:0:00</v>
      </c>
      <c r="K248" s="563">
        <v>1000</v>
      </c>
      <c r="L248" s="2127">
        <f t="shared" si="285"/>
        <v>95.15</v>
      </c>
      <c r="M248" s="561">
        <f t="shared" si="286"/>
        <v>0</v>
      </c>
      <c r="N248" s="564">
        <v>1</v>
      </c>
      <c r="O248" s="561">
        <f t="shared" si="287"/>
        <v>0</v>
      </c>
      <c r="P248" s="561">
        <f t="shared" si="288"/>
        <v>0</v>
      </c>
      <c r="Q248" s="565">
        <f t="shared" si="289"/>
        <v>0</v>
      </c>
      <c r="R248" s="566">
        <f t="shared" si="290"/>
        <v>0</v>
      </c>
      <c r="S248" s="566">
        <f t="shared" si="291"/>
        <v>0</v>
      </c>
      <c r="T248" s="566">
        <f t="shared" si="292"/>
        <v>0</v>
      </c>
      <c r="U248" s="2028">
        <f t="shared" si="252"/>
        <v>0</v>
      </c>
      <c r="V248" s="1357"/>
      <c r="W248" s="1357"/>
      <c r="X248" s="1357"/>
      <c r="Y248" s="1357"/>
      <c r="AD248" s="2141">
        <f t="shared" si="293"/>
        <v>2.6</v>
      </c>
      <c r="AE248" s="2142" t="str">
        <f t="shared" si="266"/>
        <v/>
      </c>
      <c r="AG248" s="2118" t="s">
        <v>1816</v>
      </c>
    </row>
    <row r="249" spans="1:33" ht="25.5" hidden="1" outlineLevel="3" x14ac:dyDescent="0.2">
      <c r="A249" s="1360">
        <f t="shared" si="294"/>
        <v>712</v>
      </c>
      <c r="B249" s="573" t="s">
        <v>523</v>
      </c>
      <c r="C249" s="532" t="s">
        <v>1079</v>
      </c>
      <c r="D249" s="2153">
        <v>4</v>
      </c>
      <c r="E249" s="560" t="s">
        <v>502</v>
      </c>
      <c r="F249" s="2153" t="s">
        <v>312</v>
      </c>
      <c r="G249" s="2180">
        <v>0.1767</v>
      </c>
      <c r="H249" s="164"/>
      <c r="I249" s="1359">
        <f t="shared" si="283"/>
        <v>0</v>
      </c>
      <c r="J249" s="562" t="str">
        <f t="shared" si="284"/>
        <v>0:0:00</v>
      </c>
      <c r="K249" s="563">
        <v>1000</v>
      </c>
      <c r="L249" s="2127">
        <f t="shared" si="285"/>
        <v>95.15</v>
      </c>
      <c r="M249" s="561">
        <f t="shared" si="286"/>
        <v>0</v>
      </c>
      <c r="N249" s="564">
        <v>1</v>
      </c>
      <c r="O249" s="561">
        <f t="shared" si="287"/>
        <v>0</v>
      </c>
      <c r="P249" s="561">
        <f t="shared" si="288"/>
        <v>0</v>
      </c>
      <c r="Q249" s="565">
        <f t="shared" si="289"/>
        <v>0</v>
      </c>
      <c r="R249" s="566">
        <f t="shared" si="290"/>
        <v>0</v>
      </c>
      <c r="S249" s="566">
        <f t="shared" si="291"/>
        <v>0</v>
      </c>
      <c r="T249" s="566">
        <f t="shared" si="292"/>
        <v>0</v>
      </c>
      <c r="U249" s="2028">
        <f t="shared" si="252"/>
        <v>0</v>
      </c>
      <c r="V249" s="1357"/>
      <c r="W249" s="1357"/>
      <c r="X249" s="1357"/>
      <c r="Y249" s="1357"/>
      <c r="AD249" s="2141">
        <f t="shared" si="293"/>
        <v>2.6</v>
      </c>
      <c r="AE249" s="2142" t="str">
        <f t="shared" si="266"/>
        <v/>
      </c>
      <c r="AG249" s="2118" t="s">
        <v>1816</v>
      </c>
    </row>
    <row r="250" spans="1:33" ht="25.5" hidden="1" outlineLevel="3" x14ac:dyDescent="0.2">
      <c r="A250" s="1360">
        <f t="shared" si="294"/>
        <v>713</v>
      </c>
      <c r="B250" s="573" t="s">
        <v>524</v>
      </c>
      <c r="C250" s="532" t="s">
        <v>1079</v>
      </c>
      <c r="D250" s="2153">
        <v>4</v>
      </c>
      <c r="E250" s="560" t="s">
        <v>502</v>
      </c>
      <c r="F250" s="2153" t="s">
        <v>312</v>
      </c>
      <c r="G250" s="2180">
        <v>0.2117</v>
      </c>
      <c r="H250" s="164"/>
      <c r="I250" s="1359">
        <f t="shared" si="283"/>
        <v>0</v>
      </c>
      <c r="J250" s="562" t="str">
        <f t="shared" si="284"/>
        <v>0:0:00</v>
      </c>
      <c r="K250" s="563">
        <v>1000</v>
      </c>
      <c r="L250" s="2127">
        <f t="shared" si="285"/>
        <v>95.15</v>
      </c>
      <c r="M250" s="561">
        <f t="shared" si="286"/>
        <v>0</v>
      </c>
      <c r="N250" s="564">
        <v>1</v>
      </c>
      <c r="O250" s="561">
        <f t="shared" si="287"/>
        <v>0</v>
      </c>
      <c r="P250" s="561">
        <f t="shared" si="288"/>
        <v>0</v>
      </c>
      <c r="Q250" s="565">
        <f t="shared" si="289"/>
        <v>0</v>
      </c>
      <c r="R250" s="566">
        <f t="shared" si="290"/>
        <v>0</v>
      </c>
      <c r="S250" s="566">
        <f t="shared" si="291"/>
        <v>0</v>
      </c>
      <c r="T250" s="566">
        <f t="shared" si="292"/>
        <v>0</v>
      </c>
      <c r="U250" s="2028">
        <f t="shared" si="252"/>
        <v>0</v>
      </c>
      <c r="V250" s="1357"/>
      <c r="W250" s="1357"/>
      <c r="X250" s="1357"/>
      <c r="Y250" s="1357"/>
      <c r="AD250" s="2141">
        <f t="shared" si="293"/>
        <v>2.6</v>
      </c>
      <c r="AE250" s="2142" t="str">
        <f t="shared" si="266"/>
        <v/>
      </c>
      <c r="AG250" s="2118" t="s">
        <v>1816</v>
      </c>
    </row>
    <row r="251" spans="1:33" ht="25.5" hidden="1" outlineLevel="3" x14ac:dyDescent="0.2">
      <c r="A251" s="1360">
        <f t="shared" si="294"/>
        <v>714</v>
      </c>
      <c r="B251" s="573" t="s">
        <v>525</v>
      </c>
      <c r="C251" s="532" t="s">
        <v>1079</v>
      </c>
      <c r="D251" s="2153">
        <v>4</v>
      </c>
      <c r="E251" s="560" t="s">
        <v>502</v>
      </c>
      <c r="F251" s="2153" t="s">
        <v>312</v>
      </c>
      <c r="G251" s="2180">
        <v>0.26329999999999998</v>
      </c>
      <c r="H251" s="164"/>
      <c r="I251" s="1359">
        <f t="shared" si="283"/>
        <v>0</v>
      </c>
      <c r="J251" s="562" t="str">
        <f t="shared" si="284"/>
        <v>0:0:00</v>
      </c>
      <c r="K251" s="563">
        <v>1000</v>
      </c>
      <c r="L251" s="2127">
        <f t="shared" si="285"/>
        <v>95.15</v>
      </c>
      <c r="M251" s="561">
        <f t="shared" si="286"/>
        <v>0</v>
      </c>
      <c r="N251" s="564">
        <v>1</v>
      </c>
      <c r="O251" s="561">
        <f t="shared" si="287"/>
        <v>0</v>
      </c>
      <c r="P251" s="561">
        <f t="shared" si="288"/>
        <v>0</v>
      </c>
      <c r="Q251" s="565">
        <f t="shared" si="289"/>
        <v>0</v>
      </c>
      <c r="R251" s="566">
        <f t="shared" si="290"/>
        <v>0</v>
      </c>
      <c r="S251" s="566">
        <f t="shared" si="291"/>
        <v>0</v>
      </c>
      <c r="T251" s="566">
        <f t="shared" si="292"/>
        <v>0</v>
      </c>
      <c r="U251" s="2028">
        <f t="shared" si="252"/>
        <v>0</v>
      </c>
      <c r="V251" s="1357"/>
      <c r="W251" s="1357"/>
      <c r="X251" s="1357"/>
      <c r="Y251" s="1357"/>
      <c r="AD251" s="2141">
        <f t="shared" si="293"/>
        <v>2.6</v>
      </c>
      <c r="AE251" s="2142" t="str">
        <f t="shared" si="266"/>
        <v/>
      </c>
      <c r="AG251" s="2118" t="s">
        <v>1816</v>
      </c>
    </row>
    <row r="252" spans="1:33" ht="25.5" hidden="1" outlineLevel="3" x14ac:dyDescent="0.2">
      <c r="A252" s="1360">
        <f t="shared" si="294"/>
        <v>715</v>
      </c>
      <c r="B252" s="573" t="s">
        <v>570</v>
      </c>
      <c r="C252" s="532" t="s">
        <v>1079</v>
      </c>
      <c r="D252" s="2153">
        <v>4</v>
      </c>
      <c r="E252" s="560" t="s">
        <v>502</v>
      </c>
      <c r="F252" s="2153" t="s">
        <v>312</v>
      </c>
      <c r="G252" s="2180">
        <v>0.33169999999999999</v>
      </c>
      <c r="H252" s="164"/>
      <c r="I252" s="1359">
        <f t="shared" si="283"/>
        <v>0</v>
      </c>
      <c r="J252" s="562" t="str">
        <f t="shared" si="284"/>
        <v>0:0:00</v>
      </c>
      <c r="K252" s="563">
        <v>1000</v>
      </c>
      <c r="L252" s="2127">
        <f t="shared" si="285"/>
        <v>95.15</v>
      </c>
      <c r="M252" s="561">
        <f t="shared" si="286"/>
        <v>0</v>
      </c>
      <c r="N252" s="564">
        <v>1</v>
      </c>
      <c r="O252" s="561">
        <f t="shared" si="287"/>
        <v>0</v>
      </c>
      <c r="P252" s="561">
        <f t="shared" si="288"/>
        <v>0</v>
      </c>
      <c r="Q252" s="565">
        <f t="shared" si="289"/>
        <v>0</v>
      </c>
      <c r="R252" s="566">
        <f t="shared" si="290"/>
        <v>0</v>
      </c>
      <c r="S252" s="566">
        <f t="shared" si="291"/>
        <v>0</v>
      </c>
      <c r="T252" s="566">
        <f t="shared" si="292"/>
        <v>0</v>
      </c>
      <c r="U252" s="2028">
        <f t="shared" si="252"/>
        <v>0</v>
      </c>
      <c r="V252" s="1357"/>
      <c r="W252" s="1357"/>
      <c r="X252" s="1357"/>
      <c r="Y252" s="1357"/>
      <c r="AD252" s="2141">
        <f t="shared" si="293"/>
        <v>2.6</v>
      </c>
      <c r="AE252" s="2142" t="str">
        <f t="shared" si="266"/>
        <v/>
      </c>
      <c r="AG252" s="2118" t="s">
        <v>1816</v>
      </c>
    </row>
    <row r="253" spans="1:33" ht="14.25" hidden="1" outlineLevel="2" x14ac:dyDescent="0.2">
      <c r="A253" s="1360"/>
      <c r="B253" s="557" t="s">
        <v>1082</v>
      </c>
      <c r="C253" s="522"/>
      <c r="D253" s="2152"/>
      <c r="E253" s="523" t="s">
        <v>218</v>
      </c>
      <c r="F253" s="2164"/>
      <c r="G253" s="2181"/>
      <c r="H253" s="569">
        <f>SUM(H243:H252)</f>
        <v>0</v>
      </c>
      <c r="I253" s="2043">
        <f>SUM(I254:I266)</f>
        <v>0</v>
      </c>
      <c r="J253" s="524"/>
      <c r="K253" s="524"/>
      <c r="L253" s="526"/>
      <c r="M253" s="524"/>
      <c r="N253" s="524"/>
      <c r="O253" s="524"/>
      <c r="P253" s="524"/>
      <c r="Q253" s="527"/>
      <c r="R253" s="524"/>
      <c r="S253" s="524"/>
      <c r="T253" s="524"/>
      <c r="U253" s="2028">
        <f t="shared" si="252"/>
        <v>0</v>
      </c>
      <c r="V253" s="1357"/>
      <c r="W253" s="1357"/>
      <c r="X253" s="1357"/>
      <c r="Y253" s="1357"/>
      <c r="AD253" s="2141" t="str">
        <f t="shared" si="293"/>
        <v/>
      </c>
      <c r="AE253" s="2142" t="str">
        <f t="shared" si="266"/>
        <v/>
      </c>
      <c r="AG253" s="2118" t="s">
        <v>1816</v>
      </c>
    </row>
    <row r="254" spans="1:33" ht="25.5" hidden="1" outlineLevel="3" x14ac:dyDescent="0.2">
      <c r="A254" s="1360">
        <f>A252+1</f>
        <v>716</v>
      </c>
      <c r="B254" s="572" t="s">
        <v>527</v>
      </c>
      <c r="C254" s="532" t="s">
        <v>1079</v>
      </c>
      <c r="D254" s="2154">
        <v>4</v>
      </c>
      <c r="E254" s="574" t="s">
        <v>502</v>
      </c>
      <c r="F254" s="2154" t="s">
        <v>312</v>
      </c>
      <c r="G254" s="2182">
        <v>7.0000000000000007E-2</v>
      </c>
      <c r="H254" s="164"/>
      <c r="I254" s="1359">
        <f t="shared" si="283"/>
        <v>0</v>
      </c>
      <c r="J254" s="562" t="str">
        <f t="shared" ref="J254:J266" si="295">CONCATENATE(TRUNC(I254,0),":",INT((I254-(TRUNC(I254,0)))*60),":","00")</f>
        <v>0:0:00</v>
      </c>
      <c r="K254" s="563">
        <v>1000</v>
      </c>
      <c r="L254" s="2127">
        <f t="shared" ref="L254:L266" si="296">РезкаПодрезка</f>
        <v>95.15</v>
      </c>
      <c r="M254" s="561">
        <f t="shared" ref="M254:M266" si="297">I254*L254</f>
        <v>0</v>
      </c>
      <c r="N254" s="564">
        <v>1</v>
      </c>
      <c r="O254" s="561">
        <f t="shared" ref="O254:O266" si="298">M254*N254</f>
        <v>0</v>
      </c>
      <c r="P254" s="561">
        <f t="shared" ref="P254:P266" si="299">(M254+O254)*0.15</f>
        <v>0</v>
      </c>
      <c r="Q254" s="565">
        <f t="shared" ref="Q254:Q266" si="300">M254+O254+P254</f>
        <v>0</v>
      </c>
      <c r="R254" s="566">
        <f t="shared" ref="R254:R266" si="301">Q254*$R$1</f>
        <v>0</v>
      </c>
      <c r="S254" s="566">
        <f t="shared" ref="S254:S266" si="302">(Q254+R254)*$S$1</f>
        <v>0</v>
      </c>
      <c r="T254" s="566">
        <f>Q254+R254+S254</f>
        <v>0</v>
      </c>
      <c r="U254" s="2028">
        <f t="shared" si="252"/>
        <v>0</v>
      </c>
      <c r="V254" s="1357"/>
      <c r="W254" s="1357"/>
      <c r="X254" s="1357"/>
      <c r="Y254" s="1357"/>
      <c r="AD254" s="2141">
        <f t="shared" si="293"/>
        <v>2.6</v>
      </c>
      <c r="AE254" s="2142" t="str">
        <f t="shared" si="266"/>
        <v/>
      </c>
      <c r="AG254" s="2118" t="s">
        <v>1816</v>
      </c>
    </row>
    <row r="255" spans="1:33" ht="25.5" hidden="1" outlineLevel="3" x14ac:dyDescent="0.2">
      <c r="A255" s="1360">
        <f>A254+1</f>
        <v>717</v>
      </c>
      <c r="B255" s="571" t="s">
        <v>528</v>
      </c>
      <c r="C255" s="532" t="s">
        <v>1079</v>
      </c>
      <c r="D255" s="2154">
        <v>4</v>
      </c>
      <c r="E255" s="574" t="s">
        <v>502</v>
      </c>
      <c r="F255" s="2154" t="s">
        <v>312</v>
      </c>
      <c r="G255" s="2182">
        <v>1.3299999999999999E-2</v>
      </c>
      <c r="H255" s="164">
        <f>SUM(H257:H266)*3</f>
        <v>0</v>
      </c>
      <c r="I255" s="1359">
        <f t="shared" si="283"/>
        <v>0</v>
      </c>
      <c r="J255" s="562" t="str">
        <f t="shared" si="295"/>
        <v>0:0:00</v>
      </c>
      <c r="K255" s="563">
        <v>1000</v>
      </c>
      <c r="L255" s="2127">
        <f t="shared" si="296"/>
        <v>95.15</v>
      </c>
      <c r="M255" s="561">
        <f t="shared" si="297"/>
        <v>0</v>
      </c>
      <c r="N255" s="564">
        <v>1</v>
      </c>
      <c r="O255" s="561">
        <f t="shared" si="298"/>
        <v>0</v>
      </c>
      <c r="P255" s="561">
        <f t="shared" si="299"/>
        <v>0</v>
      </c>
      <c r="Q255" s="565">
        <f t="shared" si="300"/>
        <v>0</v>
      </c>
      <c r="R255" s="566">
        <f t="shared" si="301"/>
        <v>0</v>
      </c>
      <c r="S255" s="566">
        <f t="shared" si="302"/>
        <v>0</v>
      </c>
      <c r="T255" s="566">
        <f t="shared" ref="T255:T266" si="303">Q255+R255+S255</f>
        <v>0</v>
      </c>
      <c r="U255" s="2028">
        <f t="shared" si="252"/>
        <v>0</v>
      </c>
      <c r="V255" s="1357"/>
      <c r="W255" s="1357"/>
      <c r="X255" s="1357"/>
      <c r="Y255" s="1357"/>
      <c r="AD255" s="2141">
        <f t="shared" si="293"/>
        <v>2.6</v>
      </c>
      <c r="AE255" s="2142" t="str">
        <f t="shared" si="266"/>
        <v/>
      </c>
      <c r="AG255" s="2118" t="s">
        <v>1816</v>
      </c>
    </row>
    <row r="256" spans="1:33" ht="25.5" hidden="1" outlineLevel="3" x14ac:dyDescent="0.2">
      <c r="A256" s="1360">
        <f t="shared" ref="A256:A266" si="304">A255+1</f>
        <v>718</v>
      </c>
      <c r="B256" s="572" t="s">
        <v>529</v>
      </c>
      <c r="C256" s="532" t="s">
        <v>1079</v>
      </c>
      <c r="D256" s="2154">
        <v>4</v>
      </c>
      <c r="E256" s="574" t="s">
        <v>502</v>
      </c>
      <c r="F256" s="2154" t="s">
        <v>312</v>
      </c>
      <c r="G256" s="2182">
        <v>4.8300000000000003E-2</v>
      </c>
      <c r="H256" s="164"/>
      <c r="I256" s="1359">
        <f t="shared" si="283"/>
        <v>0</v>
      </c>
      <c r="J256" s="562" t="str">
        <f t="shared" si="295"/>
        <v>0:0:00</v>
      </c>
      <c r="K256" s="563">
        <v>1000</v>
      </c>
      <c r="L256" s="2127">
        <f t="shared" si="296"/>
        <v>95.15</v>
      </c>
      <c r="M256" s="561">
        <f t="shared" si="297"/>
        <v>0</v>
      </c>
      <c r="N256" s="564">
        <v>1</v>
      </c>
      <c r="O256" s="561">
        <f t="shared" si="298"/>
        <v>0</v>
      </c>
      <c r="P256" s="561">
        <f t="shared" si="299"/>
        <v>0</v>
      </c>
      <c r="Q256" s="565">
        <f t="shared" si="300"/>
        <v>0</v>
      </c>
      <c r="R256" s="566">
        <f t="shared" si="301"/>
        <v>0</v>
      </c>
      <c r="S256" s="566">
        <f t="shared" si="302"/>
        <v>0</v>
      </c>
      <c r="T256" s="566">
        <f t="shared" si="303"/>
        <v>0</v>
      </c>
      <c r="U256" s="2028">
        <f t="shared" si="252"/>
        <v>0</v>
      </c>
      <c r="V256" s="1357"/>
      <c r="W256" s="1357"/>
      <c r="X256" s="1357"/>
      <c r="Y256" s="1357"/>
      <c r="AD256" s="2141">
        <f t="shared" si="293"/>
        <v>2.6</v>
      </c>
      <c r="AE256" s="2142" t="str">
        <f t="shared" si="266"/>
        <v/>
      </c>
      <c r="AG256" s="2118" t="s">
        <v>1816</v>
      </c>
    </row>
    <row r="257" spans="1:33" ht="25.5" hidden="1" outlineLevel="3" x14ac:dyDescent="0.2">
      <c r="A257" s="1360">
        <f t="shared" si="304"/>
        <v>719</v>
      </c>
      <c r="B257" s="573" t="s">
        <v>530</v>
      </c>
      <c r="C257" s="532" t="s">
        <v>1079</v>
      </c>
      <c r="D257" s="2154">
        <v>4</v>
      </c>
      <c r="E257" s="574" t="s">
        <v>502</v>
      </c>
      <c r="F257" s="2154" t="s">
        <v>312</v>
      </c>
      <c r="G257" s="2182">
        <v>6.1699999999999998E-2</v>
      </c>
      <c r="H257" s="164"/>
      <c r="I257" s="1359">
        <f t="shared" si="283"/>
        <v>0</v>
      </c>
      <c r="J257" s="562" t="str">
        <f t="shared" si="295"/>
        <v>0:0:00</v>
      </c>
      <c r="K257" s="563">
        <v>1000</v>
      </c>
      <c r="L257" s="2127">
        <f t="shared" si="296"/>
        <v>95.15</v>
      </c>
      <c r="M257" s="561">
        <f t="shared" si="297"/>
        <v>0</v>
      </c>
      <c r="N257" s="564">
        <v>1</v>
      </c>
      <c r="O257" s="561">
        <f t="shared" si="298"/>
        <v>0</v>
      </c>
      <c r="P257" s="561">
        <f t="shared" si="299"/>
        <v>0</v>
      </c>
      <c r="Q257" s="565">
        <f t="shared" si="300"/>
        <v>0</v>
      </c>
      <c r="R257" s="566">
        <f t="shared" si="301"/>
        <v>0</v>
      </c>
      <c r="S257" s="566">
        <f t="shared" si="302"/>
        <v>0</v>
      </c>
      <c r="T257" s="566">
        <f t="shared" si="303"/>
        <v>0</v>
      </c>
      <c r="U257" s="2028">
        <f t="shared" si="252"/>
        <v>0</v>
      </c>
      <c r="V257" s="1357"/>
      <c r="W257" s="1357"/>
      <c r="X257" s="1357"/>
      <c r="Y257" s="1357"/>
      <c r="AD257" s="2141">
        <f t="shared" si="293"/>
        <v>2.6</v>
      </c>
      <c r="AE257" s="2142" t="str">
        <f t="shared" si="266"/>
        <v/>
      </c>
      <c r="AG257" s="2118" t="s">
        <v>1816</v>
      </c>
    </row>
    <row r="258" spans="1:33" ht="25.5" hidden="1" outlineLevel="3" x14ac:dyDescent="0.2">
      <c r="A258" s="1360">
        <f t="shared" si="304"/>
        <v>720</v>
      </c>
      <c r="B258" s="573" t="s">
        <v>531</v>
      </c>
      <c r="C258" s="532" t="s">
        <v>1079</v>
      </c>
      <c r="D258" s="2154">
        <v>4</v>
      </c>
      <c r="E258" s="574" t="s">
        <v>502</v>
      </c>
      <c r="F258" s="2154" t="s">
        <v>312</v>
      </c>
      <c r="G258" s="2182">
        <v>9.6699999999999994E-2</v>
      </c>
      <c r="H258" s="164"/>
      <c r="I258" s="1359">
        <f t="shared" si="283"/>
        <v>0</v>
      </c>
      <c r="J258" s="562" t="str">
        <f t="shared" si="295"/>
        <v>0:0:00</v>
      </c>
      <c r="K258" s="563">
        <v>1000</v>
      </c>
      <c r="L258" s="2127">
        <f t="shared" si="296"/>
        <v>95.15</v>
      </c>
      <c r="M258" s="561">
        <f t="shared" si="297"/>
        <v>0</v>
      </c>
      <c r="N258" s="564">
        <v>1</v>
      </c>
      <c r="O258" s="561">
        <f t="shared" si="298"/>
        <v>0</v>
      </c>
      <c r="P258" s="561">
        <f t="shared" si="299"/>
        <v>0</v>
      </c>
      <c r="Q258" s="565">
        <f t="shared" si="300"/>
        <v>0</v>
      </c>
      <c r="R258" s="566">
        <f t="shared" si="301"/>
        <v>0</v>
      </c>
      <c r="S258" s="566">
        <f t="shared" si="302"/>
        <v>0</v>
      </c>
      <c r="T258" s="566">
        <f t="shared" si="303"/>
        <v>0</v>
      </c>
      <c r="U258" s="2028">
        <f t="shared" si="252"/>
        <v>0</v>
      </c>
      <c r="V258" s="1357"/>
      <c r="W258" s="1357"/>
      <c r="X258" s="1357"/>
      <c r="Y258" s="1357"/>
      <c r="AD258" s="2141">
        <f t="shared" si="293"/>
        <v>2.6</v>
      </c>
      <c r="AE258" s="2142" t="str">
        <f t="shared" si="266"/>
        <v/>
      </c>
      <c r="AG258" s="2118" t="s">
        <v>1816</v>
      </c>
    </row>
    <row r="259" spans="1:33" ht="25.5" hidden="1" outlineLevel="3" x14ac:dyDescent="0.2">
      <c r="A259" s="1360">
        <f t="shared" si="304"/>
        <v>721</v>
      </c>
      <c r="B259" s="573" t="s">
        <v>532</v>
      </c>
      <c r="C259" s="532" t="s">
        <v>1079</v>
      </c>
      <c r="D259" s="2154">
        <v>4</v>
      </c>
      <c r="E259" s="574" t="s">
        <v>502</v>
      </c>
      <c r="F259" s="2154" t="s">
        <v>312</v>
      </c>
      <c r="G259" s="2182">
        <v>0.1183</v>
      </c>
      <c r="H259" s="164"/>
      <c r="I259" s="1359">
        <f t="shared" si="283"/>
        <v>0</v>
      </c>
      <c r="J259" s="562" t="str">
        <f t="shared" si="295"/>
        <v>0:0:00</v>
      </c>
      <c r="K259" s="563">
        <v>1000</v>
      </c>
      <c r="L259" s="2127">
        <f t="shared" si="296"/>
        <v>95.15</v>
      </c>
      <c r="M259" s="561">
        <f t="shared" si="297"/>
        <v>0</v>
      </c>
      <c r="N259" s="564">
        <v>1</v>
      </c>
      <c r="O259" s="561">
        <f t="shared" si="298"/>
        <v>0</v>
      </c>
      <c r="P259" s="561">
        <f t="shared" si="299"/>
        <v>0</v>
      </c>
      <c r="Q259" s="565">
        <f t="shared" si="300"/>
        <v>0</v>
      </c>
      <c r="R259" s="566">
        <f t="shared" si="301"/>
        <v>0</v>
      </c>
      <c r="S259" s="566">
        <f t="shared" si="302"/>
        <v>0</v>
      </c>
      <c r="T259" s="566">
        <f t="shared" si="303"/>
        <v>0</v>
      </c>
      <c r="U259" s="2028">
        <f t="shared" si="252"/>
        <v>0</v>
      </c>
      <c r="V259" s="1357"/>
      <c r="W259" s="1357"/>
      <c r="X259" s="1357"/>
      <c r="Y259" s="1357"/>
      <c r="AD259" s="2141">
        <f t="shared" si="293"/>
        <v>2.6</v>
      </c>
      <c r="AE259" s="2142" t="str">
        <f t="shared" si="266"/>
        <v/>
      </c>
      <c r="AG259" s="2118" t="s">
        <v>1816</v>
      </c>
    </row>
    <row r="260" spans="1:33" ht="25.5" hidden="1" outlineLevel="3" x14ac:dyDescent="0.2">
      <c r="A260" s="1360">
        <f t="shared" si="304"/>
        <v>722</v>
      </c>
      <c r="B260" s="573" t="s">
        <v>533</v>
      </c>
      <c r="C260" s="532" t="s">
        <v>1079</v>
      </c>
      <c r="D260" s="2154">
        <v>4</v>
      </c>
      <c r="E260" s="574" t="s">
        <v>502</v>
      </c>
      <c r="F260" s="2154" t="s">
        <v>312</v>
      </c>
      <c r="G260" s="2182">
        <v>0.14330000000000001</v>
      </c>
      <c r="H260" s="164"/>
      <c r="I260" s="1359">
        <f t="shared" si="283"/>
        <v>0</v>
      </c>
      <c r="J260" s="562" t="str">
        <f t="shared" si="295"/>
        <v>0:0:00</v>
      </c>
      <c r="K260" s="563">
        <v>1000</v>
      </c>
      <c r="L260" s="2127">
        <f t="shared" si="296"/>
        <v>95.15</v>
      </c>
      <c r="M260" s="561">
        <f t="shared" si="297"/>
        <v>0</v>
      </c>
      <c r="N260" s="564">
        <v>1</v>
      </c>
      <c r="O260" s="561">
        <f t="shared" si="298"/>
        <v>0</v>
      </c>
      <c r="P260" s="561">
        <f t="shared" si="299"/>
        <v>0</v>
      </c>
      <c r="Q260" s="565">
        <f t="shared" si="300"/>
        <v>0</v>
      </c>
      <c r="R260" s="566">
        <f t="shared" si="301"/>
        <v>0</v>
      </c>
      <c r="S260" s="566">
        <f t="shared" si="302"/>
        <v>0</v>
      </c>
      <c r="T260" s="566">
        <f t="shared" si="303"/>
        <v>0</v>
      </c>
      <c r="U260" s="2028">
        <f t="shared" si="252"/>
        <v>0</v>
      </c>
      <c r="V260" s="1357"/>
      <c r="W260" s="1357"/>
      <c r="X260" s="1357"/>
      <c r="Y260" s="1357"/>
      <c r="AD260" s="2141">
        <f t="shared" si="293"/>
        <v>2.6</v>
      </c>
      <c r="AE260" s="2142" t="str">
        <f t="shared" si="266"/>
        <v/>
      </c>
      <c r="AG260" s="2118" t="s">
        <v>1816</v>
      </c>
    </row>
    <row r="261" spans="1:33" ht="25.5" hidden="1" outlineLevel="3" x14ac:dyDescent="0.2">
      <c r="A261" s="1360">
        <f t="shared" si="304"/>
        <v>723</v>
      </c>
      <c r="B261" s="573" t="s">
        <v>534</v>
      </c>
      <c r="C261" s="532" t="s">
        <v>1079</v>
      </c>
      <c r="D261" s="2154">
        <v>4</v>
      </c>
      <c r="E261" s="574" t="s">
        <v>502</v>
      </c>
      <c r="F261" s="2154" t="s">
        <v>312</v>
      </c>
      <c r="G261" s="2182">
        <v>0.16170000000000001</v>
      </c>
      <c r="H261" s="164"/>
      <c r="I261" s="1359">
        <f t="shared" si="283"/>
        <v>0</v>
      </c>
      <c r="J261" s="562" t="str">
        <f t="shared" si="295"/>
        <v>0:0:00</v>
      </c>
      <c r="K261" s="563">
        <v>1000</v>
      </c>
      <c r="L261" s="2127">
        <f t="shared" si="296"/>
        <v>95.15</v>
      </c>
      <c r="M261" s="561">
        <f t="shared" si="297"/>
        <v>0</v>
      </c>
      <c r="N261" s="564">
        <v>1</v>
      </c>
      <c r="O261" s="561">
        <f t="shared" si="298"/>
        <v>0</v>
      </c>
      <c r="P261" s="561">
        <f t="shared" si="299"/>
        <v>0</v>
      </c>
      <c r="Q261" s="565">
        <f t="shared" si="300"/>
        <v>0</v>
      </c>
      <c r="R261" s="566">
        <f t="shared" si="301"/>
        <v>0</v>
      </c>
      <c r="S261" s="566">
        <f t="shared" si="302"/>
        <v>0</v>
      </c>
      <c r="T261" s="566">
        <f t="shared" si="303"/>
        <v>0</v>
      </c>
      <c r="U261" s="2028">
        <f t="shared" si="252"/>
        <v>0</v>
      </c>
      <c r="V261" s="1357"/>
      <c r="W261" s="1357"/>
      <c r="X261" s="1357"/>
      <c r="Y261" s="1357"/>
      <c r="AD261" s="2141">
        <f t="shared" si="293"/>
        <v>2.6</v>
      </c>
      <c r="AE261" s="2142" t="str">
        <f t="shared" si="266"/>
        <v/>
      </c>
      <c r="AG261" s="2118" t="s">
        <v>1816</v>
      </c>
    </row>
    <row r="262" spans="1:33" ht="25.5" hidden="1" outlineLevel="3" x14ac:dyDescent="0.2">
      <c r="A262" s="1360">
        <f t="shared" si="304"/>
        <v>724</v>
      </c>
      <c r="B262" s="573" t="s">
        <v>535</v>
      </c>
      <c r="C262" s="532" t="s">
        <v>1079</v>
      </c>
      <c r="D262" s="2154">
        <v>4</v>
      </c>
      <c r="E262" s="574" t="s">
        <v>502</v>
      </c>
      <c r="F262" s="2154" t="s">
        <v>312</v>
      </c>
      <c r="G262" s="2182">
        <v>0.21829999999999999</v>
      </c>
      <c r="H262" s="164"/>
      <c r="I262" s="1359">
        <f t="shared" si="283"/>
        <v>0</v>
      </c>
      <c r="J262" s="562" t="str">
        <f t="shared" si="295"/>
        <v>0:0:00</v>
      </c>
      <c r="K262" s="563">
        <v>1000</v>
      </c>
      <c r="L262" s="2127">
        <f t="shared" si="296"/>
        <v>95.15</v>
      </c>
      <c r="M262" s="561">
        <f t="shared" si="297"/>
        <v>0</v>
      </c>
      <c r="N262" s="564">
        <v>1</v>
      </c>
      <c r="O262" s="561">
        <f t="shared" si="298"/>
        <v>0</v>
      </c>
      <c r="P262" s="561">
        <f t="shared" si="299"/>
        <v>0</v>
      </c>
      <c r="Q262" s="565">
        <f t="shared" si="300"/>
        <v>0</v>
      </c>
      <c r="R262" s="566">
        <f t="shared" si="301"/>
        <v>0</v>
      </c>
      <c r="S262" s="566">
        <f t="shared" si="302"/>
        <v>0</v>
      </c>
      <c r="T262" s="566">
        <f t="shared" si="303"/>
        <v>0</v>
      </c>
      <c r="U262" s="2028">
        <f t="shared" si="252"/>
        <v>0</v>
      </c>
      <c r="V262" s="1357"/>
      <c r="W262" s="1357"/>
      <c r="X262" s="1357"/>
      <c r="Y262" s="1357"/>
      <c r="AD262" s="2141">
        <f t="shared" si="293"/>
        <v>2.6</v>
      </c>
      <c r="AE262" s="2142" t="str">
        <f t="shared" si="266"/>
        <v/>
      </c>
      <c r="AG262" s="2118" t="s">
        <v>1816</v>
      </c>
    </row>
    <row r="263" spans="1:33" ht="25.5" hidden="1" outlineLevel="3" x14ac:dyDescent="0.2">
      <c r="A263" s="1360">
        <f t="shared" si="304"/>
        <v>725</v>
      </c>
      <c r="B263" s="573" t="s">
        <v>536</v>
      </c>
      <c r="C263" s="532" t="s">
        <v>1079</v>
      </c>
      <c r="D263" s="2154">
        <v>4</v>
      </c>
      <c r="E263" s="574" t="s">
        <v>502</v>
      </c>
      <c r="F263" s="2154" t="s">
        <v>312</v>
      </c>
      <c r="G263" s="2182">
        <v>0.25669999999999998</v>
      </c>
      <c r="H263" s="164"/>
      <c r="I263" s="1359">
        <f t="shared" si="283"/>
        <v>0</v>
      </c>
      <c r="J263" s="562" t="str">
        <f t="shared" si="295"/>
        <v>0:0:00</v>
      </c>
      <c r="K263" s="563">
        <v>1000</v>
      </c>
      <c r="L263" s="2127">
        <f t="shared" si="296"/>
        <v>95.15</v>
      </c>
      <c r="M263" s="561">
        <f t="shared" si="297"/>
        <v>0</v>
      </c>
      <c r="N263" s="564">
        <v>1</v>
      </c>
      <c r="O263" s="561">
        <f t="shared" si="298"/>
        <v>0</v>
      </c>
      <c r="P263" s="561">
        <f t="shared" si="299"/>
        <v>0</v>
      </c>
      <c r="Q263" s="565">
        <f t="shared" si="300"/>
        <v>0</v>
      </c>
      <c r="R263" s="566">
        <f t="shared" si="301"/>
        <v>0</v>
      </c>
      <c r="S263" s="566">
        <f t="shared" si="302"/>
        <v>0</v>
      </c>
      <c r="T263" s="566">
        <f t="shared" si="303"/>
        <v>0</v>
      </c>
      <c r="U263" s="2028">
        <f t="shared" si="252"/>
        <v>0</v>
      </c>
      <c r="V263" s="1357"/>
      <c r="W263" s="1357"/>
      <c r="X263" s="1357"/>
      <c r="Y263" s="1357"/>
      <c r="AD263" s="2141">
        <f t="shared" si="293"/>
        <v>2.6</v>
      </c>
      <c r="AE263" s="2142" t="str">
        <f t="shared" si="266"/>
        <v/>
      </c>
      <c r="AG263" s="2118" t="s">
        <v>1816</v>
      </c>
    </row>
    <row r="264" spans="1:33" ht="25.5" hidden="1" outlineLevel="3" x14ac:dyDescent="0.2">
      <c r="A264" s="1360">
        <f t="shared" si="304"/>
        <v>726</v>
      </c>
      <c r="B264" s="573" t="s">
        <v>537</v>
      </c>
      <c r="C264" s="532" t="s">
        <v>1079</v>
      </c>
      <c r="D264" s="2154">
        <v>4</v>
      </c>
      <c r="E264" s="574" t="s">
        <v>502</v>
      </c>
      <c r="F264" s="2154" t="s">
        <v>312</v>
      </c>
      <c r="G264" s="2182">
        <v>0.31330000000000002</v>
      </c>
      <c r="H264" s="164"/>
      <c r="I264" s="1359">
        <f t="shared" si="283"/>
        <v>0</v>
      </c>
      <c r="J264" s="562" t="str">
        <f t="shared" si="295"/>
        <v>0:0:00</v>
      </c>
      <c r="K264" s="563">
        <v>1000</v>
      </c>
      <c r="L264" s="2127">
        <f t="shared" si="296"/>
        <v>95.15</v>
      </c>
      <c r="M264" s="561">
        <f t="shared" si="297"/>
        <v>0</v>
      </c>
      <c r="N264" s="564">
        <v>1</v>
      </c>
      <c r="O264" s="561">
        <f t="shared" si="298"/>
        <v>0</v>
      </c>
      <c r="P264" s="561">
        <f t="shared" si="299"/>
        <v>0</v>
      </c>
      <c r="Q264" s="565">
        <f t="shared" si="300"/>
        <v>0</v>
      </c>
      <c r="R264" s="566">
        <f t="shared" si="301"/>
        <v>0</v>
      </c>
      <c r="S264" s="566">
        <f t="shared" si="302"/>
        <v>0</v>
      </c>
      <c r="T264" s="566">
        <f t="shared" si="303"/>
        <v>0</v>
      </c>
      <c r="U264" s="2028">
        <f t="shared" si="252"/>
        <v>0</v>
      </c>
      <c r="V264" s="1357"/>
      <c r="W264" s="1357"/>
      <c r="X264" s="1357"/>
      <c r="Y264" s="1357"/>
      <c r="AD264" s="2141">
        <f t="shared" si="293"/>
        <v>2.6</v>
      </c>
      <c r="AE264" s="2142" t="str">
        <f t="shared" si="266"/>
        <v/>
      </c>
      <c r="AG264" s="2118" t="s">
        <v>1816</v>
      </c>
    </row>
    <row r="265" spans="1:33" ht="25.5" hidden="1" outlineLevel="3" x14ac:dyDescent="0.2">
      <c r="A265" s="1360">
        <f t="shared" si="304"/>
        <v>727</v>
      </c>
      <c r="B265" s="573" t="s">
        <v>538</v>
      </c>
      <c r="C265" s="532" t="s">
        <v>1079</v>
      </c>
      <c r="D265" s="2154">
        <v>4</v>
      </c>
      <c r="E265" s="574" t="s">
        <v>502</v>
      </c>
      <c r="F265" s="2154" t="s">
        <v>312</v>
      </c>
      <c r="G265" s="2182">
        <v>0.39329999999999998</v>
      </c>
      <c r="H265" s="164"/>
      <c r="I265" s="1359">
        <f t="shared" si="283"/>
        <v>0</v>
      </c>
      <c r="J265" s="562" t="str">
        <f t="shared" si="295"/>
        <v>0:0:00</v>
      </c>
      <c r="K265" s="563">
        <v>1000</v>
      </c>
      <c r="L265" s="2127">
        <f t="shared" si="296"/>
        <v>95.15</v>
      </c>
      <c r="M265" s="561">
        <f t="shared" si="297"/>
        <v>0</v>
      </c>
      <c r="N265" s="564">
        <v>1</v>
      </c>
      <c r="O265" s="561">
        <f t="shared" si="298"/>
        <v>0</v>
      </c>
      <c r="P265" s="561">
        <f t="shared" si="299"/>
        <v>0</v>
      </c>
      <c r="Q265" s="565">
        <f t="shared" si="300"/>
        <v>0</v>
      </c>
      <c r="R265" s="566">
        <f t="shared" si="301"/>
        <v>0</v>
      </c>
      <c r="S265" s="566">
        <f t="shared" si="302"/>
        <v>0</v>
      </c>
      <c r="T265" s="566">
        <f t="shared" si="303"/>
        <v>0</v>
      </c>
      <c r="U265" s="2028">
        <f t="shared" si="252"/>
        <v>0</v>
      </c>
      <c r="V265" s="1357"/>
      <c r="W265" s="1357"/>
      <c r="X265" s="1357"/>
      <c r="Y265" s="1357"/>
      <c r="AD265" s="2141">
        <f t="shared" si="293"/>
        <v>2.6</v>
      </c>
      <c r="AE265" s="2142" t="str">
        <f t="shared" si="266"/>
        <v/>
      </c>
      <c r="AG265" s="2118" t="s">
        <v>1816</v>
      </c>
    </row>
    <row r="266" spans="1:33" ht="25.5" hidden="1" outlineLevel="3" x14ac:dyDescent="0.2">
      <c r="A266" s="1360">
        <f t="shared" si="304"/>
        <v>728</v>
      </c>
      <c r="B266" s="573" t="s">
        <v>539</v>
      </c>
      <c r="C266" s="532" t="s">
        <v>1079</v>
      </c>
      <c r="D266" s="2154">
        <v>4</v>
      </c>
      <c r="E266" s="574" t="s">
        <v>502</v>
      </c>
      <c r="F266" s="2154" t="s">
        <v>312</v>
      </c>
      <c r="G266" s="2182">
        <v>0.49330000000000002</v>
      </c>
      <c r="H266" s="164"/>
      <c r="I266" s="1359">
        <f t="shared" si="283"/>
        <v>0</v>
      </c>
      <c r="J266" s="562" t="str">
        <f t="shared" si="295"/>
        <v>0:0:00</v>
      </c>
      <c r="K266" s="563">
        <v>1000</v>
      </c>
      <c r="L266" s="2127">
        <f t="shared" si="296"/>
        <v>95.15</v>
      </c>
      <c r="M266" s="561">
        <f t="shared" si="297"/>
        <v>0</v>
      </c>
      <c r="N266" s="564">
        <v>1</v>
      </c>
      <c r="O266" s="561">
        <f t="shared" si="298"/>
        <v>0</v>
      </c>
      <c r="P266" s="561">
        <f t="shared" si="299"/>
        <v>0</v>
      </c>
      <c r="Q266" s="565">
        <f t="shared" si="300"/>
        <v>0</v>
      </c>
      <c r="R266" s="566">
        <f t="shared" si="301"/>
        <v>0</v>
      </c>
      <c r="S266" s="566">
        <f t="shared" si="302"/>
        <v>0</v>
      </c>
      <c r="T266" s="566">
        <f t="shared" si="303"/>
        <v>0</v>
      </c>
      <c r="U266" s="2028">
        <f t="shared" si="252"/>
        <v>0</v>
      </c>
      <c r="V266" s="1357"/>
      <c r="W266" s="1357"/>
      <c r="X266" s="1357"/>
      <c r="Y266" s="1357"/>
      <c r="AD266" s="2141">
        <f t="shared" si="293"/>
        <v>2.6</v>
      </c>
      <c r="AE266" s="2142" t="str">
        <f t="shared" si="266"/>
        <v/>
      </c>
      <c r="AG266" s="2118" t="s">
        <v>1816</v>
      </c>
    </row>
    <row r="267" spans="1:33" ht="14.25" hidden="1" outlineLevel="2" x14ac:dyDescent="0.2">
      <c r="A267" s="1360"/>
      <c r="B267" s="557" t="s">
        <v>1083</v>
      </c>
      <c r="C267" s="522"/>
      <c r="D267" s="2152"/>
      <c r="E267" s="523" t="s">
        <v>218</v>
      </c>
      <c r="F267" s="2164"/>
      <c r="G267" s="2181"/>
      <c r="H267" s="569">
        <f>SUM(H257:H266)</f>
        <v>0</v>
      </c>
      <c r="I267" s="2043">
        <f>SUM(I268:I280)</f>
        <v>0</v>
      </c>
      <c r="J267" s="524"/>
      <c r="K267" s="524"/>
      <c r="L267" s="526"/>
      <c r="M267" s="524"/>
      <c r="N267" s="524"/>
      <c r="O267" s="524"/>
      <c r="P267" s="524"/>
      <c r="Q267" s="527"/>
      <c r="R267" s="524"/>
      <c r="S267" s="524"/>
      <c r="T267" s="524"/>
      <c r="U267" s="2028">
        <f t="shared" si="252"/>
        <v>0</v>
      </c>
      <c r="V267" s="1357"/>
      <c r="W267" s="1357"/>
      <c r="X267" s="1357"/>
      <c r="Y267" s="1357"/>
      <c r="AD267" s="2141" t="str">
        <f t="shared" si="293"/>
        <v/>
      </c>
      <c r="AE267" s="2142" t="str">
        <f t="shared" si="266"/>
        <v/>
      </c>
      <c r="AG267" s="2118" t="s">
        <v>1816</v>
      </c>
    </row>
    <row r="268" spans="1:33" ht="25.5" hidden="1" outlineLevel="3" x14ac:dyDescent="0.2">
      <c r="A268" s="1360">
        <f>A266+1</f>
        <v>729</v>
      </c>
      <c r="B268" s="572" t="s">
        <v>571</v>
      </c>
      <c r="C268" s="532" t="s">
        <v>1079</v>
      </c>
      <c r="D268" s="2154">
        <v>4</v>
      </c>
      <c r="E268" s="574" t="s">
        <v>502</v>
      </c>
      <c r="F268" s="2154" t="s">
        <v>312</v>
      </c>
      <c r="G268" s="2182">
        <v>9.5000000000000001E-2</v>
      </c>
      <c r="H268" s="164"/>
      <c r="I268" s="1359">
        <f t="shared" si="283"/>
        <v>0</v>
      </c>
      <c r="J268" s="562" t="str">
        <f t="shared" ref="J268:J280" si="305">CONCATENATE(TRUNC(I268,0),":",INT((I268-(TRUNC(I268,0)))*60),":","00")</f>
        <v>0:0:00</v>
      </c>
      <c r="K268" s="563">
        <v>1000</v>
      </c>
      <c r="L268" s="2127">
        <f t="shared" ref="L268:L280" si="306">РезкаПодрезка</f>
        <v>95.15</v>
      </c>
      <c r="M268" s="561">
        <f t="shared" ref="M268:M280" si="307">I268*L268</f>
        <v>0</v>
      </c>
      <c r="N268" s="564">
        <v>1</v>
      </c>
      <c r="O268" s="561">
        <f t="shared" ref="O268:O280" si="308">M268*N268</f>
        <v>0</v>
      </c>
      <c r="P268" s="561">
        <f t="shared" ref="P268:P280" si="309">(M268+O268)*0.15</f>
        <v>0</v>
      </c>
      <c r="Q268" s="565">
        <f t="shared" ref="Q268:Q280" si="310">M268+O268+P268</f>
        <v>0</v>
      </c>
      <c r="R268" s="566">
        <f t="shared" ref="R268:R280" si="311">Q268*$R$1</f>
        <v>0</v>
      </c>
      <c r="S268" s="566">
        <f t="shared" ref="S268:S280" si="312">(Q268+R268)*$S$1</f>
        <v>0</v>
      </c>
      <c r="T268" s="566">
        <f>Q268+R268+S268</f>
        <v>0</v>
      </c>
      <c r="U268" s="2028">
        <f t="shared" si="252"/>
        <v>0</v>
      </c>
      <c r="V268" s="1357"/>
      <c r="W268" s="1357"/>
      <c r="X268" s="1357"/>
      <c r="Y268" s="1357"/>
      <c r="AD268" s="2141">
        <f t="shared" si="293"/>
        <v>2.6</v>
      </c>
      <c r="AE268" s="2142" t="str">
        <f t="shared" si="266"/>
        <v/>
      </c>
      <c r="AG268" s="2118" t="s">
        <v>1816</v>
      </c>
    </row>
    <row r="269" spans="1:33" ht="25.5" hidden="1" outlineLevel="3" x14ac:dyDescent="0.2">
      <c r="A269" s="1360">
        <f>A268+1</f>
        <v>730</v>
      </c>
      <c r="B269" s="571" t="s">
        <v>541</v>
      </c>
      <c r="C269" s="532" t="s">
        <v>1079</v>
      </c>
      <c r="D269" s="2154">
        <v>4</v>
      </c>
      <c r="E269" s="574" t="s">
        <v>502</v>
      </c>
      <c r="F269" s="2154" t="s">
        <v>312</v>
      </c>
      <c r="G269" s="2182">
        <v>1.83E-2</v>
      </c>
      <c r="H269" s="164">
        <f>SUM(H271:H280)*3</f>
        <v>0</v>
      </c>
      <c r="I269" s="1359">
        <f t="shared" si="283"/>
        <v>0</v>
      </c>
      <c r="J269" s="562" t="str">
        <f t="shared" si="305"/>
        <v>0:0:00</v>
      </c>
      <c r="K269" s="563">
        <v>1000</v>
      </c>
      <c r="L269" s="2127">
        <f t="shared" si="306"/>
        <v>95.15</v>
      </c>
      <c r="M269" s="561">
        <f t="shared" si="307"/>
        <v>0</v>
      </c>
      <c r="N269" s="564">
        <v>1</v>
      </c>
      <c r="O269" s="561">
        <f t="shared" si="308"/>
        <v>0</v>
      </c>
      <c r="P269" s="561">
        <f t="shared" si="309"/>
        <v>0</v>
      </c>
      <c r="Q269" s="565">
        <f t="shared" si="310"/>
        <v>0</v>
      </c>
      <c r="R269" s="566">
        <f t="shared" si="311"/>
        <v>0</v>
      </c>
      <c r="S269" s="566">
        <f t="shared" si="312"/>
        <v>0</v>
      </c>
      <c r="T269" s="566">
        <f t="shared" ref="T269:T280" si="313">Q269+R269+S269</f>
        <v>0</v>
      </c>
      <c r="U269" s="2028">
        <f t="shared" si="252"/>
        <v>0</v>
      </c>
      <c r="V269" s="1357"/>
      <c r="W269" s="1357"/>
      <c r="X269" s="1357"/>
      <c r="Y269" s="1357"/>
      <c r="AD269" s="2141">
        <f t="shared" si="293"/>
        <v>2.6</v>
      </c>
      <c r="AE269" s="2142" t="str">
        <f t="shared" si="266"/>
        <v/>
      </c>
      <c r="AG269" s="2118" t="s">
        <v>1816</v>
      </c>
    </row>
    <row r="270" spans="1:33" ht="25.5" hidden="1" outlineLevel="3" x14ac:dyDescent="0.2">
      <c r="A270" s="1360">
        <f t="shared" ref="A270:A280" si="314">A269+1</f>
        <v>731</v>
      </c>
      <c r="B270" s="572" t="s">
        <v>542</v>
      </c>
      <c r="C270" s="532" t="s">
        <v>1079</v>
      </c>
      <c r="D270" s="2154">
        <v>4</v>
      </c>
      <c r="E270" s="574" t="s">
        <v>502</v>
      </c>
      <c r="F270" s="2154" t="s">
        <v>312</v>
      </c>
      <c r="G270" s="2182">
        <v>6.6600000000000006E-2</v>
      </c>
      <c r="H270" s="164"/>
      <c r="I270" s="1359">
        <f t="shared" si="283"/>
        <v>0</v>
      </c>
      <c r="J270" s="562" t="str">
        <f t="shared" si="305"/>
        <v>0:0:00</v>
      </c>
      <c r="K270" s="563">
        <v>1000</v>
      </c>
      <c r="L270" s="2127">
        <f t="shared" si="306"/>
        <v>95.15</v>
      </c>
      <c r="M270" s="561">
        <f t="shared" si="307"/>
        <v>0</v>
      </c>
      <c r="N270" s="564">
        <v>1</v>
      </c>
      <c r="O270" s="561">
        <f t="shared" si="308"/>
        <v>0</v>
      </c>
      <c r="P270" s="561">
        <f t="shared" si="309"/>
        <v>0</v>
      </c>
      <c r="Q270" s="565">
        <f t="shared" si="310"/>
        <v>0</v>
      </c>
      <c r="R270" s="566">
        <f t="shared" si="311"/>
        <v>0</v>
      </c>
      <c r="S270" s="566">
        <f t="shared" si="312"/>
        <v>0</v>
      </c>
      <c r="T270" s="566">
        <f t="shared" si="313"/>
        <v>0</v>
      </c>
      <c r="U270" s="2028">
        <f t="shared" si="252"/>
        <v>0</v>
      </c>
      <c r="V270" s="1357"/>
      <c r="W270" s="1357"/>
      <c r="X270" s="1357"/>
      <c r="Y270" s="1357"/>
      <c r="AD270" s="2141">
        <f t="shared" si="293"/>
        <v>2.6</v>
      </c>
      <c r="AE270" s="2142" t="str">
        <f t="shared" si="266"/>
        <v/>
      </c>
      <c r="AG270" s="2118" t="s">
        <v>1816</v>
      </c>
    </row>
    <row r="271" spans="1:33" ht="25.5" hidden="1" outlineLevel="3" x14ac:dyDescent="0.2">
      <c r="A271" s="1360">
        <f t="shared" si="314"/>
        <v>732</v>
      </c>
      <c r="B271" s="573" t="s">
        <v>543</v>
      </c>
      <c r="C271" s="532" t="s">
        <v>1079</v>
      </c>
      <c r="D271" s="2154">
        <v>4</v>
      </c>
      <c r="E271" s="574" t="s">
        <v>502</v>
      </c>
      <c r="F271" s="2154" t="s">
        <v>312</v>
      </c>
      <c r="G271" s="2182">
        <v>8.5000000000000006E-2</v>
      </c>
      <c r="H271" s="164"/>
      <c r="I271" s="1359">
        <f t="shared" si="283"/>
        <v>0</v>
      </c>
      <c r="J271" s="562" t="str">
        <f t="shared" si="305"/>
        <v>0:0:00</v>
      </c>
      <c r="K271" s="563">
        <v>1000</v>
      </c>
      <c r="L271" s="2127">
        <f t="shared" si="306"/>
        <v>95.15</v>
      </c>
      <c r="M271" s="561">
        <f t="shared" si="307"/>
        <v>0</v>
      </c>
      <c r="N271" s="564">
        <v>1</v>
      </c>
      <c r="O271" s="561">
        <f t="shared" si="308"/>
        <v>0</v>
      </c>
      <c r="P271" s="561">
        <f t="shared" si="309"/>
        <v>0</v>
      </c>
      <c r="Q271" s="565">
        <f t="shared" si="310"/>
        <v>0</v>
      </c>
      <c r="R271" s="566">
        <f t="shared" si="311"/>
        <v>0</v>
      </c>
      <c r="S271" s="566">
        <f t="shared" si="312"/>
        <v>0</v>
      </c>
      <c r="T271" s="566">
        <f t="shared" si="313"/>
        <v>0</v>
      </c>
      <c r="U271" s="2028">
        <f t="shared" si="252"/>
        <v>0</v>
      </c>
      <c r="V271" s="1357"/>
      <c r="W271" s="1357"/>
      <c r="X271" s="1357"/>
      <c r="Y271" s="1357"/>
      <c r="AD271" s="2141">
        <f t="shared" si="293"/>
        <v>2.6</v>
      </c>
      <c r="AE271" s="2142" t="str">
        <f t="shared" si="266"/>
        <v/>
      </c>
      <c r="AG271" s="2118" t="s">
        <v>1816</v>
      </c>
    </row>
    <row r="272" spans="1:33" ht="25.5" hidden="1" outlineLevel="3" x14ac:dyDescent="0.2">
      <c r="A272" s="1360">
        <f t="shared" si="314"/>
        <v>733</v>
      </c>
      <c r="B272" s="573" t="s">
        <v>544</v>
      </c>
      <c r="C272" s="532" t="s">
        <v>1079</v>
      </c>
      <c r="D272" s="2154">
        <v>4</v>
      </c>
      <c r="E272" s="574" t="s">
        <v>502</v>
      </c>
      <c r="F272" s="2154" t="s">
        <v>312</v>
      </c>
      <c r="G272" s="2182">
        <v>0.13170000000000001</v>
      </c>
      <c r="H272" s="164"/>
      <c r="I272" s="1359">
        <f t="shared" si="283"/>
        <v>0</v>
      </c>
      <c r="J272" s="562" t="str">
        <f t="shared" si="305"/>
        <v>0:0:00</v>
      </c>
      <c r="K272" s="563">
        <v>1000</v>
      </c>
      <c r="L272" s="2127">
        <f t="shared" si="306"/>
        <v>95.15</v>
      </c>
      <c r="M272" s="561">
        <f t="shared" si="307"/>
        <v>0</v>
      </c>
      <c r="N272" s="564">
        <v>1</v>
      </c>
      <c r="O272" s="561">
        <f t="shared" si="308"/>
        <v>0</v>
      </c>
      <c r="P272" s="561">
        <f t="shared" si="309"/>
        <v>0</v>
      </c>
      <c r="Q272" s="565">
        <f t="shared" si="310"/>
        <v>0</v>
      </c>
      <c r="R272" s="566">
        <f t="shared" si="311"/>
        <v>0</v>
      </c>
      <c r="S272" s="566">
        <f t="shared" si="312"/>
        <v>0</v>
      </c>
      <c r="T272" s="566">
        <f t="shared" si="313"/>
        <v>0</v>
      </c>
      <c r="U272" s="2028">
        <f t="shared" si="252"/>
        <v>0</v>
      </c>
      <c r="V272" s="1357"/>
      <c r="W272" s="1357"/>
      <c r="X272" s="1357"/>
      <c r="Y272" s="1357"/>
      <c r="AD272" s="2141">
        <f t="shared" si="293"/>
        <v>2.6</v>
      </c>
      <c r="AE272" s="2142" t="str">
        <f t="shared" si="266"/>
        <v/>
      </c>
      <c r="AG272" s="2118" t="s">
        <v>1816</v>
      </c>
    </row>
    <row r="273" spans="1:33" ht="25.5" hidden="1" outlineLevel="3" x14ac:dyDescent="0.2">
      <c r="A273" s="1360">
        <f t="shared" si="314"/>
        <v>734</v>
      </c>
      <c r="B273" s="573" t="s">
        <v>545</v>
      </c>
      <c r="C273" s="532" t="s">
        <v>1079</v>
      </c>
      <c r="D273" s="2154">
        <v>4</v>
      </c>
      <c r="E273" s="574" t="s">
        <v>502</v>
      </c>
      <c r="F273" s="2154" t="s">
        <v>312</v>
      </c>
      <c r="G273" s="2182">
        <v>0.16500000000000001</v>
      </c>
      <c r="H273" s="164"/>
      <c r="I273" s="1359">
        <f t="shared" si="283"/>
        <v>0</v>
      </c>
      <c r="J273" s="562" t="str">
        <f t="shared" si="305"/>
        <v>0:0:00</v>
      </c>
      <c r="K273" s="563">
        <v>1000</v>
      </c>
      <c r="L273" s="2127">
        <f t="shared" si="306"/>
        <v>95.15</v>
      </c>
      <c r="M273" s="561">
        <f t="shared" si="307"/>
        <v>0</v>
      </c>
      <c r="N273" s="564">
        <v>1</v>
      </c>
      <c r="O273" s="561">
        <f t="shared" si="308"/>
        <v>0</v>
      </c>
      <c r="P273" s="561">
        <f t="shared" si="309"/>
        <v>0</v>
      </c>
      <c r="Q273" s="565">
        <f t="shared" si="310"/>
        <v>0</v>
      </c>
      <c r="R273" s="566">
        <f t="shared" si="311"/>
        <v>0</v>
      </c>
      <c r="S273" s="566">
        <f t="shared" si="312"/>
        <v>0</v>
      </c>
      <c r="T273" s="566">
        <f t="shared" si="313"/>
        <v>0</v>
      </c>
      <c r="U273" s="2028">
        <f t="shared" si="252"/>
        <v>0</v>
      </c>
      <c r="V273" s="1357"/>
      <c r="W273" s="1357"/>
      <c r="X273" s="1357"/>
      <c r="Y273" s="1357"/>
      <c r="AD273" s="2141">
        <f t="shared" si="293"/>
        <v>2.6</v>
      </c>
      <c r="AE273" s="2142" t="str">
        <f t="shared" si="266"/>
        <v/>
      </c>
      <c r="AG273" s="2118" t="s">
        <v>1816</v>
      </c>
    </row>
    <row r="274" spans="1:33" ht="25.5" hidden="1" outlineLevel="3" x14ac:dyDescent="0.2">
      <c r="A274" s="1360">
        <f t="shared" si="314"/>
        <v>735</v>
      </c>
      <c r="B274" s="573" t="s">
        <v>546</v>
      </c>
      <c r="C274" s="532" t="s">
        <v>1079</v>
      </c>
      <c r="D274" s="2154">
        <v>4</v>
      </c>
      <c r="E274" s="574" t="s">
        <v>502</v>
      </c>
      <c r="F274" s="2154" t="s">
        <v>312</v>
      </c>
      <c r="G274" s="2182">
        <v>0.2</v>
      </c>
      <c r="H274" s="164"/>
      <c r="I274" s="1359">
        <f t="shared" si="283"/>
        <v>0</v>
      </c>
      <c r="J274" s="562" t="str">
        <f t="shared" si="305"/>
        <v>0:0:00</v>
      </c>
      <c r="K274" s="563">
        <v>1000</v>
      </c>
      <c r="L274" s="2127">
        <f t="shared" si="306"/>
        <v>95.15</v>
      </c>
      <c r="M274" s="561">
        <f t="shared" si="307"/>
        <v>0</v>
      </c>
      <c r="N274" s="564">
        <v>1</v>
      </c>
      <c r="O274" s="561">
        <f t="shared" si="308"/>
        <v>0</v>
      </c>
      <c r="P274" s="561">
        <f t="shared" si="309"/>
        <v>0</v>
      </c>
      <c r="Q274" s="565">
        <f t="shared" si="310"/>
        <v>0</v>
      </c>
      <c r="R274" s="566">
        <f t="shared" si="311"/>
        <v>0</v>
      </c>
      <c r="S274" s="566">
        <f t="shared" si="312"/>
        <v>0</v>
      </c>
      <c r="T274" s="566">
        <f t="shared" si="313"/>
        <v>0</v>
      </c>
      <c r="U274" s="2028">
        <f t="shared" si="252"/>
        <v>0</v>
      </c>
      <c r="V274" s="1357"/>
      <c r="W274" s="1357"/>
      <c r="X274" s="1357"/>
      <c r="Y274" s="1357"/>
      <c r="AD274" s="2141">
        <f t="shared" si="293"/>
        <v>2.6</v>
      </c>
      <c r="AE274" s="2142" t="str">
        <f t="shared" si="266"/>
        <v/>
      </c>
      <c r="AG274" s="2118" t="s">
        <v>1816</v>
      </c>
    </row>
    <row r="275" spans="1:33" ht="25.5" hidden="1" outlineLevel="3" x14ac:dyDescent="0.2">
      <c r="A275" s="1360">
        <f t="shared" si="314"/>
        <v>736</v>
      </c>
      <c r="B275" s="573" t="s">
        <v>547</v>
      </c>
      <c r="C275" s="532" t="s">
        <v>1079</v>
      </c>
      <c r="D275" s="2154">
        <v>4</v>
      </c>
      <c r="E275" s="574" t="s">
        <v>502</v>
      </c>
      <c r="F275" s="2154" t="s">
        <v>312</v>
      </c>
      <c r="G275" s="2182">
        <v>0.2283</v>
      </c>
      <c r="H275" s="164"/>
      <c r="I275" s="1359">
        <f t="shared" si="283"/>
        <v>0</v>
      </c>
      <c r="J275" s="562" t="str">
        <f t="shared" si="305"/>
        <v>0:0:00</v>
      </c>
      <c r="K275" s="563">
        <v>1000</v>
      </c>
      <c r="L275" s="2127">
        <f t="shared" si="306"/>
        <v>95.15</v>
      </c>
      <c r="M275" s="561">
        <f t="shared" si="307"/>
        <v>0</v>
      </c>
      <c r="N275" s="564">
        <v>1</v>
      </c>
      <c r="O275" s="561">
        <f t="shared" si="308"/>
        <v>0</v>
      </c>
      <c r="P275" s="561">
        <f t="shared" si="309"/>
        <v>0</v>
      </c>
      <c r="Q275" s="565">
        <f t="shared" si="310"/>
        <v>0</v>
      </c>
      <c r="R275" s="566">
        <f t="shared" si="311"/>
        <v>0</v>
      </c>
      <c r="S275" s="566">
        <f t="shared" si="312"/>
        <v>0</v>
      </c>
      <c r="T275" s="566">
        <f t="shared" si="313"/>
        <v>0</v>
      </c>
      <c r="U275" s="2028">
        <f t="shared" si="252"/>
        <v>0</v>
      </c>
      <c r="V275" s="1357"/>
      <c r="W275" s="1357"/>
      <c r="X275" s="1357"/>
      <c r="Y275" s="1357"/>
      <c r="AD275" s="2141">
        <f t="shared" si="293"/>
        <v>2.6</v>
      </c>
      <c r="AE275" s="2142" t="str">
        <f t="shared" si="266"/>
        <v/>
      </c>
      <c r="AG275" s="2118" t="s">
        <v>1816</v>
      </c>
    </row>
    <row r="276" spans="1:33" ht="25.5" hidden="1" outlineLevel="3" x14ac:dyDescent="0.2">
      <c r="A276" s="1360">
        <f t="shared" si="314"/>
        <v>737</v>
      </c>
      <c r="B276" s="573" t="s">
        <v>548</v>
      </c>
      <c r="C276" s="532" t="s">
        <v>1079</v>
      </c>
      <c r="D276" s="2154">
        <v>4</v>
      </c>
      <c r="E276" s="574" t="s">
        <v>502</v>
      </c>
      <c r="F276" s="2154" t="s">
        <v>312</v>
      </c>
      <c r="G276" s="2182">
        <v>0.30830000000000002</v>
      </c>
      <c r="H276" s="164"/>
      <c r="I276" s="1359">
        <f t="shared" si="283"/>
        <v>0</v>
      </c>
      <c r="J276" s="562" t="str">
        <f t="shared" si="305"/>
        <v>0:0:00</v>
      </c>
      <c r="K276" s="563">
        <v>1000</v>
      </c>
      <c r="L276" s="2127">
        <f t="shared" si="306"/>
        <v>95.15</v>
      </c>
      <c r="M276" s="561">
        <f t="shared" si="307"/>
        <v>0</v>
      </c>
      <c r="N276" s="564">
        <v>1</v>
      </c>
      <c r="O276" s="561">
        <f t="shared" si="308"/>
        <v>0</v>
      </c>
      <c r="P276" s="561">
        <f t="shared" si="309"/>
        <v>0</v>
      </c>
      <c r="Q276" s="565">
        <f t="shared" si="310"/>
        <v>0</v>
      </c>
      <c r="R276" s="566">
        <f t="shared" si="311"/>
        <v>0</v>
      </c>
      <c r="S276" s="566">
        <f t="shared" si="312"/>
        <v>0</v>
      </c>
      <c r="T276" s="566">
        <f t="shared" si="313"/>
        <v>0</v>
      </c>
      <c r="U276" s="2028">
        <f t="shared" si="252"/>
        <v>0</v>
      </c>
      <c r="V276" s="1357"/>
      <c r="W276" s="1357"/>
      <c r="X276" s="1357"/>
      <c r="Y276" s="1357"/>
      <c r="AD276" s="2141">
        <f t="shared" si="293"/>
        <v>2.6</v>
      </c>
      <c r="AE276" s="2142" t="str">
        <f t="shared" si="266"/>
        <v/>
      </c>
      <c r="AG276" s="2118" t="s">
        <v>1816</v>
      </c>
    </row>
    <row r="277" spans="1:33" ht="25.5" hidden="1" outlineLevel="3" x14ac:dyDescent="0.2">
      <c r="A277" s="1360">
        <f t="shared" si="314"/>
        <v>738</v>
      </c>
      <c r="B277" s="573" t="s">
        <v>549</v>
      </c>
      <c r="C277" s="532" t="s">
        <v>1079</v>
      </c>
      <c r="D277" s="2154">
        <v>4</v>
      </c>
      <c r="E277" s="574" t="s">
        <v>502</v>
      </c>
      <c r="F277" s="2154" t="s">
        <v>312</v>
      </c>
      <c r="G277" s="2182">
        <v>0.36170000000000002</v>
      </c>
      <c r="H277" s="164"/>
      <c r="I277" s="1359">
        <f t="shared" si="283"/>
        <v>0</v>
      </c>
      <c r="J277" s="562" t="str">
        <f t="shared" si="305"/>
        <v>0:0:00</v>
      </c>
      <c r="K277" s="563">
        <v>1000</v>
      </c>
      <c r="L277" s="2127">
        <f t="shared" si="306"/>
        <v>95.15</v>
      </c>
      <c r="M277" s="561">
        <f t="shared" si="307"/>
        <v>0</v>
      </c>
      <c r="N277" s="564">
        <v>1</v>
      </c>
      <c r="O277" s="561">
        <f t="shared" si="308"/>
        <v>0</v>
      </c>
      <c r="P277" s="561">
        <f t="shared" si="309"/>
        <v>0</v>
      </c>
      <c r="Q277" s="565">
        <f t="shared" si="310"/>
        <v>0</v>
      </c>
      <c r="R277" s="566">
        <f t="shared" si="311"/>
        <v>0</v>
      </c>
      <c r="S277" s="566">
        <f t="shared" si="312"/>
        <v>0</v>
      </c>
      <c r="T277" s="566">
        <f t="shared" si="313"/>
        <v>0</v>
      </c>
      <c r="U277" s="2028">
        <f t="shared" si="252"/>
        <v>0</v>
      </c>
      <c r="V277" s="1357"/>
      <c r="W277" s="1357"/>
      <c r="X277" s="1357"/>
      <c r="Y277" s="1357"/>
      <c r="AD277" s="2141">
        <f t="shared" si="293"/>
        <v>2.6</v>
      </c>
      <c r="AE277" s="2142" t="str">
        <f t="shared" si="266"/>
        <v/>
      </c>
      <c r="AG277" s="2118" t="s">
        <v>1816</v>
      </c>
    </row>
    <row r="278" spans="1:33" ht="25.5" hidden="1" outlineLevel="3" x14ac:dyDescent="0.2">
      <c r="A278" s="1360">
        <f t="shared" si="314"/>
        <v>739</v>
      </c>
      <c r="B278" s="573" t="s">
        <v>550</v>
      </c>
      <c r="C278" s="532" t="s">
        <v>1079</v>
      </c>
      <c r="D278" s="2154">
        <v>4</v>
      </c>
      <c r="E278" s="574" t="s">
        <v>502</v>
      </c>
      <c r="F278" s="2154" t="s">
        <v>312</v>
      </c>
      <c r="G278" s="2182">
        <v>0.44169999999999998</v>
      </c>
      <c r="H278" s="164"/>
      <c r="I278" s="1359">
        <f t="shared" si="283"/>
        <v>0</v>
      </c>
      <c r="J278" s="562" t="str">
        <f t="shared" si="305"/>
        <v>0:0:00</v>
      </c>
      <c r="K278" s="563">
        <v>1000</v>
      </c>
      <c r="L278" s="2127">
        <f t="shared" si="306"/>
        <v>95.15</v>
      </c>
      <c r="M278" s="561">
        <f t="shared" si="307"/>
        <v>0</v>
      </c>
      <c r="N278" s="564">
        <v>1</v>
      </c>
      <c r="O278" s="561">
        <f t="shared" si="308"/>
        <v>0</v>
      </c>
      <c r="P278" s="561">
        <f t="shared" si="309"/>
        <v>0</v>
      </c>
      <c r="Q278" s="565">
        <f t="shared" si="310"/>
        <v>0</v>
      </c>
      <c r="R278" s="566">
        <f t="shared" si="311"/>
        <v>0</v>
      </c>
      <c r="S278" s="566">
        <f t="shared" si="312"/>
        <v>0</v>
      </c>
      <c r="T278" s="566">
        <f t="shared" si="313"/>
        <v>0</v>
      </c>
      <c r="U278" s="2028">
        <f t="shared" si="252"/>
        <v>0</v>
      </c>
      <c r="V278" s="1357"/>
      <c r="W278" s="1357"/>
      <c r="X278" s="1357"/>
      <c r="Y278" s="1357"/>
      <c r="AD278" s="2141">
        <f t="shared" si="293"/>
        <v>2.6</v>
      </c>
      <c r="AE278" s="2142" t="str">
        <f t="shared" si="266"/>
        <v/>
      </c>
      <c r="AG278" s="2118" t="s">
        <v>1816</v>
      </c>
    </row>
    <row r="279" spans="1:33" ht="25.5" hidden="1" outlineLevel="3" x14ac:dyDescent="0.2">
      <c r="A279" s="1360">
        <f t="shared" si="314"/>
        <v>740</v>
      </c>
      <c r="B279" s="573" t="s">
        <v>551</v>
      </c>
      <c r="C279" s="532" t="s">
        <v>1079</v>
      </c>
      <c r="D279" s="2154">
        <v>4</v>
      </c>
      <c r="E279" s="574" t="s">
        <v>502</v>
      </c>
      <c r="F279" s="2154" t="s">
        <v>312</v>
      </c>
      <c r="G279" s="2182">
        <v>0.55669999999999997</v>
      </c>
      <c r="H279" s="164"/>
      <c r="I279" s="1359">
        <f t="shared" si="283"/>
        <v>0</v>
      </c>
      <c r="J279" s="562" t="str">
        <f t="shared" si="305"/>
        <v>0:0:00</v>
      </c>
      <c r="K279" s="563">
        <v>1000</v>
      </c>
      <c r="L279" s="2127">
        <f t="shared" si="306"/>
        <v>95.15</v>
      </c>
      <c r="M279" s="561">
        <f t="shared" si="307"/>
        <v>0</v>
      </c>
      <c r="N279" s="564">
        <v>1</v>
      </c>
      <c r="O279" s="561">
        <f t="shared" si="308"/>
        <v>0</v>
      </c>
      <c r="P279" s="561">
        <f t="shared" si="309"/>
        <v>0</v>
      </c>
      <c r="Q279" s="565">
        <f t="shared" si="310"/>
        <v>0</v>
      </c>
      <c r="R279" s="566">
        <f t="shared" si="311"/>
        <v>0</v>
      </c>
      <c r="S279" s="566">
        <f t="shared" si="312"/>
        <v>0</v>
      </c>
      <c r="T279" s="566">
        <f t="shared" si="313"/>
        <v>0</v>
      </c>
      <c r="U279" s="2028">
        <f t="shared" ref="U279:U342" si="315">IF(T279&gt;0,1,0)</f>
        <v>0</v>
      </c>
      <c r="V279" s="1357"/>
      <c r="W279" s="1357"/>
      <c r="X279" s="1357"/>
      <c r="Y279" s="1357"/>
      <c r="AD279" s="2141">
        <f t="shared" si="293"/>
        <v>2.6</v>
      </c>
      <c r="AE279" s="2142" t="str">
        <f t="shared" si="266"/>
        <v/>
      </c>
      <c r="AG279" s="2118" t="s">
        <v>1816</v>
      </c>
    </row>
    <row r="280" spans="1:33" ht="25.5" hidden="1" outlineLevel="3" x14ac:dyDescent="0.2">
      <c r="A280" s="1360">
        <f t="shared" si="314"/>
        <v>741</v>
      </c>
      <c r="B280" s="573" t="s">
        <v>552</v>
      </c>
      <c r="C280" s="532" t="s">
        <v>1079</v>
      </c>
      <c r="D280" s="2154">
        <v>4</v>
      </c>
      <c r="E280" s="574" t="s">
        <v>502</v>
      </c>
      <c r="F280" s="2154" t="s">
        <v>312</v>
      </c>
      <c r="G280" s="2182">
        <v>0.7</v>
      </c>
      <c r="H280" s="164"/>
      <c r="I280" s="1359">
        <f t="shared" si="283"/>
        <v>0</v>
      </c>
      <c r="J280" s="562" t="str">
        <f t="shared" si="305"/>
        <v>0:0:00</v>
      </c>
      <c r="K280" s="563">
        <v>1000</v>
      </c>
      <c r="L280" s="2127">
        <f t="shared" si="306"/>
        <v>95.15</v>
      </c>
      <c r="M280" s="561">
        <f t="shared" si="307"/>
        <v>0</v>
      </c>
      <c r="N280" s="564">
        <v>1</v>
      </c>
      <c r="O280" s="561">
        <f t="shared" si="308"/>
        <v>0</v>
      </c>
      <c r="P280" s="561">
        <f t="shared" si="309"/>
        <v>0</v>
      </c>
      <c r="Q280" s="565">
        <f t="shared" si="310"/>
        <v>0</v>
      </c>
      <c r="R280" s="566">
        <f t="shared" si="311"/>
        <v>0</v>
      </c>
      <c r="S280" s="566">
        <f t="shared" si="312"/>
        <v>0</v>
      </c>
      <c r="T280" s="566">
        <f t="shared" si="313"/>
        <v>0</v>
      </c>
      <c r="U280" s="2028">
        <f t="shared" si="315"/>
        <v>0</v>
      </c>
      <c r="V280" s="1357"/>
      <c r="W280" s="1357"/>
      <c r="X280" s="1357"/>
      <c r="Y280" s="1357"/>
      <c r="AD280" s="2141">
        <f t="shared" si="293"/>
        <v>2.6</v>
      </c>
      <c r="AE280" s="2142" t="str">
        <f t="shared" si="266"/>
        <v/>
      </c>
      <c r="AG280" s="2118" t="s">
        <v>1816</v>
      </c>
    </row>
    <row r="281" spans="1:33" ht="14.25" hidden="1" outlineLevel="2" x14ac:dyDescent="0.2">
      <c r="A281" s="1360"/>
      <c r="B281" s="557" t="s">
        <v>1084</v>
      </c>
      <c r="C281" s="522"/>
      <c r="D281" s="2152"/>
      <c r="E281" s="523" t="s">
        <v>218</v>
      </c>
      <c r="F281" s="2164"/>
      <c r="G281" s="2181"/>
      <c r="H281" s="569">
        <f>SUM(H271:H280)</f>
        <v>0</v>
      </c>
      <c r="I281" s="2043">
        <f>SUM(I282:I294)</f>
        <v>0</v>
      </c>
      <c r="J281" s="524"/>
      <c r="K281" s="524"/>
      <c r="L281" s="526"/>
      <c r="M281" s="524"/>
      <c r="N281" s="524"/>
      <c r="O281" s="524"/>
      <c r="P281" s="524"/>
      <c r="Q281" s="527"/>
      <c r="R281" s="524"/>
      <c r="S281" s="524"/>
      <c r="T281" s="524"/>
      <c r="U281" s="2028">
        <f t="shared" si="315"/>
        <v>0</v>
      </c>
      <c r="V281" s="1357"/>
      <c r="W281" s="1357"/>
      <c r="X281" s="1357"/>
      <c r="Y281" s="1357"/>
      <c r="AD281" s="2141" t="str">
        <f t="shared" si="293"/>
        <v/>
      </c>
      <c r="AE281" s="2142" t="str">
        <f t="shared" si="266"/>
        <v/>
      </c>
      <c r="AG281" s="2118" t="s">
        <v>1816</v>
      </c>
    </row>
    <row r="282" spans="1:33" ht="25.5" hidden="1" outlineLevel="3" x14ac:dyDescent="0.2">
      <c r="A282" s="1360">
        <f>A280+1</f>
        <v>742</v>
      </c>
      <c r="B282" s="572" t="s">
        <v>572</v>
      </c>
      <c r="C282" s="532" t="s">
        <v>1079</v>
      </c>
      <c r="D282" s="2154">
        <v>4</v>
      </c>
      <c r="E282" s="574" t="s">
        <v>502</v>
      </c>
      <c r="F282" s="2154" t="s">
        <v>312</v>
      </c>
      <c r="G282" s="2182">
        <v>0.1235</v>
      </c>
      <c r="H282" s="164"/>
      <c r="I282" s="1359">
        <f t="shared" si="283"/>
        <v>0</v>
      </c>
      <c r="J282" s="562" t="str">
        <f t="shared" ref="J282:J294" si="316">CONCATENATE(TRUNC(I282,0),":",INT((I282-(TRUNC(I282,0)))*60),":","00")</f>
        <v>0:0:00</v>
      </c>
      <c r="K282" s="563">
        <v>1000</v>
      </c>
      <c r="L282" s="2127">
        <f t="shared" ref="L282:L294" si="317">РезкаПодрезка</f>
        <v>95.15</v>
      </c>
      <c r="M282" s="561">
        <f t="shared" ref="M282:M294" si="318">I282*L282</f>
        <v>0</v>
      </c>
      <c r="N282" s="564">
        <v>1</v>
      </c>
      <c r="O282" s="561">
        <f t="shared" ref="O282:O294" si="319">M282*N282</f>
        <v>0</v>
      </c>
      <c r="P282" s="561">
        <f t="shared" ref="P282:P294" si="320">(M282+O282)*0.15</f>
        <v>0</v>
      </c>
      <c r="Q282" s="565">
        <f t="shared" ref="Q282:Q294" si="321">M282+O282+P282</f>
        <v>0</v>
      </c>
      <c r="R282" s="566">
        <f t="shared" ref="R282:R294" si="322">Q282*$R$1</f>
        <v>0</v>
      </c>
      <c r="S282" s="566">
        <f t="shared" ref="S282:S294" si="323">(Q282+R282)*$S$1</f>
        <v>0</v>
      </c>
      <c r="T282" s="566">
        <f>Q282+R282+S282</f>
        <v>0</v>
      </c>
      <c r="U282" s="2028">
        <f t="shared" si="315"/>
        <v>0</v>
      </c>
      <c r="V282" s="1357"/>
      <c r="W282" s="1357"/>
      <c r="X282" s="1357"/>
      <c r="Y282" s="1357"/>
      <c r="AD282" s="2141">
        <f t="shared" si="293"/>
        <v>2.6</v>
      </c>
      <c r="AE282" s="2142" t="str">
        <f t="shared" ref="AE282:AE345" si="324">IF(T282&gt;0,T282*AD282,"")</f>
        <v/>
      </c>
      <c r="AG282" s="2118" t="s">
        <v>1816</v>
      </c>
    </row>
    <row r="283" spans="1:33" ht="25.5" hidden="1" outlineLevel="3" x14ac:dyDescent="0.2">
      <c r="A283" s="1360">
        <f>A282+1</f>
        <v>743</v>
      </c>
      <c r="B283" s="571" t="s">
        <v>573</v>
      </c>
      <c r="C283" s="532" t="s">
        <v>1079</v>
      </c>
      <c r="D283" s="2154">
        <v>4</v>
      </c>
      <c r="E283" s="574" t="s">
        <v>502</v>
      </c>
      <c r="F283" s="2154" t="s">
        <v>312</v>
      </c>
      <c r="G283" s="2182">
        <v>2.3800000000000002E-2</v>
      </c>
      <c r="H283" s="164">
        <f>SUM(H285:H294)*3</f>
        <v>0</v>
      </c>
      <c r="I283" s="1359">
        <f t="shared" si="283"/>
        <v>0</v>
      </c>
      <c r="J283" s="562" t="str">
        <f t="shared" si="316"/>
        <v>0:0:00</v>
      </c>
      <c r="K283" s="563">
        <v>1000</v>
      </c>
      <c r="L283" s="2127">
        <f t="shared" si="317"/>
        <v>95.15</v>
      </c>
      <c r="M283" s="561">
        <f t="shared" si="318"/>
        <v>0</v>
      </c>
      <c r="N283" s="564">
        <v>1</v>
      </c>
      <c r="O283" s="561">
        <f t="shared" si="319"/>
        <v>0</v>
      </c>
      <c r="P283" s="561">
        <f t="shared" si="320"/>
        <v>0</v>
      </c>
      <c r="Q283" s="565">
        <f t="shared" si="321"/>
        <v>0</v>
      </c>
      <c r="R283" s="566">
        <f t="shared" si="322"/>
        <v>0</v>
      </c>
      <c r="S283" s="566">
        <f t="shared" si="323"/>
        <v>0</v>
      </c>
      <c r="T283" s="566">
        <f t="shared" ref="T283:T294" si="325">Q283+R283+S283</f>
        <v>0</v>
      </c>
      <c r="U283" s="2028">
        <f t="shared" si="315"/>
        <v>0</v>
      </c>
      <c r="V283" s="1357"/>
      <c r="W283" s="1357"/>
      <c r="X283" s="1357"/>
      <c r="Y283" s="1357"/>
      <c r="AD283" s="2141">
        <f t="shared" si="293"/>
        <v>2.6</v>
      </c>
      <c r="AE283" s="2142" t="str">
        <f t="shared" si="324"/>
        <v/>
      </c>
      <c r="AG283" s="2118" t="s">
        <v>1816</v>
      </c>
    </row>
    <row r="284" spans="1:33" ht="25.5" hidden="1" outlineLevel="3" x14ac:dyDescent="0.2">
      <c r="A284" s="1360">
        <f t="shared" ref="A284:A294" si="326">A283+1</f>
        <v>744</v>
      </c>
      <c r="B284" s="572" t="s">
        <v>555</v>
      </c>
      <c r="C284" s="532" t="s">
        <v>1079</v>
      </c>
      <c r="D284" s="2154">
        <v>4</v>
      </c>
      <c r="E284" s="574" t="s">
        <v>502</v>
      </c>
      <c r="F284" s="2154" t="s">
        <v>312</v>
      </c>
      <c r="G284" s="2182">
        <v>8.6599999999999996E-2</v>
      </c>
      <c r="H284" s="164"/>
      <c r="I284" s="1359">
        <f t="shared" si="283"/>
        <v>0</v>
      </c>
      <c r="J284" s="562" t="str">
        <f t="shared" si="316"/>
        <v>0:0:00</v>
      </c>
      <c r="K284" s="563">
        <v>1000</v>
      </c>
      <c r="L284" s="2127">
        <f t="shared" si="317"/>
        <v>95.15</v>
      </c>
      <c r="M284" s="561">
        <f t="shared" si="318"/>
        <v>0</v>
      </c>
      <c r="N284" s="564">
        <v>1</v>
      </c>
      <c r="O284" s="561">
        <f t="shared" si="319"/>
        <v>0</v>
      </c>
      <c r="P284" s="561">
        <f t="shared" si="320"/>
        <v>0</v>
      </c>
      <c r="Q284" s="565">
        <f t="shared" si="321"/>
        <v>0</v>
      </c>
      <c r="R284" s="566">
        <f t="shared" si="322"/>
        <v>0</v>
      </c>
      <c r="S284" s="566">
        <f t="shared" si="323"/>
        <v>0</v>
      </c>
      <c r="T284" s="566">
        <f t="shared" si="325"/>
        <v>0</v>
      </c>
      <c r="U284" s="2028">
        <f t="shared" si="315"/>
        <v>0</v>
      </c>
      <c r="V284" s="1357"/>
      <c r="W284" s="1357"/>
      <c r="X284" s="1357"/>
      <c r="Y284" s="1357"/>
      <c r="AD284" s="2141">
        <f t="shared" si="293"/>
        <v>2.6</v>
      </c>
      <c r="AE284" s="2142" t="str">
        <f t="shared" si="324"/>
        <v/>
      </c>
      <c r="AG284" s="2118" t="s">
        <v>1816</v>
      </c>
    </row>
    <row r="285" spans="1:33" ht="25.5" hidden="1" outlineLevel="3" x14ac:dyDescent="0.2">
      <c r="A285" s="1360">
        <f t="shared" si="326"/>
        <v>745</v>
      </c>
      <c r="B285" s="573" t="s">
        <v>556</v>
      </c>
      <c r="C285" s="532" t="s">
        <v>1079</v>
      </c>
      <c r="D285" s="2154">
        <v>4</v>
      </c>
      <c r="E285" s="574" t="s">
        <v>502</v>
      </c>
      <c r="F285" s="2154" t="s">
        <v>312</v>
      </c>
      <c r="G285" s="2182">
        <v>0.1105</v>
      </c>
      <c r="H285" s="164"/>
      <c r="I285" s="1359">
        <f t="shared" si="283"/>
        <v>0</v>
      </c>
      <c r="J285" s="562" t="str">
        <f t="shared" si="316"/>
        <v>0:0:00</v>
      </c>
      <c r="K285" s="563">
        <v>1000</v>
      </c>
      <c r="L285" s="2127">
        <f t="shared" si="317"/>
        <v>95.15</v>
      </c>
      <c r="M285" s="561">
        <f t="shared" si="318"/>
        <v>0</v>
      </c>
      <c r="N285" s="564">
        <v>1</v>
      </c>
      <c r="O285" s="561">
        <f t="shared" si="319"/>
        <v>0</v>
      </c>
      <c r="P285" s="561">
        <f t="shared" si="320"/>
        <v>0</v>
      </c>
      <c r="Q285" s="565">
        <f t="shared" si="321"/>
        <v>0</v>
      </c>
      <c r="R285" s="566">
        <f t="shared" si="322"/>
        <v>0</v>
      </c>
      <c r="S285" s="566">
        <f t="shared" si="323"/>
        <v>0</v>
      </c>
      <c r="T285" s="566">
        <f t="shared" si="325"/>
        <v>0</v>
      </c>
      <c r="U285" s="2028">
        <f t="shared" si="315"/>
        <v>0</v>
      </c>
      <c r="V285" s="1357"/>
      <c r="W285" s="1357"/>
      <c r="X285" s="1357"/>
      <c r="Y285" s="1357"/>
      <c r="AD285" s="2141">
        <f t="shared" si="293"/>
        <v>2.6</v>
      </c>
      <c r="AE285" s="2142" t="str">
        <f t="shared" si="324"/>
        <v/>
      </c>
      <c r="AG285" s="2118" t="s">
        <v>1816</v>
      </c>
    </row>
    <row r="286" spans="1:33" ht="25.5" hidden="1" outlineLevel="3" x14ac:dyDescent="0.2">
      <c r="A286" s="1360">
        <f t="shared" si="326"/>
        <v>746</v>
      </c>
      <c r="B286" s="573" t="s">
        <v>557</v>
      </c>
      <c r="C286" s="532" t="s">
        <v>1079</v>
      </c>
      <c r="D286" s="2154">
        <v>4</v>
      </c>
      <c r="E286" s="574" t="s">
        <v>502</v>
      </c>
      <c r="F286" s="2154" t="s">
        <v>312</v>
      </c>
      <c r="G286" s="2182">
        <v>0.17119999999999999</v>
      </c>
      <c r="H286" s="164"/>
      <c r="I286" s="1359">
        <f t="shared" si="283"/>
        <v>0</v>
      </c>
      <c r="J286" s="562" t="str">
        <f t="shared" si="316"/>
        <v>0:0:00</v>
      </c>
      <c r="K286" s="563">
        <v>1000</v>
      </c>
      <c r="L286" s="2127">
        <f t="shared" si="317"/>
        <v>95.15</v>
      </c>
      <c r="M286" s="561">
        <f t="shared" si="318"/>
        <v>0</v>
      </c>
      <c r="N286" s="564">
        <v>1</v>
      </c>
      <c r="O286" s="561">
        <f t="shared" si="319"/>
        <v>0</v>
      </c>
      <c r="P286" s="561">
        <f t="shared" si="320"/>
        <v>0</v>
      </c>
      <c r="Q286" s="565">
        <f t="shared" si="321"/>
        <v>0</v>
      </c>
      <c r="R286" s="566">
        <f t="shared" si="322"/>
        <v>0</v>
      </c>
      <c r="S286" s="566">
        <f t="shared" si="323"/>
        <v>0</v>
      </c>
      <c r="T286" s="566">
        <f t="shared" si="325"/>
        <v>0</v>
      </c>
      <c r="U286" s="2028">
        <f t="shared" si="315"/>
        <v>0</v>
      </c>
      <c r="V286" s="1357"/>
      <c r="W286" s="1357"/>
      <c r="X286" s="1357"/>
      <c r="Y286" s="1357"/>
      <c r="AD286" s="2141">
        <f t="shared" si="293"/>
        <v>2.6</v>
      </c>
      <c r="AE286" s="2142" t="str">
        <f t="shared" si="324"/>
        <v/>
      </c>
      <c r="AG286" s="2118" t="s">
        <v>1816</v>
      </c>
    </row>
    <row r="287" spans="1:33" ht="25.5" hidden="1" outlineLevel="3" x14ac:dyDescent="0.2">
      <c r="A287" s="1360">
        <f t="shared" si="326"/>
        <v>747</v>
      </c>
      <c r="B287" s="573" t="s">
        <v>558</v>
      </c>
      <c r="C287" s="532" t="s">
        <v>1079</v>
      </c>
      <c r="D287" s="2154">
        <v>4</v>
      </c>
      <c r="E287" s="574" t="s">
        <v>502</v>
      </c>
      <c r="F287" s="2154" t="s">
        <v>312</v>
      </c>
      <c r="G287" s="2182">
        <v>0.2145</v>
      </c>
      <c r="H287" s="164"/>
      <c r="I287" s="1359">
        <f t="shared" si="283"/>
        <v>0</v>
      </c>
      <c r="J287" s="562" t="str">
        <f t="shared" si="316"/>
        <v>0:0:00</v>
      </c>
      <c r="K287" s="563">
        <v>1000</v>
      </c>
      <c r="L287" s="2127">
        <f t="shared" si="317"/>
        <v>95.15</v>
      </c>
      <c r="M287" s="561">
        <f t="shared" si="318"/>
        <v>0</v>
      </c>
      <c r="N287" s="564">
        <v>1</v>
      </c>
      <c r="O287" s="561">
        <f t="shared" si="319"/>
        <v>0</v>
      </c>
      <c r="P287" s="561">
        <f t="shared" si="320"/>
        <v>0</v>
      </c>
      <c r="Q287" s="565">
        <f t="shared" si="321"/>
        <v>0</v>
      </c>
      <c r="R287" s="566">
        <f t="shared" si="322"/>
        <v>0</v>
      </c>
      <c r="S287" s="566">
        <f t="shared" si="323"/>
        <v>0</v>
      </c>
      <c r="T287" s="566">
        <f t="shared" si="325"/>
        <v>0</v>
      </c>
      <c r="U287" s="2028">
        <f t="shared" si="315"/>
        <v>0</v>
      </c>
      <c r="V287" s="1357"/>
      <c r="W287" s="1357"/>
      <c r="X287" s="1357"/>
      <c r="Y287" s="1357"/>
      <c r="AD287" s="2141">
        <f t="shared" si="293"/>
        <v>2.6</v>
      </c>
      <c r="AE287" s="2142" t="str">
        <f t="shared" si="324"/>
        <v/>
      </c>
      <c r="AG287" s="2118" t="s">
        <v>1816</v>
      </c>
    </row>
    <row r="288" spans="1:33" ht="25.5" hidden="1" outlineLevel="3" x14ac:dyDescent="0.2">
      <c r="A288" s="1360">
        <f t="shared" si="326"/>
        <v>748</v>
      </c>
      <c r="B288" s="573" t="s">
        <v>559</v>
      </c>
      <c r="C288" s="532" t="s">
        <v>1079</v>
      </c>
      <c r="D288" s="2154">
        <v>4</v>
      </c>
      <c r="E288" s="574" t="s">
        <v>502</v>
      </c>
      <c r="F288" s="2154" t="s">
        <v>312</v>
      </c>
      <c r="G288" s="2182">
        <v>0.26</v>
      </c>
      <c r="H288" s="164"/>
      <c r="I288" s="1359">
        <f t="shared" si="283"/>
        <v>0</v>
      </c>
      <c r="J288" s="562" t="str">
        <f t="shared" si="316"/>
        <v>0:0:00</v>
      </c>
      <c r="K288" s="563">
        <v>1000</v>
      </c>
      <c r="L288" s="2127">
        <f t="shared" si="317"/>
        <v>95.15</v>
      </c>
      <c r="M288" s="561">
        <f t="shared" si="318"/>
        <v>0</v>
      </c>
      <c r="N288" s="564">
        <v>1</v>
      </c>
      <c r="O288" s="561">
        <f t="shared" si="319"/>
        <v>0</v>
      </c>
      <c r="P288" s="561">
        <f t="shared" si="320"/>
        <v>0</v>
      </c>
      <c r="Q288" s="565">
        <f t="shared" si="321"/>
        <v>0</v>
      </c>
      <c r="R288" s="566">
        <f t="shared" si="322"/>
        <v>0</v>
      </c>
      <c r="S288" s="566">
        <f t="shared" si="323"/>
        <v>0</v>
      </c>
      <c r="T288" s="566">
        <f t="shared" si="325"/>
        <v>0</v>
      </c>
      <c r="U288" s="2028">
        <f t="shared" si="315"/>
        <v>0</v>
      </c>
      <c r="V288" s="1357"/>
      <c r="W288" s="1357"/>
      <c r="X288" s="1357"/>
      <c r="Y288" s="1357"/>
      <c r="AD288" s="2141">
        <f t="shared" si="293"/>
        <v>2.6</v>
      </c>
      <c r="AE288" s="2142" t="str">
        <f t="shared" si="324"/>
        <v/>
      </c>
      <c r="AG288" s="2118" t="s">
        <v>1816</v>
      </c>
    </row>
    <row r="289" spans="1:33" ht="25.5" hidden="1" outlineLevel="3" x14ac:dyDescent="0.2">
      <c r="A289" s="1360">
        <f t="shared" si="326"/>
        <v>749</v>
      </c>
      <c r="B289" s="573" t="s">
        <v>560</v>
      </c>
      <c r="C289" s="532" t="s">
        <v>1079</v>
      </c>
      <c r="D289" s="2154">
        <v>4</v>
      </c>
      <c r="E289" s="574" t="s">
        <v>502</v>
      </c>
      <c r="F289" s="2154" t="s">
        <v>312</v>
      </c>
      <c r="G289" s="2182">
        <v>0.29680000000000001</v>
      </c>
      <c r="H289" s="164"/>
      <c r="I289" s="1359">
        <f t="shared" si="283"/>
        <v>0</v>
      </c>
      <c r="J289" s="562" t="str">
        <f t="shared" si="316"/>
        <v>0:0:00</v>
      </c>
      <c r="K289" s="563">
        <v>1000</v>
      </c>
      <c r="L289" s="2127">
        <f t="shared" si="317"/>
        <v>95.15</v>
      </c>
      <c r="M289" s="561">
        <f t="shared" si="318"/>
        <v>0</v>
      </c>
      <c r="N289" s="564">
        <v>1</v>
      </c>
      <c r="O289" s="561">
        <f t="shared" si="319"/>
        <v>0</v>
      </c>
      <c r="P289" s="561">
        <f t="shared" si="320"/>
        <v>0</v>
      </c>
      <c r="Q289" s="565">
        <f t="shared" si="321"/>
        <v>0</v>
      </c>
      <c r="R289" s="566">
        <f t="shared" si="322"/>
        <v>0</v>
      </c>
      <c r="S289" s="566">
        <f t="shared" si="323"/>
        <v>0</v>
      </c>
      <c r="T289" s="566">
        <f t="shared" si="325"/>
        <v>0</v>
      </c>
      <c r="U289" s="2028">
        <f t="shared" si="315"/>
        <v>0</v>
      </c>
      <c r="V289" s="1357"/>
      <c r="W289" s="1357"/>
      <c r="X289" s="1357"/>
      <c r="Y289" s="1357"/>
      <c r="AD289" s="2141">
        <f t="shared" si="293"/>
        <v>2.6</v>
      </c>
      <c r="AE289" s="2142" t="str">
        <f t="shared" si="324"/>
        <v/>
      </c>
      <c r="AG289" s="2118" t="s">
        <v>1816</v>
      </c>
    </row>
    <row r="290" spans="1:33" ht="25.5" hidden="1" outlineLevel="3" x14ac:dyDescent="0.2">
      <c r="A290" s="1360">
        <f t="shared" si="326"/>
        <v>750</v>
      </c>
      <c r="B290" s="573" t="s">
        <v>561</v>
      </c>
      <c r="C290" s="532" t="s">
        <v>1079</v>
      </c>
      <c r="D290" s="2154">
        <v>4</v>
      </c>
      <c r="E290" s="574" t="s">
        <v>502</v>
      </c>
      <c r="F290" s="2154" t="s">
        <v>312</v>
      </c>
      <c r="G290" s="2182">
        <v>0.40079999999999999</v>
      </c>
      <c r="H290" s="164"/>
      <c r="I290" s="1359">
        <f t="shared" si="283"/>
        <v>0</v>
      </c>
      <c r="J290" s="562" t="str">
        <f t="shared" si="316"/>
        <v>0:0:00</v>
      </c>
      <c r="K290" s="563">
        <v>1000</v>
      </c>
      <c r="L290" s="2127">
        <f t="shared" si="317"/>
        <v>95.15</v>
      </c>
      <c r="M290" s="561">
        <f t="shared" si="318"/>
        <v>0</v>
      </c>
      <c r="N290" s="564">
        <v>1</v>
      </c>
      <c r="O290" s="561">
        <f t="shared" si="319"/>
        <v>0</v>
      </c>
      <c r="P290" s="561">
        <f t="shared" si="320"/>
        <v>0</v>
      </c>
      <c r="Q290" s="565">
        <f t="shared" si="321"/>
        <v>0</v>
      </c>
      <c r="R290" s="566">
        <f t="shared" si="322"/>
        <v>0</v>
      </c>
      <c r="S290" s="566">
        <f t="shared" si="323"/>
        <v>0</v>
      </c>
      <c r="T290" s="566">
        <f t="shared" si="325"/>
        <v>0</v>
      </c>
      <c r="U290" s="2028">
        <f t="shared" si="315"/>
        <v>0</v>
      </c>
      <c r="V290" s="1357"/>
      <c r="W290" s="1357"/>
      <c r="X290" s="1357"/>
      <c r="Y290" s="1357"/>
      <c r="AD290" s="2141">
        <f t="shared" si="293"/>
        <v>2.6</v>
      </c>
      <c r="AE290" s="2142" t="str">
        <f t="shared" si="324"/>
        <v/>
      </c>
      <c r="AG290" s="2118" t="s">
        <v>1816</v>
      </c>
    </row>
    <row r="291" spans="1:33" ht="25.5" hidden="1" outlineLevel="3" x14ac:dyDescent="0.2">
      <c r="A291" s="1360">
        <f t="shared" si="326"/>
        <v>751</v>
      </c>
      <c r="B291" s="573" t="s">
        <v>562</v>
      </c>
      <c r="C291" s="532" t="s">
        <v>1079</v>
      </c>
      <c r="D291" s="2154">
        <v>4</v>
      </c>
      <c r="E291" s="574" t="s">
        <v>502</v>
      </c>
      <c r="F291" s="2154" t="s">
        <v>312</v>
      </c>
      <c r="G291" s="2182">
        <v>0.47020000000000001</v>
      </c>
      <c r="H291" s="164"/>
      <c r="I291" s="1359">
        <f t="shared" si="283"/>
        <v>0</v>
      </c>
      <c r="J291" s="562" t="str">
        <f t="shared" si="316"/>
        <v>0:0:00</v>
      </c>
      <c r="K291" s="563">
        <v>1000</v>
      </c>
      <c r="L291" s="2127">
        <f t="shared" si="317"/>
        <v>95.15</v>
      </c>
      <c r="M291" s="561">
        <f t="shared" si="318"/>
        <v>0</v>
      </c>
      <c r="N291" s="564">
        <v>1</v>
      </c>
      <c r="O291" s="561">
        <f t="shared" si="319"/>
        <v>0</v>
      </c>
      <c r="P291" s="561">
        <f t="shared" si="320"/>
        <v>0</v>
      </c>
      <c r="Q291" s="565">
        <f t="shared" si="321"/>
        <v>0</v>
      </c>
      <c r="R291" s="566">
        <f t="shared" si="322"/>
        <v>0</v>
      </c>
      <c r="S291" s="566">
        <f t="shared" si="323"/>
        <v>0</v>
      </c>
      <c r="T291" s="566">
        <f t="shared" si="325"/>
        <v>0</v>
      </c>
      <c r="U291" s="2028">
        <f t="shared" si="315"/>
        <v>0</v>
      </c>
      <c r="V291" s="1357"/>
      <c r="W291" s="1357"/>
      <c r="X291" s="1357"/>
      <c r="Y291" s="1357"/>
      <c r="AD291" s="2141">
        <f t="shared" si="293"/>
        <v>2.6</v>
      </c>
      <c r="AE291" s="2142" t="str">
        <f t="shared" si="324"/>
        <v/>
      </c>
      <c r="AG291" s="2118" t="s">
        <v>1816</v>
      </c>
    </row>
    <row r="292" spans="1:33" ht="25.5" hidden="1" outlineLevel="3" x14ac:dyDescent="0.2">
      <c r="A292" s="1360">
        <f t="shared" si="326"/>
        <v>752</v>
      </c>
      <c r="B292" s="573" t="s">
        <v>563</v>
      </c>
      <c r="C292" s="532" t="s">
        <v>1079</v>
      </c>
      <c r="D292" s="2154">
        <v>4</v>
      </c>
      <c r="E292" s="574" t="s">
        <v>502</v>
      </c>
      <c r="F292" s="2154" t="s">
        <v>312</v>
      </c>
      <c r="G292" s="2182">
        <v>0.57420000000000004</v>
      </c>
      <c r="H292" s="164"/>
      <c r="I292" s="1359">
        <f t="shared" si="283"/>
        <v>0</v>
      </c>
      <c r="J292" s="562" t="str">
        <f t="shared" si="316"/>
        <v>0:0:00</v>
      </c>
      <c r="K292" s="563">
        <v>1000</v>
      </c>
      <c r="L292" s="2127">
        <f t="shared" si="317"/>
        <v>95.15</v>
      </c>
      <c r="M292" s="561">
        <f t="shared" si="318"/>
        <v>0</v>
      </c>
      <c r="N292" s="564">
        <v>1</v>
      </c>
      <c r="O292" s="561">
        <f t="shared" si="319"/>
        <v>0</v>
      </c>
      <c r="P292" s="561">
        <f t="shared" si="320"/>
        <v>0</v>
      </c>
      <c r="Q292" s="565">
        <f t="shared" si="321"/>
        <v>0</v>
      </c>
      <c r="R292" s="566">
        <f t="shared" si="322"/>
        <v>0</v>
      </c>
      <c r="S292" s="566">
        <f t="shared" si="323"/>
        <v>0</v>
      </c>
      <c r="T292" s="566">
        <f t="shared" si="325"/>
        <v>0</v>
      </c>
      <c r="U292" s="2028">
        <f t="shared" si="315"/>
        <v>0</v>
      </c>
      <c r="V292" s="1357"/>
      <c r="W292" s="1357"/>
      <c r="X292" s="1357"/>
      <c r="Y292" s="1357"/>
      <c r="AD292" s="2141">
        <f t="shared" si="293"/>
        <v>2.6</v>
      </c>
      <c r="AE292" s="2142" t="str">
        <f t="shared" si="324"/>
        <v/>
      </c>
      <c r="AG292" s="2118" t="s">
        <v>1816</v>
      </c>
    </row>
    <row r="293" spans="1:33" ht="25.5" hidden="1" outlineLevel="3" x14ac:dyDescent="0.2">
      <c r="A293" s="1360">
        <f t="shared" si="326"/>
        <v>753</v>
      </c>
      <c r="B293" s="573" t="s">
        <v>564</v>
      </c>
      <c r="C293" s="532" t="s">
        <v>1079</v>
      </c>
      <c r="D293" s="2154">
        <v>4</v>
      </c>
      <c r="E293" s="574" t="s">
        <v>502</v>
      </c>
      <c r="F293" s="2154" t="s">
        <v>312</v>
      </c>
      <c r="G293" s="2182">
        <v>0.72370000000000001</v>
      </c>
      <c r="H293" s="164"/>
      <c r="I293" s="1359">
        <f t="shared" si="283"/>
        <v>0</v>
      </c>
      <c r="J293" s="562" t="str">
        <f t="shared" si="316"/>
        <v>0:0:00</v>
      </c>
      <c r="K293" s="563">
        <v>1000</v>
      </c>
      <c r="L293" s="2127">
        <f t="shared" si="317"/>
        <v>95.15</v>
      </c>
      <c r="M293" s="561">
        <f t="shared" si="318"/>
        <v>0</v>
      </c>
      <c r="N293" s="564">
        <v>1</v>
      </c>
      <c r="O293" s="561">
        <f t="shared" si="319"/>
        <v>0</v>
      </c>
      <c r="P293" s="561">
        <f t="shared" si="320"/>
        <v>0</v>
      </c>
      <c r="Q293" s="565">
        <f t="shared" si="321"/>
        <v>0</v>
      </c>
      <c r="R293" s="566">
        <f t="shared" si="322"/>
        <v>0</v>
      </c>
      <c r="S293" s="566">
        <f t="shared" si="323"/>
        <v>0</v>
      </c>
      <c r="T293" s="566">
        <f t="shared" si="325"/>
        <v>0</v>
      </c>
      <c r="U293" s="2028">
        <f t="shared" si="315"/>
        <v>0</v>
      </c>
      <c r="V293" s="1357"/>
      <c r="W293" s="1357"/>
      <c r="X293" s="1357"/>
      <c r="Y293" s="1357"/>
      <c r="AD293" s="2141">
        <f t="shared" si="293"/>
        <v>2.6</v>
      </c>
      <c r="AE293" s="2142" t="str">
        <f t="shared" si="324"/>
        <v/>
      </c>
      <c r="AG293" s="2118" t="s">
        <v>1816</v>
      </c>
    </row>
    <row r="294" spans="1:33" ht="25.5" hidden="1" outlineLevel="3" x14ac:dyDescent="0.2">
      <c r="A294" s="1360">
        <f t="shared" si="326"/>
        <v>754</v>
      </c>
      <c r="B294" s="573" t="s">
        <v>565</v>
      </c>
      <c r="C294" s="532" t="s">
        <v>1079</v>
      </c>
      <c r="D294" s="2154">
        <v>4</v>
      </c>
      <c r="E294" s="574" t="s">
        <v>502</v>
      </c>
      <c r="F294" s="2154" t="s">
        <v>312</v>
      </c>
      <c r="G294" s="2182">
        <v>0.91</v>
      </c>
      <c r="H294" s="164"/>
      <c r="I294" s="1359">
        <f t="shared" si="283"/>
        <v>0</v>
      </c>
      <c r="J294" s="562" t="str">
        <f t="shared" si="316"/>
        <v>0:0:00</v>
      </c>
      <c r="K294" s="563">
        <v>1000</v>
      </c>
      <c r="L294" s="2127">
        <f t="shared" si="317"/>
        <v>95.15</v>
      </c>
      <c r="M294" s="561">
        <f t="shared" si="318"/>
        <v>0</v>
      </c>
      <c r="N294" s="564">
        <v>1</v>
      </c>
      <c r="O294" s="561">
        <f t="shared" si="319"/>
        <v>0</v>
      </c>
      <c r="P294" s="561">
        <f t="shared" si="320"/>
        <v>0</v>
      </c>
      <c r="Q294" s="565">
        <f t="shared" si="321"/>
        <v>0</v>
      </c>
      <c r="R294" s="566">
        <f t="shared" si="322"/>
        <v>0</v>
      </c>
      <c r="S294" s="566">
        <f t="shared" si="323"/>
        <v>0</v>
      </c>
      <c r="T294" s="566">
        <f t="shared" si="325"/>
        <v>0</v>
      </c>
      <c r="U294" s="2028">
        <f t="shared" si="315"/>
        <v>0</v>
      </c>
      <c r="V294" s="1357"/>
      <c r="W294" s="1357"/>
      <c r="X294" s="1357"/>
      <c r="Y294" s="1357"/>
      <c r="AD294" s="2141">
        <f t="shared" si="293"/>
        <v>2.6</v>
      </c>
      <c r="AE294" s="2142" t="str">
        <f t="shared" si="324"/>
        <v/>
      </c>
      <c r="AG294" s="2118" t="s">
        <v>1816</v>
      </c>
    </row>
    <row r="295" spans="1:33" ht="14.25" hidden="1" outlineLevel="2" x14ac:dyDescent="0.2">
      <c r="A295" s="1360"/>
      <c r="B295" s="557" t="s">
        <v>1086</v>
      </c>
      <c r="C295" s="522"/>
      <c r="D295" s="2152"/>
      <c r="E295" s="523" t="s">
        <v>218</v>
      </c>
      <c r="F295" s="2164"/>
      <c r="G295" s="2181"/>
      <c r="H295" s="569">
        <f>SUM(H285:H294)</f>
        <v>0</v>
      </c>
      <c r="I295" s="2043">
        <f>SUM(I296)</f>
        <v>0</v>
      </c>
      <c r="J295" s="524"/>
      <c r="K295" s="524"/>
      <c r="L295" s="526"/>
      <c r="M295" s="524"/>
      <c r="N295" s="524"/>
      <c r="O295" s="524"/>
      <c r="P295" s="524"/>
      <c r="Q295" s="527"/>
      <c r="R295" s="524"/>
      <c r="S295" s="524"/>
      <c r="T295" s="524"/>
      <c r="U295" s="2028">
        <f t="shared" si="315"/>
        <v>0</v>
      </c>
      <c r="V295" s="1357"/>
      <c r="W295" s="1357"/>
      <c r="X295" s="1357"/>
      <c r="Y295" s="1357"/>
      <c r="AD295" s="2141" t="str">
        <f t="shared" si="293"/>
        <v/>
      </c>
      <c r="AE295" s="2142" t="str">
        <f t="shared" si="324"/>
        <v/>
      </c>
      <c r="AG295" s="2118" t="s">
        <v>1816</v>
      </c>
    </row>
    <row r="296" spans="1:33" ht="25.5" hidden="1" outlineLevel="3" x14ac:dyDescent="0.2">
      <c r="A296" s="1360">
        <f>A294+1</f>
        <v>755</v>
      </c>
      <c r="B296" s="575" t="s">
        <v>1775</v>
      </c>
      <c r="C296" s="532" t="s">
        <v>1085</v>
      </c>
      <c r="D296" s="2154">
        <v>2</v>
      </c>
      <c r="E296" s="574" t="s">
        <v>502</v>
      </c>
      <c r="F296" s="2154" t="s">
        <v>312</v>
      </c>
      <c r="G296" s="2182">
        <v>8.7999999999999995E-2</v>
      </c>
      <c r="H296" s="164">
        <f>H295+H281+H267+H253+H239</f>
        <v>0</v>
      </c>
      <c r="I296" s="1359">
        <f t="shared" si="283"/>
        <v>0</v>
      </c>
      <c r="J296" s="562" t="str">
        <f t="shared" ref="J296" si="327">CONCATENATE(TRUNC(I296,0),":",INT((I296-(TRUNC(I296,0)))*60),":","00")</f>
        <v>0:0:00</v>
      </c>
      <c r="K296" s="563">
        <v>1000</v>
      </c>
      <c r="L296" s="2127">
        <f>РезкаПодрезка</f>
        <v>95.15</v>
      </c>
      <c r="M296" s="561">
        <f>I296*L296</f>
        <v>0</v>
      </c>
      <c r="N296" s="564">
        <v>1</v>
      </c>
      <c r="O296" s="561">
        <f t="shared" ref="O296" si="328">M296*N296</f>
        <v>0</v>
      </c>
      <c r="P296" s="561">
        <f t="shared" ref="P296" si="329">(M296+O296)*0.15</f>
        <v>0</v>
      </c>
      <c r="Q296" s="565">
        <f t="shared" ref="Q296" si="330">M296+O296+P296</f>
        <v>0</v>
      </c>
      <c r="R296" s="566">
        <f t="shared" ref="R296" si="331">Q296*$R$1</f>
        <v>0</v>
      </c>
      <c r="S296" s="566">
        <f t="shared" ref="S296" si="332">(Q296+R296)*$S$1</f>
        <v>0</v>
      </c>
      <c r="T296" s="566">
        <f>Q296+R296+S296</f>
        <v>0</v>
      </c>
      <c r="U296" s="2028">
        <f t="shared" si="315"/>
        <v>0</v>
      </c>
      <c r="V296" s="1357"/>
      <c r="W296" s="1357"/>
      <c r="X296" s="1357"/>
      <c r="Y296" s="1357"/>
      <c r="AD296" s="2141">
        <f t="shared" si="293"/>
        <v>1.5</v>
      </c>
      <c r="AE296" s="2142" t="str">
        <f t="shared" si="324"/>
        <v/>
      </c>
      <c r="AG296" s="2118" t="s">
        <v>1816</v>
      </c>
    </row>
    <row r="297" spans="1:33" ht="14.25" hidden="1" outlineLevel="2" x14ac:dyDescent="0.2">
      <c r="A297" s="1360"/>
      <c r="B297" s="557" t="s">
        <v>1087</v>
      </c>
      <c r="C297" s="522"/>
      <c r="D297" s="2152"/>
      <c r="E297" s="523" t="s">
        <v>218</v>
      </c>
      <c r="F297" s="2164"/>
      <c r="G297" s="2181"/>
      <c r="H297" s="569">
        <f>SUM(H287:H296)</f>
        <v>0</v>
      </c>
      <c r="I297" s="2043">
        <f>SUM(I298:I306)</f>
        <v>0</v>
      </c>
      <c r="J297" s="524"/>
      <c r="K297" s="524"/>
      <c r="L297" s="526"/>
      <c r="M297" s="524"/>
      <c r="N297" s="524"/>
      <c r="O297" s="524"/>
      <c r="P297" s="524"/>
      <c r="Q297" s="527"/>
      <c r="R297" s="524"/>
      <c r="S297" s="524"/>
      <c r="T297" s="524"/>
      <c r="U297" s="2028">
        <f t="shared" si="315"/>
        <v>0</v>
      </c>
      <c r="V297" s="1357"/>
      <c r="W297" s="1357"/>
      <c r="X297" s="1357"/>
      <c r="Y297" s="1357"/>
      <c r="AD297" s="2141" t="str">
        <f t="shared" si="293"/>
        <v/>
      </c>
      <c r="AE297" s="2142" t="str">
        <f t="shared" si="324"/>
        <v/>
      </c>
      <c r="AG297" s="2118" t="s">
        <v>1816</v>
      </c>
    </row>
    <row r="298" spans="1:33" ht="25.5" hidden="1" outlineLevel="3" x14ac:dyDescent="0.2">
      <c r="A298" s="1360">
        <f>A296+1</f>
        <v>756</v>
      </c>
      <c r="B298" s="576" t="s">
        <v>566</v>
      </c>
      <c r="C298" s="532" t="s">
        <v>1088</v>
      </c>
      <c r="D298" s="2154">
        <v>4</v>
      </c>
      <c r="E298" s="574" t="s">
        <v>502</v>
      </c>
      <c r="F298" s="2154" t="s">
        <v>312</v>
      </c>
      <c r="G298" s="2183">
        <v>3.3300000000000003E-2</v>
      </c>
      <c r="H298" s="164"/>
      <c r="I298" s="1359">
        <f t="shared" si="283"/>
        <v>0</v>
      </c>
      <c r="J298" s="562" t="str">
        <f t="shared" ref="J298:J306" si="333">CONCATENATE(TRUNC(I298,0),":",INT((I298-(TRUNC(I298,0)))*60),":","00")</f>
        <v>0:0:00</v>
      </c>
      <c r="K298" s="563">
        <v>1000</v>
      </c>
      <c r="L298" s="2127">
        <f t="shared" ref="L298:L306" si="334">РезкаПодрезка</f>
        <v>95.15</v>
      </c>
      <c r="M298" s="561">
        <f t="shared" ref="M298:M306" si="335">I298*L298</f>
        <v>0</v>
      </c>
      <c r="N298" s="564">
        <v>1</v>
      </c>
      <c r="O298" s="561">
        <f t="shared" ref="O298:O306" si="336">M298*N298</f>
        <v>0</v>
      </c>
      <c r="P298" s="561">
        <f t="shared" ref="P298:P306" si="337">(M298+O298)*0.15</f>
        <v>0</v>
      </c>
      <c r="Q298" s="565">
        <f t="shared" ref="Q298:Q306" si="338">M298+O298+P298</f>
        <v>0</v>
      </c>
      <c r="R298" s="566">
        <f t="shared" ref="R298:R306" si="339">Q298*$R$1</f>
        <v>0</v>
      </c>
      <c r="S298" s="566">
        <f t="shared" ref="S298:S306" si="340">(Q298+R298)*$S$1</f>
        <v>0</v>
      </c>
      <c r="T298" s="566">
        <f>Q298+R298+S298</f>
        <v>0</v>
      </c>
      <c r="U298" s="2028">
        <f t="shared" si="315"/>
        <v>0</v>
      </c>
      <c r="V298" s="1357"/>
      <c r="W298" s="1357"/>
      <c r="X298" s="1357"/>
      <c r="Y298" s="1357"/>
      <c r="AD298" s="2141">
        <f t="shared" si="293"/>
        <v>2.6</v>
      </c>
      <c r="AE298" s="2142" t="str">
        <f t="shared" si="324"/>
        <v/>
      </c>
      <c r="AG298" s="2118" t="s">
        <v>1816</v>
      </c>
    </row>
    <row r="299" spans="1:33" ht="25.5" hidden="1" outlineLevel="3" x14ac:dyDescent="0.2">
      <c r="A299" s="1360">
        <f>A298+1</f>
        <v>757</v>
      </c>
      <c r="B299" s="577" t="s">
        <v>574</v>
      </c>
      <c r="C299" s="532" t="s">
        <v>1088</v>
      </c>
      <c r="D299" s="2154">
        <v>4</v>
      </c>
      <c r="E299" s="574" t="s">
        <v>502</v>
      </c>
      <c r="F299" s="2154" t="s">
        <v>312</v>
      </c>
      <c r="G299" s="2183">
        <v>6.7000000000000002E-3</v>
      </c>
      <c r="H299" s="164">
        <f>SUM(H301:H306)*3</f>
        <v>0</v>
      </c>
      <c r="I299" s="1359">
        <f t="shared" si="283"/>
        <v>0</v>
      </c>
      <c r="J299" s="562" t="str">
        <f t="shared" si="333"/>
        <v>0:0:00</v>
      </c>
      <c r="K299" s="563">
        <v>1000</v>
      </c>
      <c r="L299" s="2127">
        <f t="shared" si="334"/>
        <v>95.15</v>
      </c>
      <c r="M299" s="561">
        <f t="shared" si="335"/>
        <v>0</v>
      </c>
      <c r="N299" s="564">
        <v>1</v>
      </c>
      <c r="O299" s="561">
        <f t="shared" si="336"/>
        <v>0</v>
      </c>
      <c r="P299" s="561">
        <f t="shared" si="337"/>
        <v>0</v>
      </c>
      <c r="Q299" s="565">
        <f t="shared" si="338"/>
        <v>0</v>
      </c>
      <c r="R299" s="566">
        <f t="shared" si="339"/>
        <v>0</v>
      </c>
      <c r="S299" s="566">
        <f t="shared" si="340"/>
        <v>0</v>
      </c>
      <c r="T299" s="566">
        <f t="shared" ref="T299:T306" si="341">Q299+R299+S299</f>
        <v>0</v>
      </c>
      <c r="U299" s="2028">
        <f t="shared" si="315"/>
        <v>0</v>
      </c>
      <c r="V299" s="1357"/>
      <c r="W299" s="1357"/>
      <c r="X299" s="1357"/>
      <c r="Y299" s="1357"/>
      <c r="AD299" s="2141">
        <f t="shared" si="293"/>
        <v>2.6</v>
      </c>
      <c r="AE299" s="2142" t="str">
        <f t="shared" si="324"/>
        <v/>
      </c>
      <c r="AG299" s="2118" t="s">
        <v>1816</v>
      </c>
    </row>
    <row r="300" spans="1:33" ht="25.5" hidden="1" outlineLevel="3" x14ac:dyDescent="0.2">
      <c r="A300" s="1360">
        <f t="shared" ref="A300:A306" si="342">A299+1</f>
        <v>758</v>
      </c>
      <c r="B300" s="576" t="s">
        <v>503</v>
      </c>
      <c r="C300" s="532" t="s">
        <v>1088</v>
      </c>
      <c r="D300" s="2154">
        <v>4</v>
      </c>
      <c r="E300" s="574" t="s">
        <v>502</v>
      </c>
      <c r="F300" s="2154" t="s">
        <v>312</v>
      </c>
      <c r="G300" s="2183">
        <v>2.1600000000000001E-2</v>
      </c>
      <c r="H300" s="164"/>
      <c r="I300" s="1359">
        <f t="shared" ref="I300:I363" si="343">IF(H300&gt;0,IF((G300*H300/K300)&lt;0.084,0.084,(G300*H300/K300)),0)</f>
        <v>0</v>
      </c>
      <c r="J300" s="562" t="str">
        <f t="shared" si="333"/>
        <v>0:0:00</v>
      </c>
      <c r="K300" s="563">
        <v>1000</v>
      </c>
      <c r="L300" s="2127">
        <f t="shared" si="334"/>
        <v>95.15</v>
      </c>
      <c r="M300" s="561">
        <f t="shared" si="335"/>
        <v>0</v>
      </c>
      <c r="N300" s="564">
        <v>1</v>
      </c>
      <c r="O300" s="561">
        <f t="shared" si="336"/>
        <v>0</v>
      </c>
      <c r="P300" s="561">
        <f t="shared" si="337"/>
        <v>0</v>
      </c>
      <c r="Q300" s="565">
        <f t="shared" si="338"/>
        <v>0</v>
      </c>
      <c r="R300" s="566">
        <f t="shared" si="339"/>
        <v>0</v>
      </c>
      <c r="S300" s="566">
        <f t="shared" si="340"/>
        <v>0</v>
      </c>
      <c r="T300" s="566">
        <f t="shared" si="341"/>
        <v>0</v>
      </c>
      <c r="U300" s="2028">
        <f t="shared" si="315"/>
        <v>0</v>
      </c>
      <c r="V300" s="1357"/>
      <c r="W300" s="1357"/>
      <c r="X300" s="1357"/>
      <c r="Y300" s="1357"/>
      <c r="AD300" s="2141">
        <f t="shared" si="293"/>
        <v>2.6</v>
      </c>
      <c r="AE300" s="2142" t="str">
        <f t="shared" si="324"/>
        <v/>
      </c>
      <c r="AG300" s="2118" t="s">
        <v>1816</v>
      </c>
    </row>
    <row r="301" spans="1:33" ht="25.5" hidden="1" outlineLevel="3" x14ac:dyDescent="0.2">
      <c r="A301" s="1360">
        <f t="shared" si="342"/>
        <v>759</v>
      </c>
      <c r="B301" s="578" t="s">
        <v>504</v>
      </c>
      <c r="C301" s="532" t="s">
        <v>1088</v>
      </c>
      <c r="D301" s="2154">
        <v>4</v>
      </c>
      <c r="E301" s="574" t="s">
        <v>502</v>
      </c>
      <c r="F301" s="2154" t="s">
        <v>312</v>
      </c>
      <c r="G301" s="2183">
        <v>2.8299999999999999E-2</v>
      </c>
      <c r="H301" s="164"/>
      <c r="I301" s="1359">
        <f t="shared" si="343"/>
        <v>0</v>
      </c>
      <c r="J301" s="562" t="str">
        <f t="shared" si="333"/>
        <v>0:0:00</v>
      </c>
      <c r="K301" s="563">
        <v>1000</v>
      </c>
      <c r="L301" s="2127">
        <f t="shared" si="334"/>
        <v>95.15</v>
      </c>
      <c r="M301" s="561">
        <f t="shared" si="335"/>
        <v>0</v>
      </c>
      <c r="N301" s="564">
        <v>1</v>
      </c>
      <c r="O301" s="561">
        <f t="shared" si="336"/>
        <v>0</v>
      </c>
      <c r="P301" s="561">
        <f t="shared" si="337"/>
        <v>0</v>
      </c>
      <c r="Q301" s="565">
        <f t="shared" si="338"/>
        <v>0</v>
      </c>
      <c r="R301" s="566">
        <f t="shared" si="339"/>
        <v>0</v>
      </c>
      <c r="S301" s="566">
        <f t="shared" si="340"/>
        <v>0</v>
      </c>
      <c r="T301" s="566">
        <f t="shared" si="341"/>
        <v>0</v>
      </c>
      <c r="U301" s="2028">
        <f t="shared" si="315"/>
        <v>0</v>
      </c>
      <c r="V301" s="1357"/>
      <c r="W301" s="1357"/>
      <c r="X301" s="1357"/>
      <c r="Y301" s="1357"/>
      <c r="AD301" s="2141">
        <f t="shared" si="293"/>
        <v>2.6</v>
      </c>
      <c r="AE301" s="2142" t="str">
        <f t="shared" si="324"/>
        <v/>
      </c>
      <c r="AG301" s="2118" t="s">
        <v>1816</v>
      </c>
    </row>
    <row r="302" spans="1:33" ht="25.5" hidden="1" outlineLevel="3" x14ac:dyDescent="0.2">
      <c r="A302" s="1360">
        <f t="shared" si="342"/>
        <v>760</v>
      </c>
      <c r="B302" s="578" t="s">
        <v>505</v>
      </c>
      <c r="C302" s="532" t="s">
        <v>1088</v>
      </c>
      <c r="D302" s="2154">
        <v>4</v>
      </c>
      <c r="E302" s="574" t="s">
        <v>502</v>
      </c>
      <c r="F302" s="2154" t="s">
        <v>312</v>
      </c>
      <c r="G302" s="2183">
        <v>4.3299999999999998E-2</v>
      </c>
      <c r="H302" s="164"/>
      <c r="I302" s="1359">
        <f t="shared" si="343"/>
        <v>0</v>
      </c>
      <c r="J302" s="562" t="str">
        <f t="shared" si="333"/>
        <v>0:0:00</v>
      </c>
      <c r="K302" s="563">
        <v>1000</v>
      </c>
      <c r="L302" s="2127">
        <f t="shared" si="334"/>
        <v>95.15</v>
      </c>
      <c r="M302" s="561">
        <f t="shared" si="335"/>
        <v>0</v>
      </c>
      <c r="N302" s="564">
        <v>1</v>
      </c>
      <c r="O302" s="561">
        <f t="shared" si="336"/>
        <v>0</v>
      </c>
      <c r="P302" s="561">
        <f t="shared" si="337"/>
        <v>0</v>
      </c>
      <c r="Q302" s="565">
        <f t="shared" si="338"/>
        <v>0</v>
      </c>
      <c r="R302" s="566">
        <f t="shared" si="339"/>
        <v>0</v>
      </c>
      <c r="S302" s="566">
        <f t="shared" si="340"/>
        <v>0</v>
      </c>
      <c r="T302" s="566">
        <f t="shared" si="341"/>
        <v>0</v>
      </c>
      <c r="U302" s="2028">
        <f t="shared" si="315"/>
        <v>0</v>
      </c>
      <c r="V302" s="1357"/>
      <c r="W302" s="1357"/>
      <c r="X302" s="1357"/>
      <c r="Y302" s="1357"/>
      <c r="AD302" s="2141">
        <f t="shared" si="293"/>
        <v>2.6</v>
      </c>
      <c r="AE302" s="2142" t="str">
        <f t="shared" si="324"/>
        <v/>
      </c>
      <c r="AG302" s="2118" t="s">
        <v>1816</v>
      </c>
    </row>
    <row r="303" spans="1:33" ht="25.5" hidden="1" outlineLevel="3" x14ac:dyDescent="0.2">
      <c r="A303" s="1360">
        <f t="shared" si="342"/>
        <v>761</v>
      </c>
      <c r="B303" s="578" t="s">
        <v>506</v>
      </c>
      <c r="C303" s="532" t="s">
        <v>1088</v>
      </c>
      <c r="D303" s="2154">
        <v>4</v>
      </c>
      <c r="E303" s="574" t="s">
        <v>502</v>
      </c>
      <c r="F303" s="2154" t="s">
        <v>312</v>
      </c>
      <c r="G303" s="2183">
        <v>5.5E-2</v>
      </c>
      <c r="H303" s="164"/>
      <c r="I303" s="1359">
        <f t="shared" si="343"/>
        <v>0</v>
      </c>
      <c r="J303" s="562" t="str">
        <f t="shared" si="333"/>
        <v>0:0:00</v>
      </c>
      <c r="K303" s="563">
        <v>1000</v>
      </c>
      <c r="L303" s="2127">
        <f t="shared" si="334"/>
        <v>95.15</v>
      </c>
      <c r="M303" s="561">
        <f t="shared" si="335"/>
        <v>0</v>
      </c>
      <c r="N303" s="564">
        <v>1</v>
      </c>
      <c r="O303" s="561">
        <f t="shared" si="336"/>
        <v>0</v>
      </c>
      <c r="P303" s="561">
        <f t="shared" si="337"/>
        <v>0</v>
      </c>
      <c r="Q303" s="565">
        <f t="shared" si="338"/>
        <v>0</v>
      </c>
      <c r="R303" s="566">
        <f t="shared" si="339"/>
        <v>0</v>
      </c>
      <c r="S303" s="566">
        <f t="shared" si="340"/>
        <v>0</v>
      </c>
      <c r="T303" s="566">
        <f t="shared" si="341"/>
        <v>0</v>
      </c>
      <c r="U303" s="2028">
        <f t="shared" si="315"/>
        <v>0</v>
      </c>
      <c r="V303" s="1357"/>
      <c r="W303" s="1357"/>
      <c r="X303" s="1357"/>
      <c r="Y303" s="1357"/>
      <c r="AD303" s="2141">
        <f t="shared" si="293"/>
        <v>2.6</v>
      </c>
      <c r="AE303" s="2142" t="str">
        <f t="shared" si="324"/>
        <v/>
      </c>
      <c r="AG303" s="2118" t="s">
        <v>1816</v>
      </c>
    </row>
    <row r="304" spans="1:33" ht="25.5" hidden="1" outlineLevel="3" x14ac:dyDescent="0.2">
      <c r="A304" s="1360">
        <f t="shared" si="342"/>
        <v>762</v>
      </c>
      <c r="B304" s="578" t="s">
        <v>507</v>
      </c>
      <c r="C304" s="532" t="s">
        <v>1088</v>
      </c>
      <c r="D304" s="2154">
        <v>4</v>
      </c>
      <c r="E304" s="574" t="s">
        <v>502</v>
      </c>
      <c r="F304" s="2154" t="s">
        <v>312</v>
      </c>
      <c r="G304" s="2183">
        <v>6.6699999999999995E-2</v>
      </c>
      <c r="H304" s="164"/>
      <c r="I304" s="1359">
        <f t="shared" si="343"/>
        <v>0</v>
      </c>
      <c r="J304" s="562" t="str">
        <f t="shared" si="333"/>
        <v>0:0:00</v>
      </c>
      <c r="K304" s="563">
        <v>1000</v>
      </c>
      <c r="L304" s="2127">
        <f t="shared" si="334"/>
        <v>95.15</v>
      </c>
      <c r="M304" s="561">
        <f t="shared" si="335"/>
        <v>0</v>
      </c>
      <c r="N304" s="564">
        <v>1</v>
      </c>
      <c r="O304" s="561">
        <f t="shared" si="336"/>
        <v>0</v>
      </c>
      <c r="P304" s="561">
        <f t="shared" si="337"/>
        <v>0</v>
      </c>
      <c r="Q304" s="565">
        <f t="shared" si="338"/>
        <v>0</v>
      </c>
      <c r="R304" s="566">
        <f t="shared" si="339"/>
        <v>0</v>
      </c>
      <c r="S304" s="566">
        <f t="shared" si="340"/>
        <v>0</v>
      </c>
      <c r="T304" s="566">
        <f t="shared" si="341"/>
        <v>0</v>
      </c>
      <c r="U304" s="2028">
        <f t="shared" si="315"/>
        <v>0</v>
      </c>
      <c r="V304" s="1357"/>
      <c r="W304" s="1357"/>
      <c r="X304" s="1357"/>
      <c r="Y304" s="1357"/>
      <c r="AD304" s="2141">
        <f t="shared" si="293"/>
        <v>2.6</v>
      </c>
      <c r="AE304" s="2142" t="str">
        <f t="shared" si="324"/>
        <v/>
      </c>
      <c r="AG304" s="2118" t="s">
        <v>1816</v>
      </c>
    </row>
    <row r="305" spans="1:33" ht="25.5" hidden="1" outlineLevel="3" x14ac:dyDescent="0.2">
      <c r="A305" s="1360">
        <f t="shared" si="342"/>
        <v>763</v>
      </c>
      <c r="B305" s="578" t="s">
        <v>508</v>
      </c>
      <c r="C305" s="532" t="s">
        <v>1088</v>
      </c>
      <c r="D305" s="2154">
        <v>4</v>
      </c>
      <c r="E305" s="574" t="s">
        <v>502</v>
      </c>
      <c r="F305" s="2154" t="s">
        <v>312</v>
      </c>
      <c r="G305" s="2183">
        <v>7.8299999999999995E-2</v>
      </c>
      <c r="H305" s="164"/>
      <c r="I305" s="1359">
        <f t="shared" si="343"/>
        <v>0</v>
      </c>
      <c r="J305" s="562" t="str">
        <f t="shared" si="333"/>
        <v>0:0:00</v>
      </c>
      <c r="K305" s="563">
        <v>1000</v>
      </c>
      <c r="L305" s="2127">
        <f t="shared" si="334"/>
        <v>95.15</v>
      </c>
      <c r="M305" s="561">
        <f t="shared" si="335"/>
        <v>0</v>
      </c>
      <c r="N305" s="564">
        <v>1</v>
      </c>
      <c r="O305" s="561">
        <f t="shared" si="336"/>
        <v>0</v>
      </c>
      <c r="P305" s="561">
        <f t="shared" si="337"/>
        <v>0</v>
      </c>
      <c r="Q305" s="565">
        <f t="shared" si="338"/>
        <v>0</v>
      </c>
      <c r="R305" s="566">
        <f t="shared" si="339"/>
        <v>0</v>
      </c>
      <c r="S305" s="566">
        <f t="shared" si="340"/>
        <v>0</v>
      </c>
      <c r="T305" s="566">
        <f t="shared" si="341"/>
        <v>0</v>
      </c>
      <c r="U305" s="2028">
        <f t="shared" si="315"/>
        <v>0</v>
      </c>
      <c r="V305" s="1357"/>
      <c r="W305" s="1357"/>
      <c r="X305" s="1357"/>
      <c r="Y305" s="1357"/>
      <c r="AD305" s="2141">
        <f t="shared" ref="AD305:AD368" si="344">IF(D305&gt;0,LOOKUP(D305,$Z$30:$Z$33,$AA$30:$AA$33),"")</f>
        <v>2.6</v>
      </c>
      <c r="AE305" s="2142" t="str">
        <f t="shared" si="324"/>
        <v/>
      </c>
      <c r="AG305" s="2118" t="s">
        <v>1816</v>
      </c>
    </row>
    <row r="306" spans="1:33" ht="25.5" hidden="1" outlineLevel="3" x14ac:dyDescent="0.2">
      <c r="A306" s="1360">
        <f t="shared" si="342"/>
        <v>764</v>
      </c>
      <c r="B306" s="578" t="s">
        <v>509</v>
      </c>
      <c r="C306" s="532" t="s">
        <v>1088</v>
      </c>
      <c r="D306" s="2154">
        <v>4</v>
      </c>
      <c r="E306" s="574" t="s">
        <v>502</v>
      </c>
      <c r="F306" s="2154" t="s">
        <v>312</v>
      </c>
      <c r="G306" s="2183">
        <v>0.1067</v>
      </c>
      <c r="H306" s="164"/>
      <c r="I306" s="1359">
        <f t="shared" si="343"/>
        <v>0</v>
      </c>
      <c r="J306" s="562" t="str">
        <f t="shared" si="333"/>
        <v>0:0:00</v>
      </c>
      <c r="K306" s="563">
        <v>1000</v>
      </c>
      <c r="L306" s="2127">
        <f t="shared" si="334"/>
        <v>95.15</v>
      </c>
      <c r="M306" s="561">
        <f t="shared" si="335"/>
        <v>0</v>
      </c>
      <c r="N306" s="564">
        <v>1</v>
      </c>
      <c r="O306" s="561">
        <f t="shared" si="336"/>
        <v>0</v>
      </c>
      <c r="P306" s="561">
        <f t="shared" si="337"/>
        <v>0</v>
      </c>
      <c r="Q306" s="565">
        <f t="shared" si="338"/>
        <v>0</v>
      </c>
      <c r="R306" s="566">
        <f t="shared" si="339"/>
        <v>0</v>
      </c>
      <c r="S306" s="566">
        <f t="shared" si="340"/>
        <v>0</v>
      </c>
      <c r="T306" s="566">
        <f t="shared" si="341"/>
        <v>0</v>
      </c>
      <c r="U306" s="2028">
        <f t="shared" si="315"/>
        <v>0</v>
      </c>
      <c r="V306" s="1357"/>
      <c r="W306" s="1357"/>
      <c r="X306" s="1357"/>
      <c r="Y306" s="1357"/>
      <c r="AD306" s="2141">
        <f t="shared" si="344"/>
        <v>2.6</v>
      </c>
      <c r="AE306" s="2142" t="str">
        <f t="shared" si="324"/>
        <v/>
      </c>
      <c r="AG306" s="2118" t="s">
        <v>1816</v>
      </c>
    </row>
    <row r="307" spans="1:33" ht="14.25" hidden="1" outlineLevel="2" x14ac:dyDescent="0.2">
      <c r="A307" s="1360"/>
      <c r="B307" s="557" t="s">
        <v>1089</v>
      </c>
      <c r="C307" s="522"/>
      <c r="D307" s="2152"/>
      <c r="E307" s="523" t="s">
        <v>218</v>
      </c>
      <c r="F307" s="2164"/>
      <c r="G307" s="2181"/>
      <c r="H307" s="569">
        <f>SUM(H301:H306)</f>
        <v>0</v>
      </c>
      <c r="I307" s="2043">
        <f>SUM(I308:I316)</f>
        <v>0</v>
      </c>
      <c r="J307" s="524"/>
      <c r="K307" s="524"/>
      <c r="L307" s="526"/>
      <c r="M307" s="524"/>
      <c r="N307" s="524"/>
      <c r="O307" s="524"/>
      <c r="P307" s="524"/>
      <c r="Q307" s="527"/>
      <c r="R307" s="524"/>
      <c r="S307" s="524"/>
      <c r="T307" s="524"/>
      <c r="U307" s="2028">
        <f t="shared" si="315"/>
        <v>0</v>
      </c>
      <c r="V307" s="1357"/>
      <c r="W307" s="1357"/>
      <c r="X307" s="1357"/>
      <c r="Y307" s="1357"/>
      <c r="AD307" s="2141" t="str">
        <f t="shared" si="344"/>
        <v/>
      </c>
      <c r="AE307" s="2142" t="str">
        <f t="shared" si="324"/>
        <v/>
      </c>
      <c r="AG307" s="2118" t="s">
        <v>1816</v>
      </c>
    </row>
    <row r="308" spans="1:33" ht="25.5" hidden="1" outlineLevel="3" x14ac:dyDescent="0.2">
      <c r="A308" s="1360">
        <f>A306+1</f>
        <v>765</v>
      </c>
      <c r="B308" s="576" t="s">
        <v>575</v>
      </c>
      <c r="C308" s="532" t="s">
        <v>1088</v>
      </c>
      <c r="D308" s="2154">
        <v>4</v>
      </c>
      <c r="E308" s="574" t="s">
        <v>502</v>
      </c>
      <c r="F308" s="2154" t="s">
        <v>312</v>
      </c>
      <c r="G308" s="2183">
        <v>0.04</v>
      </c>
      <c r="H308" s="164"/>
      <c r="I308" s="1359">
        <f t="shared" si="343"/>
        <v>0</v>
      </c>
      <c r="J308" s="562" t="str">
        <f t="shared" ref="J308:J316" si="345">CONCATENATE(TRUNC(I308,0),":",INT((I308-(TRUNC(I308,0)))*60),":","00")</f>
        <v>0:0:00</v>
      </c>
      <c r="K308" s="563">
        <v>1000</v>
      </c>
      <c r="L308" s="2127">
        <f t="shared" ref="L308:L316" si="346">РезкаПодрезка</f>
        <v>95.15</v>
      </c>
      <c r="M308" s="561">
        <f t="shared" ref="M308:M316" si="347">I308*L308</f>
        <v>0</v>
      </c>
      <c r="N308" s="564">
        <v>1</v>
      </c>
      <c r="O308" s="561">
        <f t="shared" ref="O308:O316" si="348">M308*N308</f>
        <v>0</v>
      </c>
      <c r="P308" s="561">
        <f t="shared" ref="P308:P316" si="349">(M308+O308)*0.15</f>
        <v>0</v>
      </c>
      <c r="Q308" s="565">
        <f t="shared" ref="Q308:Q316" si="350">M308+O308+P308</f>
        <v>0</v>
      </c>
      <c r="R308" s="566">
        <f t="shared" ref="R308:R316" si="351">Q308*$R$1</f>
        <v>0</v>
      </c>
      <c r="S308" s="566">
        <f t="shared" ref="S308:S316" si="352">(Q308+R308)*$S$1</f>
        <v>0</v>
      </c>
      <c r="T308" s="566">
        <f>Q308+R308+S308</f>
        <v>0</v>
      </c>
      <c r="U308" s="2028">
        <f t="shared" si="315"/>
        <v>0</v>
      </c>
      <c r="V308" s="1357"/>
      <c r="W308" s="1357"/>
      <c r="X308" s="1357"/>
      <c r="Y308" s="1357"/>
      <c r="AD308" s="2141">
        <f t="shared" si="344"/>
        <v>2.6</v>
      </c>
      <c r="AE308" s="2142" t="str">
        <f t="shared" si="324"/>
        <v/>
      </c>
      <c r="AG308" s="2118" t="s">
        <v>1816</v>
      </c>
    </row>
    <row r="309" spans="1:33" ht="25.5" hidden="1" outlineLevel="3" x14ac:dyDescent="0.2">
      <c r="A309" s="1360">
        <f>A308+1</f>
        <v>766</v>
      </c>
      <c r="B309" s="577" t="s">
        <v>576</v>
      </c>
      <c r="C309" s="532" t="s">
        <v>1088</v>
      </c>
      <c r="D309" s="2154">
        <v>4</v>
      </c>
      <c r="E309" s="574" t="s">
        <v>502</v>
      </c>
      <c r="F309" s="2154" t="s">
        <v>312</v>
      </c>
      <c r="G309" s="2183">
        <v>8.3000000000000001E-3</v>
      </c>
      <c r="H309" s="164">
        <f>SUM(H311:H316)*3</f>
        <v>0</v>
      </c>
      <c r="I309" s="1359">
        <f t="shared" si="343"/>
        <v>0</v>
      </c>
      <c r="J309" s="562" t="str">
        <f t="shared" si="345"/>
        <v>0:0:00</v>
      </c>
      <c r="K309" s="563">
        <v>1000</v>
      </c>
      <c r="L309" s="2127">
        <f t="shared" si="346"/>
        <v>95.15</v>
      </c>
      <c r="M309" s="561">
        <f t="shared" si="347"/>
        <v>0</v>
      </c>
      <c r="N309" s="564">
        <v>1</v>
      </c>
      <c r="O309" s="561">
        <f t="shared" si="348"/>
        <v>0</v>
      </c>
      <c r="P309" s="561">
        <f t="shared" si="349"/>
        <v>0</v>
      </c>
      <c r="Q309" s="565">
        <f t="shared" si="350"/>
        <v>0</v>
      </c>
      <c r="R309" s="566">
        <f t="shared" si="351"/>
        <v>0</v>
      </c>
      <c r="S309" s="566">
        <f t="shared" si="352"/>
        <v>0</v>
      </c>
      <c r="T309" s="566">
        <f t="shared" ref="T309:T316" si="353">Q309+R309+S309</f>
        <v>0</v>
      </c>
      <c r="U309" s="2028">
        <f t="shared" si="315"/>
        <v>0</v>
      </c>
      <c r="V309" s="1357"/>
      <c r="W309" s="1357"/>
      <c r="X309" s="1357"/>
      <c r="Y309" s="1357"/>
      <c r="AD309" s="2141">
        <f t="shared" si="344"/>
        <v>2.6</v>
      </c>
      <c r="AE309" s="2142" t="str">
        <f t="shared" si="324"/>
        <v/>
      </c>
      <c r="AG309" s="2118" t="s">
        <v>1816</v>
      </c>
    </row>
    <row r="310" spans="1:33" ht="25.5" hidden="1" outlineLevel="3" x14ac:dyDescent="0.2">
      <c r="A310" s="1360">
        <f t="shared" ref="A310:A316" si="354">A309+1</f>
        <v>767</v>
      </c>
      <c r="B310" s="576" t="s">
        <v>577</v>
      </c>
      <c r="C310" s="532" t="s">
        <v>1088</v>
      </c>
      <c r="D310" s="2154">
        <v>4</v>
      </c>
      <c r="E310" s="574" t="s">
        <v>502</v>
      </c>
      <c r="F310" s="2154" t="s">
        <v>312</v>
      </c>
      <c r="G310" s="2183">
        <v>2.6599999999999999E-2</v>
      </c>
      <c r="H310" s="164"/>
      <c r="I310" s="1359">
        <f t="shared" si="343"/>
        <v>0</v>
      </c>
      <c r="J310" s="562" t="str">
        <f t="shared" si="345"/>
        <v>0:0:00</v>
      </c>
      <c r="K310" s="563">
        <v>1000</v>
      </c>
      <c r="L310" s="2127">
        <f t="shared" si="346"/>
        <v>95.15</v>
      </c>
      <c r="M310" s="561">
        <f t="shared" si="347"/>
        <v>0</v>
      </c>
      <c r="N310" s="564">
        <v>1</v>
      </c>
      <c r="O310" s="561">
        <f t="shared" si="348"/>
        <v>0</v>
      </c>
      <c r="P310" s="561">
        <f t="shared" si="349"/>
        <v>0</v>
      </c>
      <c r="Q310" s="565">
        <f t="shared" si="350"/>
        <v>0</v>
      </c>
      <c r="R310" s="566">
        <f t="shared" si="351"/>
        <v>0</v>
      </c>
      <c r="S310" s="566">
        <f t="shared" si="352"/>
        <v>0</v>
      </c>
      <c r="T310" s="566">
        <f t="shared" si="353"/>
        <v>0</v>
      </c>
      <c r="U310" s="2028">
        <f t="shared" si="315"/>
        <v>0</v>
      </c>
      <c r="V310" s="1357"/>
      <c r="W310" s="1357"/>
      <c r="X310" s="1357"/>
      <c r="Y310" s="1357"/>
      <c r="AD310" s="2141">
        <f t="shared" si="344"/>
        <v>2.6</v>
      </c>
      <c r="AE310" s="2142" t="str">
        <f t="shared" si="324"/>
        <v/>
      </c>
      <c r="AG310" s="2118" t="s">
        <v>1816</v>
      </c>
    </row>
    <row r="311" spans="1:33" ht="25.5" hidden="1" outlineLevel="3" x14ac:dyDescent="0.2">
      <c r="A311" s="1360">
        <f t="shared" si="354"/>
        <v>768</v>
      </c>
      <c r="B311" s="578" t="s">
        <v>578</v>
      </c>
      <c r="C311" s="532" t="s">
        <v>1088</v>
      </c>
      <c r="D311" s="2154">
        <v>4</v>
      </c>
      <c r="E311" s="574" t="s">
        <v>502</v>
      </c>
      <c r="F311" s="2154" t="s">
        <v>312</v>
      </c>
      <c r="G311" s="2183">
        <v>3.5000000000000003E-2</v>
      </c>
      <c r="H311" s="164"/>
      <c r="I311" s="1359">
        <f t="shared" si="343"/>
        <v>0</v>
      </c>
      <c r="J311" s="562" t="str">
        <f t="shared" si="345"/>
        <v>0:0:00</v>
      </c>
      <c r="K311" s="563">
        <v>1000</v>
      </c>
      <c r="L311" s="2127">
        <f t="shared" si="346"/>
        <v>95.15</v>
      </c>
      <c r="M311" s="561">
        <f t="shared" si="347"/>
        <v>0</v>
      </c>
      <c r="N311" s="564">
        <v>1</v>
      </c>
      <c r="O311" s="561">
        <f t="shared" si="348"/>
        <v>0</v>
      </c>
      <c r="P311" s="561">
        <f t="shared" si="349"/>
        <v>0</v>
      </c>
      <c r="Q311" s="565">
        <f t="shared" si="350"/>
        <v>0</v>
      </c>
      <c r="R311" s="566">
        <f t="shared" si="351"/>
        <v>0</v>
      </c>
      <c r="S311" s="566">
        <f t="shared" si="352"/>
        <v>0</v>
      </c>
      <c r="T311" s="566">
        <f t="shared" si="353"/>
        <v>0</v>
      </c>
      <c r="U311" s="2028">
        <f t="shared" si="315"/>
        <v>0</v>
      </c>
      <c r="V311" s="1357"/>
      <c r="W311" s="1357"/>
      <c r="X311" s="1357"/>
      <c r="Y311" s="1357"/>
      <c r="AD311" s="2141">
        <f t="shared" si="344"/>
        <v>2.6</v>
      </c>
      <c r="AE311" s="2142" t="str">
        <f t="shared" si="324"/>
        <v/>
      </c>
      <c r="AG311" s="2118" t="s">
        <v>1816</v>
      </c>
    </row>
    <row r="312" spans="1:33" ht="25.5" hidden="1" outlineLevel="3" x14ac:dyDescent="0.2">
      <c r="A312" s="1360">
        <f t="shared" si="354"/>
        <v>769</v>
      </c>
      <c r="B312" s="578" t="s">
        <v>579</v>
      </c>
      <c r="C312" s="532" t="s">
        <v>1088</v>
      </c>
      <c r="D312" s="2154">
        <v>4</v>
      </c>
      <c r="E312" s="574" t="s">
        <v>502</v>
      </c>
      <c r="F312" s="2154" t="s">
        <v>312</v>
      </c>
      <c r="G312" s="2183">
        <v>5.5E-2</v>
      </c>
      <c r="H312" s="164"/>
      <c r="I312" s="1359">
        <f t="shared" si="343"/>
        <v>0</v>
      </c>
      <c r="J312" s="562" t="str">
        <f t="shared" si="345"/>
        <v>0:0:00</v>
      </c>
      <c r="K312" s="563">
        <v>1000</v>
      </c>
      <c r="L312" s="2127">
        <f t="shared" si="346"/>
        <v>95.15</v>
      </c>
      <c r="M312" s="561">
        <f t="shared" si="347"/>
        <v>0</v>
      </c>
      <c r="N312" s="564">
        <v>1</v>
      </c>
      <c r="O312" s="561">
        <f t="shared" si="348"/>
        <v>0</v>
      </c>
      <c r="P312" s="561">
        <f t="shared" si="349"/>
        <v>0</v>
      </c>
      <c r="Q312" s="565">
        <f t="shared" si="350"/>
        <v>0</v>
      </c>
      <c r="R312" s="566">
        <f t="shared" si="351"/>
        <v>0</v>
      </c>
      <c r="S312" s="566">
        <f t="shared" si="352"/>
        <v>0</v>
      </c>
      <c r="T312" s="566">
        <f t="shared" si="353"/>
        <v>0</v>
      </c>
      <c r="U312" s="2028">
        <f t="shared" si="315"/>
        <v>0</v>
      </c>
      <c r="V312" s="1357"/>
      <c r="W312" s="1357"/>
      <c r="X312" s="1357"/>
      <c r="Y312" s="1357"/>
      <c r="AD312" s="2141">
        <f t="shared" si="344"/>
        <v>2.6</v>
      </c>
      <c r="AE312" s="2142" t="str">
        <f t="shared" si="324"/>
        <v/>
      </c>
      <c r="AG312" s="2118" t="s">
        <v>1816</v>
      </c>
    </row>
    <row r="313" spans="1:33" ht="25.5" hidden="1" outlineLevel="3" x14ac:dyDescent="0.2">
      <c r="A313" s="1360">
        <f t="shared" si="354"/>
        <v>770</v>
      </c>
      <c r="B313" s="578" t="s">
        <v>580</v>
      </c>
      <c r="C313" s="532" t="s">
        <v>1088</v>
      </c>
      <c r="D313" s="2154">
        <v>4</v>
      </c>
      <c r="E313" s="574" t="s">
        <v>502</v>
      </c>
      <c r="F313" s="2154" t="s">
        <v>312</v>
      </c>
      <c r="G313" s="2183">
        <v>7.0000000000000007E-2</v>
      </c>
      <c r="H313" s="164"/>
      <c r="I313" s="1359">
        <f t="shared" si="343"/>
        <v>0</v>
      </c>
      <c r="J313" s="562" t="str">
        <f t="shared" si="345"/>
        <v>0:0:00</v>
      </c>
      <c r="K313" s="563">
        <v>1000</v>
      </c>
      <c r="L313" s="2127">
        <f t="shared" si="346"/>
        <v>95.15</v>
      </c>
      <c r="M313" s="561">
        <f t="shared" si="347"/>
        <v>0</v>
      </c>
      <c r="N313" s="564">
        <v>1</v>
      </c>
      <c r="O313" s="561">
        <f t="shared" si="348"/>
        <v>0</v>
      </c>
      <c r="P313" s="561">
        <f t="shared" si="349"/>
        <v>0</v>
      </c>
      <c r="Q313" s="565">
        <f t="shared" si="350"/>
        <v>0</v>
      </c>
      <c r="R313" s="566">
        <f t="shared" si="351"/>
        <v>0</v>
      </c>
      <c r="S313" s="566">
        <f t="shared" si="352"/>
        <v>0</v>
      </c>
      <c r="T313" s="566">
        <f t="shared" si="353"/>
        <v>0</v>
      </c>
      <c r="U313" s="2028">
        <f t="shared" si="315"/>
        <v>0</v>
      </c>
      <c r="V313" s="1357"/>
      <c r="W313" s="1357"/>
      <c r="X313" s="1357"/>
      <c r="Y313" s="1357"/>
      <c r="AD313" s="2141">
        <f t="shared" si="344"/>
        <v>2.6</v>
      </c>
      <c r="AE313" s="2142" t="str">
        <f t="shared" si="324"/>
        <v/>
      </c>
      <c r="AG313" s="2118" t="s">
        <v>1816</v>
      </c>
    </row>
    <row r="314" spans="1:33" ht="25.5" hidden="1" outlineLevel="3" x14ac:dyDescent="0.2">
      <c r="A314" s="1360">
        <f t="shared" si="354"/>
        <v>771</v>
      </c>
      <c r="B314" s="578" t="s">
        <v>581</v>
      </c>
      <c r="C314" s="532" t="s">
        <v>1088</v>
      </c>
      <c r="D314" s="2154">
        <v>4</v>
      </c>
      <c r="E314" s="574" t="s">
        <v>502</v>
      </c>
      <c r="F314" s="2154" t="s">
        <v>312</v>
      </c>
      <c r="G314" s="2183">
        <v>8.6699999999999999E-2</v>
      </c>
      <c r="H314" s="164"/>
      <c r="I314" s="1359">
        <f t="shared" si="343"/>
        <v>0</v>
      </c>
      <c r="J314" s="562" t="str">
        <f t="shared" si="345"/>
        <v>0:0:00</v>
      </c>
      <c r="K314" s="563">
        <v>1000</v>
      </c>
      <c r="L314" s="2127">
        <f t="shared" si="346"/>
        <v>95.15</v>
      </c>
      <c r="M314" s="561">
        <f t="shared" si="347"/>
        <v>0</v>
      </c>
      <c r="N314" s="564">
        <v>1</v>
      </c>
      <c r="O314" s="561">
        <f t="shared" si="348"/>
        <v>0</v>
      </c>
      <c r="P314" s="561">
        <f t="shared" si="349"/>
        <v>0</v>
      </c>
      <c r="Q314" s="565">
        <f t="shared" si="350"/>
        <v>0</v>
      </c>
      <c r="R314" s="566">
        <f t="shared" si="351"/>
        <v>0</v>
      </c>
      <c r="S314" s="566">
        <f t="shared" si="352"/>
        <v>0</v>
      </c>
      <c r="T314" s="566">
        <f t="shared" si="353"/>
        <v>0</v>
      </c>
      <c r="U314" s="2028">
        <f t="shared" si="315"/>
        <v>0</v>
      </c>
      <c r="V314" s="1357"/>
      <c r="W314" s="1357"/>
      <c r="X314" s="1357"/>
      <c r="Y314" s="1357"/>
      <c r="AD314" s="2141">
        <f t="shared" si="344"/>
        <v>2.6</v>
      </c>
      <c r="AE314" s="2142" t="str">
        <f t="shared" si="324"/>
        <v/>
      </c>
      <c r="AG314" s="2118" t="s">
        <v>1816</v>
      </c>
    </row>
    <row r="315" spans="1:33" ht="25.5" hidden="1" outlineLevel="3" x14ac:dyDescent="0.2">
      <c r="A315" s="1360">
        <f t="shared" si="354"/>
        <v>772</v>
      </c>
      <c r="B315" s="578" t="s">
        <v>521</v>
      </c>
      <c r="C315" s="532" t="s">
        <v>1088</v>
      </c>
      <c r="D315" s="2154">
        <v>4</v>
      </c>
      <c r="E315" s="574" t="s">
        <v>502</v>
      </c>
      <c r="F315" s="2154" t="s">
        <v>312</v>
      </c>
      <c r="G315" s="2183">
        <v>0.1</v>
      </c>
      <c r="H315" s="164"/>
      <c r="I315" s="1359">
        <f t="shared" si="343"/>
        <v>0</v>
      </c>
      <c r="J315" s="562" t="str">
        <f t="shared" si="345"/>
        <v>0:0:00</v>
      </c>
      <c r="K315" s="563">
        <v>1000</v>
      </c>
      <c r="L315" s="2127">
        <f t="shared" si="346"/>
        <v>95.15</v>
      </c>
      <c r="M315" s="561">
        <f t="shared" si="347"/>
        <v>0</v>
      </c>
      <c r="N315" s="564">
        <v>1</v>
      </c>
      <c r="O315" s="561">
        <f t="shared" si="348"/>
        <v>0</v>
      </c>
      <c r="P315" s="561">
        <f t="shared" si="349"/>
        <v>0</v>
      </c>
      <c r="Q315" s="565">
        <f t="shared" si="350"/>
        <v>0</v>
      </c>
      <c r="R315" s="566">
        <f t="shared" si="351"/>
        <v>0</v>
      </c>
      <c r="S315" s="566">
        <f t="shared" si="352"/>
        <v>0</v>
      </c>
      <c r="T315" s="566">
        <f t="shared" si="353"/>
        <v>0</v>
      </c>
      <c r="U315" s="2028">
        <f t="shared" si="315"/>
        <v>0</v>
      </c>
      <c r="V315" s="1357"/>
      <c r="W315" s="1357"/>
      <c r="X315" s="1357"/>
      <c r="Y315" s="1357"/>
      <c r="AD315" s="2141">
        <f t="shared" si="344"/>
        <v>2.6</v>
      </c>
      <c r="AE315" s="2142" t="str">
        <f t="shared" si="324"/>
        <v/>
      </c>
      <c r="AG315" s="2118" t="s">
        <v>1816</v>
      </c>
    </row>
    <row r="316" spans="1:33" ht="25.5" hidden="1" outlineLevel="3" x14ac:dyDescent="0.2">
      <c r="A316" s="1360">
        <f t="shared" si="354"/>
        <v>773</v>
      </c>
      <c r="B316" s="578" t="s">
        <v>582</v>
      </c>
      <c r="C316" s="532" t="s">
        <v>1088</v>
      </c>
      <c r="D316" s="2154">
        <v>4</v>
      </c>
      <c r="E316" s="574" t="s">
        <v>502</v>
      </c>
      <c r="F316" s="2154" t="s">
        <v>312</v>
      </c>
      <c r="G316" s="2183">
        <v>0.15329999999999999</v>
      </c>
      <c r="H316" s="164"/>
      <c r="I316" s="1359">
        <f t="shared" si="343"/>
        <v>0</v>
      </c>
      <c r="J316" s="562" t="str">
        <f t="shared" si="345"/>
        <v>0:0:00</v>
      </c>
      <c r="K316" s="563">
        <v>1000</v>
      </c>
      <c r="L316" s="2127">
        <f t="shared" si="346"/>
        <v>95.15</v>
      </c>
      <c r="M316" s="561">
        <f t="shared" si="347"/>
        <v>0</v>
      </c>
      <c r="N316" s="564">
        <v>1</v>
      </c>
      <c r="O316" s="561">
        <f t="shared" si="348"/>
        <v>0</v>
      </c>
      <c r="P316" s="561">
        <f t="shared" si="349"/>
        <v>0</v>
      </c>
      <c r="Q316" s="565">
        <f t="shared" si="350"/>
        <v>0</v>
      </c>
      <c r="R316" s="566">
        <f t="shared" si="351"/>
        <v>0</v>
      </c>
      <c r="S316" s="566">
        <f t="shared" si="352"/>
        <v>0</v>
      </c>
      <c r="T316" s="566">
        <f t="shared" si="353"/>
        <v>0</v>
      </c>
      <c r="U316" s="2028">
        <f t="shared" si="315"/>
        <v>0</v>
      </c>
      <c r="V316" s="1357"/>
      <c r="W316" s="1357"/>
      <c r="X316" s="1357"/>
      <c r="Y316" s="1357"/>
      <c r="AD316" s="2141">
        <f t="shared" si="344"/>
        <v>2.6</v>
      </c>
      <c r="AE316" s="2142" t="str">
        <f t="shared" si="324"/>
        <v/>
      </c>
      <c r="AG316" s="2118" t="s">
        <v>1816</v>
      </c>
    </row>
    <row r="317" spans="1:33" ht="14.25" hidden="1" outlineLevel="2" x14ac:dyDescent="0.2">
      <c r="A317" s="1360"/>
      <c r="B317" s="557" t="s">
        <v>1090</v>
      </c>
      <c r="C317" s="522"/>
      <c r="D317" s="2152"/>
      <c r="E317" s="523" t="s">
        <v>218</v>
      </c>
      <c r="F317" s="2164"/>
      <c r="G317" s="2181"/>
      <c r="H317" s="569">
        <f>SUM(H311:H316)</f>
        <v>0</v>
      </c>
      <c r="I317" s="2043">
        <f>SUM(I318:I326)</f>
        <v>0</v>
      </c>
      <c r="J317" s="524"/>
      <c r="K317" s="524"/>
      <c r="L317" s="526"/>
      <c r="M317" s="524"/>
      <c r="N317" s="524"/>
      <c r="O317" s="524"/>
      <c r="P317" s="524"/>
      <c r="Q317" s="527"/>
      <c r="R317" s="524"/>
      <c r="S317" s="524"/>
      <c r="T317" s="524"/>
      <c r="U317" s="2028">
        <f t="shared" si="315"/>
        <v>0</v>
      </c>
      <c r="V317" s="1357"/>
      <c r="W317" s="1357"/>
      <c r="X317" s="1357"/>
      <c r="Y317" s="1357"/>
      <c r="AD317" s="2141" t="str">
        <f t="shared" si="344"/>
        <v/>
      </c>
      <c r="AE317" s="2142" t="str">
        <f t="shared" si="324"/>
        <v/>
      </c>
      <c r="AG317" s="2118" t="s">
        <v>1816</v>
      </c>
    </row>
    <row r="318" spans="1:33" ht="25.5" hidden="1" outlineLevel="3" x14ac:dyDescent="0.2">
      <c r="A318" s="1360">
        <f>A316+1</f>
        <v>774</v>
      </c>
      <c r="B318" s="576" t="s">
        <v>527</v>
      </c>
      <c r="C318" s="532" t="s">
        <v>1088</v>
      </c>
      <c r="D318" s="2154">
        <v>4</v>
      </c>
      <c r="E318" s="574" t="s">
        <v>502</v>
      </c>
      <c r="F318" s="2154" t="s">
        <v>312</v>
      </c>
      <c r="G318" s="2182">
        <v>5.67E-2</v>
      </c>
      <c r="H318" s="164"/>
      <c r="I318" s="1359">
        <f t="shared" si="343"/>
        <v>0</v>
      </c>
      <c r="J318" s="562" t="str">
        <f t="shared" ref="J318:J326" si="355">CONCATENATE(TRUNC(I318,0),":",INT((I318-(TRUNC(I318,0)))*60),":","00")</f>
        <v>0:0:00</v>
      </c>
      <c r="K318" s="563">
        <v>1000</v>
      </c>
      <c r="L318" s="2127">
        <f t="shared" ref="L318:L326" si="356">РезкаПодрезка</f>
        <v>95.15</v>
      </c>
      <c r="M318" s="561">
        <f t="shared" ref="M318:M326" si="357">I318*L318</f>
        <v>0</v>
      </c>
      <c r="N318" s="564">
        <v>1</v>
      </c>
      <c r="O318" s="561">
        <f t="shared" ref="O318:O326" si="358">M318*N318</f>
        <v>0</v>
      </c>
      <c r="P318" s="561">
        <f t="shared" ref="P318:P326" si="359">(M318+O318)*0.15</f>
        <v>0</v>
      </c>
      <c r="Q318" s="565">
        <f t="shared" ref="Q318:Q326" si="360">M318+O318+P318</f>
        <v>0</v>
      </c>
      <c r="R318" s="566">
        <f t="shared" ref="R318:R326" si="361">Q318*$R$1</f>
        <v>0</v>
      </c>
      <c r="S318" s="566">
        <f t="shared" ref="S318:S326" si="362">(Q318+R318)*$S$1</f>
        <v>0</v>
      </c>
      <c r="T318" s="566">
        <f>Q318+R318+S318</f>
        <v>0</v>
      </c>
      <c r="U318" s="2028">
        <f t="shared" si="315"/>
        <v>0</v>
      </c>
      <c r="V318" s="1357"/>
      <c r="W318" s="1357"/>
      <c r="X318" s="1357"/>
      <c r="Y318" s="1357"/>
      <c r="AD318" s="2141">
        <f t="shared" si="344"/>
        <v>2.6</v>
      </c>
      <c r="AE318" s="2142" t="str">
        <f t="shared" si="324"/>
        <v/>
      </c>
      <c r="AG318" s="2118" t="s">
        <v>1816</v>
      </c>
    </row>
    <row r="319" spans="1:33" ht="25.5" hidden="1" outlineLevel="3" x14ac:dyDescent="0.2">
      <c r="A319" s="1360">
        <f>A318+1</f>
        <v>775</v>
      </c>
      <c r="B319" s="577" t="s">
        <v>583</v>
      </c>
      <c r="C319" s="532" t="s">
        <v>1088</v>
      </c>
      <c r="D319" s="2154">
        <v>4</v>
      </c>
      <c r="E319" s="574" t="s">
        <v>502</v>
      </c>
      <c r="F319" s="2154" t="s">
        <v>312</v>
      </c>
      <c r="G319" s="2182">
        <v>1.3299999999999999E-2</v>
      </c>
      <c r="H319" s="164">
        <f>SUM(H321:H326)*3</f>
        <v>0</v>
      </c>
      <c r="I319" s="1359">
        <f t="shared" si="343"/>
        <v>0</v>
      </c>
      <c r="J319" s="562" t="str">
        <f t="shared" si="355"/>
        <v>0:0:00</v>
      </c>
      <c r="K319" s="563">
        <v>1000</v>
      </c>
      <c r="L319" s="2127">
        <f t="shared" si="356"/>
        <v>95.15</v>
      </c>
      <c r="M319" s="561">
        <f t="shared" si="357"/>
        <v>0</v>
      </c>
      <c r="N319" s="564">
        <v>1</v>
      </c>
      <c r="O319" s="561">
        <f t="shared" si="358"/>
        <v>0</v>
      </c>
      <c r="P319" s="561">
        <f t="shared" si="359"/>
        <v>0</v>
      </c>
      <c r="Q319" s="565">
        <f t="shared" si="360"/>
        <v>0</v>
      </c>
      <c r="R319" s="566">
        <f t="shared" si="361"/>
        <v>0</v>
      </c>
      <c r="S319" s="566">
        <f t="shared" si="362"/>
        <v>0</v>
      </c>
      <c r="T319" s="566">
        <f t="shared" ref="T319:T326" si="363">Q319+R319+S319</f>
        <v>0</v>
      </c>
      <c r="U319" s="2028">
        <f t="shared" si="315"/>
        <v>0</v>
      </c>
      <c r="V319" s="1357"/>
      <c r="W319" s="1357"/>
      <c r="X319" s="1357"/>
      <c r="Y319" s="1357"/>
      <c r="AD319" s="2141">
        <f t="shared" si="344"/>
        <v>2.6</v>
      </c>
      <c r="AE319" s="2142" t="str">
        <f t="shared" si="324"/>
        <v/>
      </c>
      <c r="AG319" s="2118" t="s">
        <v>1816</v>
      </c>
    </row>
    <row r="320" spans="1:33" ht="25.5" hidden="1" outlineLevel="3" x14ac:dyDescent="0.2">
      <c r="A320" s="1360">
        <f t="shared" ref="A320:A326" si="364">A319+1</f>
        <v>776</v>
      </c>
      <c r="B320" s="576" t="s">
        <v>529</v>
      </c>
      <c r="C320" s="532" t="s">
        <v>1088</v>
      </c>
      <c r="D320" s="2154">
        <v>4</v>
      </c>
      <c r="E320" s="574" t="s">
        <v>502</v>
      </c>
      <c r="F320" s="2154" t="s">
        <v>312</v>
      </c>
      <c r="G320" s="2182">
        <v>3.6600000000000001E-2</v>
      </c>
      <c r="H320" s="164"/>
      <c r="I320" s="1359">
        <f t="shared" si="343"/>
        <v>0</v>
      </c>
      <c r="J320" s="562" t="str">
        <f t="shared" si="355"/>
        <v>0:0:00</v>
      </c>
      <c r="K320" s="563">
        <v>1000</v>
      </c>
      <c r="L320" s="2127">
        <f t="shared" si="356"/>
        <v>95.15</v>
      </c>
      <c r="M320" s="561">
        <f t="shared" si="357"/>
        <v>0</v>
      </c>
      <c r="N320" s="564">
        <v>1</v>
      </c>
      <c r="O320" s="561">
        <f t="shared" si="358"/>
        <v>0</v>
      </c>
      <c r="P320" s="561">
        <f t="shared" si="359"/>
        <v>0</v>
      </c>
      <c r="Q320" s="565">
        <f t="shared" si="360"/>
        <v>0</v>
      </c>
      <c r="R320" s="566">
        <f t="shared" si="361"/>
        <v>0</v>
      </c>
      <c r="S320" s="566">
        <f t="shared" si="362"/>
        <v>0</v>
      </c>
      <c r="T320" s="566">
        <f t="shared" si="363"/>
        <v>0</v>
      </c>
      <c r="U320" s="2028">
        <f t="shared" si="315"/>
        <v>0</v>
      </c>
      <c r="V320" s="1357"/>
      <c r="W320" s="1357"/>
      <c r="X320" s="1357"/>
      <c r="Y320" s="1357"/>
      <c r="AD320" s="2141">
        <f t="shared" si="344"/>
        <v>2.6</v>
      </c>
      <c r="AE320" s="2142" t="str">
        <f t="shared" si="324"/>
        <v/>
      </c>
      <c r="AG320" s="2118" t="s">
        <v>1816</v>
      </c>
    </row>
    <row r="321" spans="1:33" ht="25.5" hidden="1" outlineLevel="3" x14ac:dyDescent="0.2">
      <c r="A321" s="1360">
        <f t="shared" si="364"/>
        <v>777</v>
      </c>
      <c r="B321" s="578" t="s">
        <v>530</v>
      </c>
      <c r="C321" s="532" t="s">
        <v>1088</v>
      </c>
      <c r="D321" s="2154">
        <v>4</v>
      </c>
      <c r="E321" s="574" t="s">
        <v>502</v>
      </c>
      <c r="F321" s="2154" t="s">
        <v>312</v>
      </c>
      <c r="G321" s="2182">
        <v>0.05</v>
      </c>
      <c r="H321" s="164"/>
      <c r="I321" s="1359">
        <f t="shared" si="343"/>
        <v>0</v>
      </c>
      <c r="J321" s="562" t="str">
        <f t="shared" si="355"/>
        <v>0:0:00</v>
      </c>
      <c r="K321" s="563">
        <v>1000</v>
      </c>
      <c r="L321" s="2127">
        <f t="shared" si="356"/>
        <v>95.15</v>
      </c>
      <c r="M321" s="561">
        <f t="shared" si="357"/>
        <v>0</v>
      </c>
      <c r="N321" s="564">
        <v>1</v>
      </c>
      <c r="O321" s="561">
        <f t="shared" si="358"/>
        <v>0</v>
      </c>
      <c r="P321" s="561">
        <f t="shared" si="359"/>
        <v>0</v>
      </c>
      <c r="Q321" s="565">
        <f t="shared" si="360"/>
        <v>0</v>
      </c>
      <c r="R321" s="566">
        <f t="shared" si="361"/>
        <v>0</v>
      </c>
      <c r="S321" s="566">
        <f t="shared" si="362"/>
        <v>0</v>
      </c>
      <c r="T321" s="566">
        <f t="shared" si="363"/>
        <v>0</v>
      </c>
      <c r="U321" s="2028">
        <f t="shared" si="315"/>
        <v>0</v>
      </c>
      <c r="V321" s="1357"/>
      <c r="W321" s="1357"/>
      <c r="X321" s="1357"/>
      <c r="Y321" s="1357"/>
      <c r="AD321" s="2141">
        <f t="shared" si="344"/>
        <v>2.6</v>
      </c>
      <c r="AE321" s="2142" t="str">
        <f t="shared" si="324"/>
        <v/>
      </c>
      <c r="AG321" s="2118" t="s">
        <v>1816</v>
      </c>
    </row>
    <row r="322" spans="1:33" ht="25.5" hidden="1" outlineLevel="3" x14ac:dyDescent="0.2">
      <c r="A322" s="1360">
        <f t="shared" si="364"/>
        <v>778</v>
      </c>
      <c r="B322" s="578" t="s">
        <v>531</v>
      </c>
      <c r="C322" s="532" t="s">
        <v>1088</v>
      </c>
      <c r="D322" s="2154">
        <v>4</v>
      </c>
      <c r="E322" s="574" t="s">
        <v>502</v>
      </c>
      <c r="F322" s="2154" t="s">
        <v>312</v>
      </c>
      <c r="G322" s="2182">
        <v>8.3299999999999999E-2</v>
      </c>
      <c r="H322" s="164"/>
      <c r="I322" s="1359">
        <f t="shared" si="343"/>
        <v>0</v>
      </c>
      <c r="J322" s="562" t="str">
        <f t="shared" si="355"/>
        <v>0:0:00</v>
      </c>
      <c r="K322" s="563">
        <v>1000</v>
      </c>
      <c r="L322" s="2127">
        <f t="shared" si="356"/>
        <v>95.15</v>
      </c>
      <c r="M322" s="561">
        <f t="shared" si="357"/>
        <v>0</v>
      </c>
      <c r="N322" s="564">
        <v>1</v>
      </c>
      <c r="O322" s="561">
        <f t="shared" si="358"/>
        <v>0</v>
      </c>
      <c r="P322" s="561">
        <f t="shared" si="359"/>
        <v>0</v>
      </c>
      <c r="Q322" s="565">
        <f t="shared" si="360"/>
        <v>0</v>
      </c>
      <c r="R322" s="566">
        <f t="shared" si="361"/>
        <v>0</v>
      </c>
      <c r="S322" s="566">
        <f t="shared" si="362"/>
        <v>0</v>
      </c>
      <c r="T322" s="566">
        <f t="shared" si="363"/>
        <v>0</v>
      </c>
      <c r="U322" s="2028">
        <f t="shared" si="315"/>
        <v>0</v>
      </c>
      <c r="V322" s="1357"/>
      <c r="W322" s="1357"/>
      <c r="X322" s="1357"/>
      <c r="Y322" s="1357"/>
      <c r="AD322" s="2141">
        <f t="shared" si="344"/>
        <v>2.6</v>
      </c>
      <c r="AE322" s="2142" t="str">
        <f t="shared" si="324"/>
        <v/>
      </c>
      <c r="AG322" s="2118" t="s">
        <v>1816</v>
      </c>
    </row>
    <row r="323" spans="1:33" ht="25.5" hidden="1" outlineLevel="3" x14ac:dyDescent="0.2">
      <c r="A323" s="1360">
        <f t="shared" si="364"/>
        <v>779</v>
      </c>
      <c r="B323" s="578" t="s">
        <v>532</v>
      </c>
      <c r="C323" s="532" t="s">
        <v>1088</v>
      </c>
      <c r="D323" s="2154">
        <v>4</v>
      </c>
      <c r="E323" s="574" t="s">
        <v>502</v>
      </c>
      <c r="F323" s="2154" t="s">
        <v>312</v>
      </c>
      <c r="G323" s="2182">
        <v>0.1067</v>
      </c>
      <c r="H323" s="164"/>
      <c r="I323" s="1359">
        <f t="shared" si="343"/>
        <v>0</v>
      </c>
      <c r="J323" s="562" t="str">
        <f t="shared" si="355"/>
        <v>0:0:00</v>
      </c>
      <c r="K323" s="563">
        <v>1000</v>
      </c>
      <c r="L323" s="2127">
        <f t="shared" si="356"/>
        <v>95.15</v>
      </c>
      <c r="M323" s="561">
        <f t="shared" si="357"/>
        <v>0</v>
      </c>
      <c r="N323" s="564">
        <v>1</v>
      </c>
      <c r="O323" s="561">
        <f t="shared" si="358"/>
        <v>0</v>
      </c>
      <c r="P323" s="561">
        <f t="shared" si="359"/>
        <v>0</v>
      </c>
      <c r="Q323" s="565">
        <f t="shared" si="360"/>
        <v>0</v>
      </c>
      <c r="R323" s="566">
        <f t="shared" si="361"/>
        <v>0</v>
      </c>
      <c r="S323" s="566">
        <f t="shared" si="362"/>
        <v>0</v>
      </c>
      <c r="T323" s="566">
        <f t="shared" si="363"/>
        <v>0</v>
      </c>
      <c r="U323" s="2028">
        <f t="shared" si="315"/>
        <v>0</v>
      </c>
      <c r="V323" s="1357"/>
      <c r="W323" s="1357"/>
      <c r="X323" s="1357"/>
      <c r="Y323" s="1357"/>
      <c r="AD323" s="2141">
        <f t="shared" si="344"/>
        <v>2.6</v>
      </c>
      <c r="AE323" s="2142" t="str">
        <f t="shared" si="324"/>
        <v/>
      </c>
      <c r="AG323" s="2118" t="s">
        <v>1816</v>
      </c>
    </row>
    <row r="324" spans="1:33" ht="25.5" hidden="1" outlineLevel="3" x14ac:dyDescent="0.2">
      <c r="A324" s="1360">
        <f t="shared" si="364"/>
        <v>780</v>
      </c>
      <c r="B324" s="578" t="s">
        <v>533</v>
      </c>
      <c r="C324" s="532" t="s">
        <v>1088</v>
      </c>
      <c r="D324" s="2154">
        <v>4</v>
      </c>
      <c r="E324" s="574" t="s">
        <v>502</v>
      </c>
      <c r="F324" s="2154" t="s">
        <v>312</v>
      </c>
      <c r="G324" s="2182">
        <v>0.13</v>
      </c>
      <c r="H324" s="164"/>
      <c r="I324" s="1359">
        <f t="shared" si="343"/>
        <v>0</v>
      </c>
      <c r="J324" s="562" t="str">
        <f t="shared" si="355"/>
        <v>0:0:00</v>
      </c>
      <c r="K324" s="563">
        <v>1000</v>
      </c>
      <c r="L324" s="2127">
        <f t="shared" si="356"/>
        <v>95.15</v>
      </c>
      <c r="M324" s="561">
        <f t="shared" si="357"/>
        <v>0</v>
      </c>
      <c r="N324" s="564">
        <v>1</v>
      </c>
      <c r="O324" s="561">
        <f t="shared" si="358"/>
        <v>0</v>
      </c>
      <c r="P324" s="561">
        <f t="shared" si="359"/>
        <v>0</v>
      </c>
      <c r="Q324" s="565">
        <f t="shared" si="360"/>
        <v>0</v>
      </c>
      <c r="R324" s="566">
        <f t="shared" si="361"/>
        <v>0</v>
      </c>
      <c r="S324" s="566">
        <f t="shared" si="362"/>
        <v>0</v>
      </c>
      <c r="T324" s="566">
        <f t="shared" si="363"/>
        <v>0</v>
      </c>
      <c r="U324" s="2028">
        <f t="shared" si="315"/>
        <v>0</v>
      </c>
      <c r="V324" s="1357"/>
      <c r="W324" s="1357"/>
      <c r="X324" s="1357"/>
      <c r="Y324" s="1357"/>
      <c r="AD324" s="2141">
        <f t="shared" si="344"/>
        <v>2.6</v>
      </c>
      <c r="AE324" s="2142" t="str">
        <f t="shared" si="324"/>
        <v/>
      </c>
      <c r="AG324" s="2118" t="s">
        <v>1816</v>
      </c>
    </row>
    <row r="325" spans="1:33" ht="25.5" hidden="1" outlineLevel="3" x14ac:dyDescent="0.2">
      <c r="A325" s="1360">
        <f t="shared" si="364"/>
        <v>781</v>
      </c>
      <c r="B325" s="578" t="s">
        <v>534</v>
      </c>
      <c r="C325" s="532" t="s">
        <v>1088</v>
      </c>
      <c r="D325" s="2154">
        <v>4</v>
      </c>
      <c r="E325" s="574" t="s">
        <v>502</v>
      </c>
      <c r="F325" s="2154" t="s">
        <v>312</v>
      </c>
      <c r="G325" s="2182">
        <v>0.15</v>
      </c>
      <c r="H325" s="164"/>
      <c r="I325" s="1359">
        <f t="shared" si="343"/>
        <v>0</v>
      </c>
      <c r="J325" s="562" t="str">
        <f t="shared" si="355"/>
        <v>0:0:00</v>
      </c>
      <c r="K325" s="563">
        <v>1000</v>
      </c>
      <c r="L325" s="2127">
        <f t="shared" si="356"/>
        <v>95.15</v>
      </c>
      <c r="M325" s="561">
        <f t="shared" si="357"/>
        <v>0</v>
      </c>
      <c r="N325" s="564">
        <v>1</v>
      </c>
      <c r="O325" s="561">
        <f t="shared" si="358"/>
        <v>0</v>
      </c>
      <c r="P325" s="561">
        <f t="shared" si="359"/>
        <v>0</v>
      </c>
      <c r="Q325" s="565">
        <f t="shared" si="360"/>
        <v>0</v>
      </c>
      <c r="R325" s="566">
        <f t="shared" si="361"/>
        <v>0</v>
      </c>
      <c r="S325" s="566">
        <f t="shared" si="362"/>
        <v>0</v>
      </c>
      <c r="T325" s="566">
        <f t="shared" si="363"/>
        <v>0</v>
      </c>
      <c r="U325" s="2028">
        <f t="shared" si="315"/>
        <v>0</v>
      </c>
      <c r="V325" s="1357"/>
      <c r="W325" s="1357"/>
      <c r="X325" s="1357"/>
      <c r="Y325" s="1357"/>
      <c r="AD325" s="2141">
        <f t="shared" si="344"/>
        <v>2.6</v>
      </c>
      <c r="AE325" s="2142" t="str">
        <f t="shared" si="324"/>
        <v/>
      </c>
      <c r="AG325" s="2118" t="s">
        <v>1816</v>
      </c>
    </row>
    <row r="326" spans="1:33" ht="25.5" hidden="1" outlineLevel="3" x14ac:dyDescent="0.2">
      <c r="A326" s="1360">
        <f t="shared" si="364"/>
        <v>782</v>
      </c>
      <c r="B326" s="578" t="s">
        <v>535</v>
      </c>
      <c r="C326" s="532" t="s">
        <v>1088</v>
      </c>
      <c r="D326" s="2154">
        <v>4</v>
      </c>
      <c r="E326" s="574" t="s">
        <v>502</v>
      </c>
      <c r="F326" s="2154" t="s">
        <v>312</v>
      </c>
      <c r="G326" s="2182">
        <v>0.20669999999999999</v>
      </c>
      <c r="H326" s="164"/>
      <c r="I326" s="1359">
        <f t="shared" si="343"/>
        <v>0</v>
      </c>
      <c r="J326" s="562" t="str">
        <f t="shared" si="355"/>
        <v>0:0:00</v>
      </c>
      <c r="K326" s="563">
        <v>1000</v>
      </c>
      <c r="L326" s="2127">
        <f t="shared" si="356"/>
        <v>95.15</v>
      </c>
      <c r="M326" s="561">
        <f t="shared" si="357"/>
        <v>0</v>
      </c>
      <c r="N326" s="564">
        <v>1</v>
      </c>
      <c r="O326" s="561">
        <f t="shared" si="358"/>
        <v>0</v>
      </c>
      <c r="P326" s="561">
        <f t="shared" si="359"/>
        <v>0</v>
      </c>
      <c r="Q326" s="565">
        <f t="shared" si="360"/>
        <v>0</v>
      </c>
      <c r="R326" s="566">
        <f t="shared" si="361"/>
        <v>0</v>
      </c>
      <c r="S326" s="566">
        <f t="shared" si="362"/>
        <v>0</v>
      </c>
      <c r="T326" s="566">
        <f t="shared" si="363"/>
        <v>0</v>
      </c>
      <c r="U326" s="2028">
        <f t="shared" si="315"/>
        <v>0</v>
      </c>
      <c r="V326" s="1357"/>
      <c r="W326" s="1357"/>
      <c r="X326" s="1357"/>
      <c r="Y326" s="1357"/>
      <c r="AD326" s="2141">
        <f t="shared" si="344"/>
        <v>2.6</v>
      </c>
      <c r="AE326" s="2142" t="str">
        <f t="shared" si="324"/>
        <v/>
      </c>
      <c r="AG326" s="2118" t="s">
        <v>1816</v>
      </c>
    </row>
    <row r="327" spans="1:33" ht="14.25" hidden="1" outlineLevel="2" x14ac:dyDescent="0.2">
      <c r="A327" s="1360"/>
      <c r="B327" s="557" t="s">
        <v>1091</v>
      </c>
      <c r="C327" s="522"/>
      <c r="D327" s="2152"/>
      <c r="E327" s="523" t="s">
        <v>218</v>
      </c>
      <c r="F327" s="2164"/>
      <c r="G327" s="2181"/>
      <c r="H327" s="569">
        <f>SUM(H321:H326)</f>
        <v>0</v>
      </c>
      <c r="I327" s="2043">
        <f>SUM(I328:I336)</f>
        <v>0</v>
      </c>
      <c r="J327" s="524"/>
      <c r="K327" s="524"/>
      <c r="L327" s="526"/>
      <c r="M327" s="524"/>
      <c r="N327" s="524"/>
      <c r="O327" s="524"/>
      <c r="P327" s="524"/>
      <c r="Q327" s="527"/>
      <c r="R327" s="524"/>
      <c r="S327" s="524"/>
      <c r="T327" s="524"/>
      <c r="U327" s="2028">
        <f t="shared" si="315"/>
        <v>0</v>
      </c>
      <c r="V327" s="1357"/>
      <c r="W327" s="1357"/>
      <c r="X327" s="1357"/>
      <c r="Y327" s="1357"/>
      <c r="AD327" s="2141" t="str">
        <f t="shared" si="344"/>
        <v/>
      </c>
      <c r="AE327" s="2142" t="str">
        <f t="shared" si="324"/>
        <v/>
      </c>
      <c r="AG327" s="2118" t="s">
        <v>1816</v>
      </c>
    </row>
    <row r="328" spans="1:33" ht="25.5" hidden="1" outlineLevel="3" x14ac:dyDescent="0.2">
      <c r="A328" s="1360">
        <f>A326+1</f>
        <v>783</v>
      </c>
      <c r="B328" s="576" t="s">
        <v>571</v>
      </c>
      <c r="C328" s="532" t="s">
        <v>1088</v>
      </c>
      <c r="D328" s="2154">
        <v>4</v>
      </c>
      <c r="E328" s="574" t="s">
        <v>502</v>
      </c>
      <c r="F328" s="2154" t="s">
        <v>312</v>
      </c>
      <c r="G328" s="2182">
        <v>8.1699999999999995E-2</v>
      </c>
      <c r="H328" s="164"/>
      <c r="I328" s="1359">
        <f t="shared" si="343"/>
        <v>0</v>
      </c>
      <c r="J328" s="562" t="str">
        <f t="shared" ref="J328:J336" si="365">CONCATENATE(TRUNC(I328,0),":",INT((I328-(TRUNC(I328,0)))*60),":","00")</f>
        <v>0:0:00</v>
      </c>
      <c r="K328" s="563">
        <v>1000</v>
      </c>
      <c r="L328" s="2127">
        <f t="shared" ref="L328:L336" si="366">РезкаПодрезка</f>
        <v>95.15</v>
      </c>
      <c r="M328" s="561">
        <f t="shared" ref="M328:M336" si="367">I328*L328</f>
        <v>0</v>
      </c>
      <c r="N328" s="564">
        <v>1</v>
      </c>
      <c r="O328" s="561">
        <f t="shared" ref="O328:O336" si="368">M328*N328</f>
        <v>0</v>
      </c>
      <c r="P328" s="561">
        <f t="shared" ref="P328:P336" si="369">(M328+O328)*0.15</f>
        <v>0</v>
      </c>
      <c r="Q328" s="565">
        <f t="shared" ref="Q328:Q336" si="370">M328+O328+P328</f>
        <v>0</v>
      </c>
      <c r="R328" s="566">
        <f t="shared" ref="R328:R336" si="371">Q328*$R$1</f>
        <v>0</v>
      </c>
      <c r="S328" s="566">
        <f t="shared" ref="S328:S336" si="372">(Q328+R328)*$S$1</f>
        <v>0</v>
      </c>
      <c r="T328" s="566">
        <f>Q328+R328+S328</f>
        <v>0</v>
      </c>
      <c r="U328" s="2028">
        <f t="shared" si="315"/>
        <v>0</v>
      </c>
      <c r="V328" s="1357"/>
      <c r="W328" s="1357"/>
      <c r="X328" s="1357"/>
      <c r="Y328" s="1357"/>
      <c r="AD328" s="2141">
        <f t="shared" si="344"/>
        <v>2.6</v>
      </c>
      <c r="AE328" s="2142" t="str">
        <f t="shared" si="324"/>
        <v/>
      </c>
      <c r="AG328" s="2118" t="s">
        <v>1816</v>
      </c>
    </row>
    <row r="329" spans="1:33" ht="25.5" hidden="1" outlineLevel="3" x14ac:dyDescent="0.2">
      <c r="A329" s="1360">
        <f>A328+1</f>
        <v>784</v>
      </c>
      <c r="B329" s="577" t="s">
        <v>584</v>
      </c>
      <c r="C329" s="532" t="s">
        <v>1088</v>
      </c>
      <c r="D329" s="2154">
        <v>4</v>
      </c>
      <c r="E329" s="574" t="s">
        <v>502</v>
      </c>
      <c r="F329" s="2154" t="s">
        <v>312</v>
      </c>
      <c r="G329" s="2182">
        <v>1.83E-2</v>
      </c>
      <c r="H329" s="164">
        <f>SUM(H331:H336)*3</f>
        <v>0</v>
      </c>
      <c r="I329" s="1359">
        <f t="shared" si="343"/>
        <v>0</v>
      </c>
      <c r="J329" s="562" t="str">
        <f t="shared" si="365"/>
        <v>0:0:00</v>
      </c>
      <c r="K329" s="563">
        <v>1000</v>
      </c>
      <c r="L329" s="2127">
        <f t="shared" si="366"/>
        <v>95.15</v>
      </c>
      <c r="M329" s="561">
        <f t="shared" si="367"/>
        <v>0</v>
      </c>
      <c r="N329" s="564">
        <v>1</v>
      </c>
      <c r="O329" s="561">
        <f t="shared" si="368"/>
        <v>0</v>
      </c>
      <c r="P329" s="561">
        <f t="shared" si="369"/>
        <v>0</v>
      </c>
      <c r="Q329" s="565">
        <f t="shared" si="370"/>
        <v>0</v>
      </c>
      <c r="R329" s="566">
        <f t="shared" si="371"/>
        <v>0</v>
      </c>
      <c r="S329" s="566">
        <f t="shared" si="372"/>
        <v>0</v>
      </c>
      <c r="T329" s="566">
        <f t="shared" ref="T329:T336" si="373">Q329+R329+S329</f>
        <v>0</v>
      </c>
      <c r="U329" s="2028">
        <f t="shared" si="315"/>
        <v>0</v>
      </c>
      <c r="V329" s="1357"/>
      <c r="W329" s="1357"/>
      <c r="X329" s="1357"/>
      <c r="Y329" s="1357"/>
      <c r="AD329" s="2141">
        <f t="shared" si="344"/>
        <v>2.6</v>
      </c>
      <c r="AE329" s="2142" t="str">
        <f t="shared" si="324"/>
        <v/>
      </c>
      <c r="AG329" s="2118" t="s">
        <v>1816</v>
      </c>
    </row>
    <row r="330" spans="1:33" ht="25.5" hidden="1" outlineLevel="3" x14ac:dyDescent="0.2">
      <c r="A330" s="1360">
        <f t="shared" ref="A330:A336" si="374">A329+1</f>
        <v>785</v>
      </c>
      <c r="B330" s="576" t="s">
        <v>542</v>
      </c>
      <c r="C330" s="532" t="s">
        <v>1088</v>
      </c>
      <c r="D330" s="2154">
        <v>4</v>
      </c>
      <c r="E330" s="574" t="s">
        <v>502</v>
      </c>
      <c r="F330" s="2154" t="s">
        <v>312</v>
      </c>
      <c r="G330" s="2182">
        <v>5.33E-2</v>
      </c>
      <c r="H330" s="164"/>
      <c r="I330" s="1359">
        <f t="shared" si="343"/>
        <v>0</v>
      </c>
      <c r="J330" s="562" t="str">
        <f t="shared" si="365"/>
        <v>0:0:00</v>
      </c>
      <c r="K330" s="563">
        <v>1000</v>
      </c>
      <c r="L330" s="2127">
        <f t="shared" si="366"/>
        <v>95.15</v>
      </c>
      <c r="M330" s="561">
        <f t="shared" si="367"/>
        <v>0</v>
      </c>
      <c r="N330" s="564">
        <v>1</v>
      </c>
      <c r="O330" s="561">
        <f t="shared" si="368"/>
        <v>0</v>
      </c>
      <c r="P330" s="561">
        <f t="shared" si="369"/>
        <v>0</v>
      </c>
      <c r="Q330" s="565">
        <f t="shared" si="370"/>
        <v>0</v>
      </c>
      <c r="R330" s="566">
        <f t="shared" si="371"/>
        <v>0</v>
      </c>
      <c r="S330" s="566">
        <f t="shared" si="372"/>
        <v>0</v>
      </c>
      <c r="T330" s="566">
        <f t="shared" si="373"/>
        <v>0</v>
      </c>
      <c r="U330" s="2028">
        <f t="shared" si="315"/>
        <v>0</v>
      </c>
      <c r="V330" s="1357"/>
      <c r="W330" s="1357"/>
      <c r="X330" s="1357"/>
      <c r="Y330" s="1357"/>
      <c r="AD330" s="2141">
        <f t="shared" si="344"/>
        <v>2.6</v>
      </c>
      <c r="AE330" s="2142" t="str">
        <f t="shared" si="324"/>
        <v/>
      </c>
      <c r="AG330" s="2118" t="s">
        <v>1816</v>
      </c>
    </row>
    <row r="331" spans="1:33" ht="25.5" hidden="1" outlineLevel="3" x14ac:dyDescent="0.2">
      <c r="A331" s="1360">
        <f t="shared" si="374"/>
        <v>786</v>
      </c>
      <c r="B331" s="578" t="s">
        <v>543</v>
      </c>
      <c r="C331" s="532" t="s">
        <v>1088</v>
      </c>
      <c r="D331" s="2154">
        <v>4</v>
      </c>
      <c r="E331" s="574" t="s">
        <v>502</v>
      </c>
      <c r="F331" s="2154" t="s">
        <v>312</v>
      </c>
      <c r="G331" s="2182">
        <v>7.17E-2</v>
      </c>
      <c r="H331" s="164"/>
      <c r="I331" s="1359">
        <f t="shared" si="343"/>
        <v>0</v>
      </c>
      <c r="J331" s="562" t="str">
        <f t="shared" si="365"/>
        <v>0:0:00</v>
      </c>
      <c r="K331" s="563">
        <v>1000</v>
      </c>
      <c r="L331" s="2127">
        <f t="shared" si="366"/>
        <v>95.15</v>
      </c>
      <c r="M331" s="561">
        <f t="shared" si="367"/>
        <v>0</v>
      </c>
      <c r="N331" s="564">
        <v>1</v>
      </c>
      <c r="O331" s="561">
        <f t="shared" si="368"/>
        <v>0</v>
      </c>
      <c r="P331" s="561">
        <f t="shared" si="369"/>
        <v>0</v>
      </c>
      <c r="Q331" s="565">
        <f t="shared" si="370"/>
        <v>0</v>
      </c>
      <c r="R331" s="566">
        <f t="shared" si="371"/>
        <v>0</v>
      </c>
      <c r="S331" s="566">
        <f t="shared" si="372"/>
        <v>0</v>
      </c>
      <c r="T331" s="566">
        <f t="shared" si="373"/>
        <v>0</v>
      </c>
      <c r="U331" s="2028">
        <f t="shared" si="315"/>
        <v>0</v>
      </c>
      <c r="V331" s="1357"/>
      <c r="W331" s="1357"/>
      <c r="X331" s="1357"/>
      <c r="Y331" s="1357"/>
      <c r="AD331" s="2141">
        <f t="shared" si="344"/>
        <v>2.6</v>
      </c>
      <c r="AE331" s="2142" t="str">
        <f t="shared" si="324"/>
        <v/>
      </c>
      <c r="AG331" s="2118" t="s">
        <v>1816</v>
      </c>
    </row>
    <row r="332" spans="1:33" ht="25.5" hidden="1" outlineLevel="3" x14ac:dyDescent="0.2">
      <c r="A332" s="1360">
        <f t="shared" si="374"/>
        <v>787</v>
      </c>
      <c r="B332" s="578" t="s">
        <v>544</v>
      </c>
      <c r="C332" s="532" t="s">
        <v>1088</v>
      </c>
      <c r="D332" s="2154">
        <v>4</v>
      </c>
      <c r="E332" s="574" t="s">
        <v>502</v>
      </c>
      <c r="F332" s="2154" t="s">
        <v>312</v>
      </c>
      <c r="G332" s="2182">
        <v>0.12</v>
      </c>
      <c r="H332" s="164"/>
      <c r="I332" s="1359">
        <f t="shared" si="343"/>
        <v>0</v>
      </c>
      <c r="J332" s="562" t="str">
        <f t="shared" si="365"/>
        <v>0:0:00</v>
      </c>
      <c r="K332" s="563">
        <v>1000</v>
      </c>
      <c r="L332" s="2127">
        <f t="shared" si="366"/>
        <v>95.15</v>
      </c>
      <c r="M332" s="561">
        <f t="shared" si="367"/>
        <v>0</v>
      </c>
      <c r="N332" s="564">
        <v>1</v>
      </c>
      <c r="O332" s="561">
        <f t="shared" si="368"/>
        <v>0</v>
      </c>
      <c r="P332" s="561">
        <f t="shared" si="369"/>
        <v>0</v>
      </c>
      <c r="Q332" s="565">
        <f t="shared" si="370"/>
        <v>0</v>
      </c>
      <c r="R332" s="566">
        <f t="shared" si="371"/>
        <v>0</v>
      </c>
      <c r="S332" s="566">
        <f t="shared" si="372"/>
        <v>0</v>
      </c>
      <c r="T332" s="566">
        <f t="shared" si="373"/>
        <v>0</v>
      </c>
      <c r="U332" s="2028">
        <f t="shared" si="315"/>
        <v>0</v>
      </c>
      <c r="V332" s="1357"/>
      <c r="W332" s="1357"/>
      <c r="X332" s="1357"/>
      <c r="Y332" s="1357"/>
      <c r="AD332" s="2141">
        <f t="shared" si="344"/>
        <v>2.6</v>
      </c>
      <c r="AE332" s="2142" t="str">
        <f t="shared" si="324"/>
        <v/>
      </c>
      <c r="AG332" s="2118" t="s">
        <v>1816</v>
      </c>
    </row>
    <row r="333" spans="1:33" ht="25.5" hidden="1" outlineLevel="3" x14ac:dyDescent="0.2">
      <c r="A333" s="1360">
        <f t="shared" si="374"/>
        <v>788</v>
      </c>
      <c r="B333" s="578" t="s">
        <v>545</v>
      </c>
      <c r="C333" s="532" t="s">
        <v>1088</v>
      </c>
      <c r="D333" s="2154">
        <v>4</v>
      </c>
      <c r="E333" s="574" t="s">
        <v>502</v>
      </c>
      <c r="F333" s="2154" t="s">
        <v>312</v>
      </c>
      <c r="G333" s="2182">
        <v>0.15329999999999999</v>
      </c>
      <c r="H333" s="164"/>
      <c r="I333" s="1359">
        <f t="shared" si="343"/>
        <v>0</v>
      </c>
      <c r="J333" s="562" t="str">
        <f t="shared" si="365"/>
        <v>0:0:00</v>
      </c>
      <c r="K333" s="563">
        <v>1000</v>
      </c>
      <c r="L333" s="2127">
        <f t="shared" si="366"/>
        <v>95.15</v>
      </c>
      <c r="M333" s="561">
        <f t="shared" si="367"/>
        <v>0</v>
      </c>
      <c r="N333" s="564">
        <v>1</v>
      </c>
      <c r="O333" s="561">
        <f t="shared" si="368"/>
        <v>0</v>
      </c>
      <c r="P333" s="561">
        <f t="shared" si="369"/>
        <v>0</v>
      </c>
      <c r="Q333" s="565">
        <f t="shared" si="370"/>
        <v>0</v>
      </c>
      <c r="R333" s="566">
        <f t="shared" si="371"/>
        <v>0</v>
      </c>
      <c r="S333" s="566">
        <f t="shared" si="372"/>
        <v>0</v>
      </c>
      <c r="T333" s="566">
        <f t="shared" si="373"/>
        <v>0</v>
      </c>
      <c r="U333" s="2028">
        <f t="shared" si="315"/>
        <v>0</v>
      </c>
      <c r="V333" s="1357"/>
      <c r="W333" s="1357"/>
      <c r="X333" s="1357"/>
      <c r="Y333" s="1357"/>
      <c r="AD333" s="2141">
        <f t="shared" si="344"/>
        <v>2.6</v>
      </c>
      <c r="AE333" s="2142" t="str">
        <f t="shared" si="324"/>
        <v/>
      </c>
      <c r="AG333" s="2118" t="s">
        <v>1816</v>
      </c>
    </row>
    <row r="334" spans="1:33" ht="25.5" hidden="1" outlineLevel="3" x14ac:dyDescent="0.2">
      <c r="A334" s="1360">
        <f t="shared" si="374"/>
        <v>789</v>
      </c>
      <c r="B334" s="578" t="s">
        <v>546</v>
      </c>
      <c r="C334" s="532" t="s">
        <v>1088</v>
      </c>
      <c r="D334" s="2154">
        <v>4</v>
      </c>
      <c r="E334" s="574" t="s">
        <v>502</v>
      </c>
      <c r="F334" s="2154" t="s">
        <v>312</v>
      </c>
      <c r="G334" s="2182">
        <v>0.1867</v>
      </c>
      <c r="H334" s="164"/>
      <c r="I334" s="1359">
        <f t="shared" si="343"/>
        <v>0</v>
      </c>
      <c r="J334" s="562" t="str">
        <f t="shared" si="365"/>
        <v>0:0:00</v>
      </c>
      <c r="K334" s="563">
        <v>1000</v>
      </c>
      <c r="L334" s="2127">
        <f t="shared" si="366"/>
        <v>95.15</v>
      </c>
      <c r="M334" s="561">
        <f t="shared" si="367"/>
        <v>0</v>
      </c>
      <c r="N334" s="564">
        <v>1</v>
      </c>
      <c r="O334" s="561">
        <f t="shared" si="368"/>
        <v>0</v>
      </c>
      <c r="P334" s="561">
        <f t="shared" si="369"/>
        <v>0</v>
      </c>
      <c r="Q334" s="565">
        <f t="shared" si="370"/>
        <v>0</v>
      </c>
      <c r="R334" s="566">
        <f t="shared" si="371"/>
        <v>0</v>
      </c>
      <c r="S334" s="566">
        <f t="shared" si="372"/>
        <v>0</v>
      </c>
      <c r="T334" s="566">
        <f t="shared" si="373"/>
        <v>0</v>
      </c>
      <c r="U334" s="2028">
        <f t="shared" si="315"/>
        <v>0</v>
      </c>
      <c r="V334" s="1357"/>
      <c r="W334" s="1357"/>
      <c r="X334" s="1357"/>
      <c r="Y334" s="1357"/>
      <c r="AD334" s="2141">
        <f t="shared" si="344"/>
        <v>2.6</v>
      </c>
      <c r="AE334" s="2142" t="str">
        <f t="shared" si="324"/>
        <v/>
      </c>
      <c r="AG334" s="2118" t="s">
        <v>1816</v>
      </c>
    </row>
    <row r="335" spans="1:33" ht="25.5" hidden="1" outlineLevel="3" x14ac:dyDescent="0.2">
      <c r="A335" s="1360">
        <f t="shared" si="374"/>
        <v>790</v>
      </c>
      <c r="B335" s="578" t="s">
        <v>547</v>
      </c>
      <c r="C335" s="532" t="s">
        <v>1088</v>
      </c>
      <c r="D335" s="2154">
        <v>4</v>
      </c>
      <c r="E335" s="574" t="s">
        <v>502</v>
      </c>
      <c r="F335" s="2154" t="s">
        <v>312</v>
      </c>
      <c r="G335" s="2182">
        <v>0.215</v>
      </c>
      <c r="H335" s="164"/>
      <c r="I335" s="1359">
        <f t="shared" si="343"/>
        <v>0</v>
      </c>
      <c r="J335" s="562" t="str">
        <f t="shared" si="365"/>
        <v>0:0:00</v>
      </c>
      <c r="K335" s="563">
        <v>1000</v>
      </c>
      <c r="L335" s="2127">
        <f t="shared" si="366"/>
        <v>95.15</v>
      </c>
      <c r="M335" s="561">
        <f t="shared" si="367"/>
        <v>0</v>
      </c>
      <c r="N335" s="564">
        <v>1</v>
      </c>
      <c r="O335" s="561">
        <f t="shared" si="368"/>
        <v>0</v>
      </c>
      <c r="P335" s="561">
        <f t="shared" si="369"/>
        <v>0</v>
      </c>
      <c r="Q335" s="565">
        <f t="shared" si="370"/>
        <v>0</v>
      </c>
      <c r="R335" s="566">
        <f t="shared" si="371"/>
        <v>0</v>
      </c>
      <c r="S335" s="566">
        <f t="shared" si="372"/>
        <v>0</v>
      </c>
      <c r="T335" s="566">
        <f t="shared" si="373"/>
        <v>0</v>
      </c>
      <c r="U335" s="2028">
        <f t="shared" si="315"/>
        <v>0</v>
      </c>
      <c r="V335" s="1357"/>
      <c r="W335" s="1357"/>
      <c r="X335" s="1357"/>
      <c r="Y335" s="1357"/>
      <c r="AD335" s="2141">
        <f t="shared" si="344"/>
        <v>2.6</v>
      </c>
      <c r="AE335" s="2142" t="str">
        <f t="shared" si="324"/>
        <v/>
      </c>
      <c r="AG335" s="2118" t="s">
        <v>1816</v>
      </c>
    </row>
    <row r="336" spans="1:33" ht="25.5" hidden="1" outlineLevel="3" x14ac:dyDescent="0.2">
      <c r="A336" s="1360">
        <f t="shared" si="374"/>
        <v>791</v>
      </c>
      <c r="B336" s="578" t="s">
        <v>548</v>
      </c>
      <c r="C336" s="532" t="s">
        <v>1088</v>
      </c>
      <c r="D336" s="2154">
        <v>4</v>
      </c>
      <c r="E336" s="574" t="s">
        <v>502</v>
      </c>
      <c r="F336" s="2154" t="s">
        <v>312</v>
      </c>
      <c r="G336" s="2182">
        <v>0.29670000000000002</v>
      </c>
      <c r="H336" s="164"/>
      <c r="I336" s="1359">
        <f t="shared" si="343"/>
        <v>0</v>
      </c>
      <c r="J336" s="562" t="str">
        <f t="shared" si="365"/>
        <v>0:0:00</v>
      </c>
      <c r="K336" s="563">
        <v>1000</v>
      </c>
      <c r="L336" s="2127">
        <f t="shared" si="366"/>
        <v>95.15</v>
      </c>
      <c r="M336" s="561">
        <f t="shared" si="367"/>
        <v>0</v>
      </c>
      <c r="N336" s="564">
        <v>1</v>
      </c>
      <c r="O336" s="561">
        <f t="shared" si="368"/>
        <v>0</v>
      </c>
      <c r="P336" s="561">
        <f t="shared" si="369"/>
        <v>0</v>
      </c>
      <c r="Q336" s="565">
        <f t="shared" si="370"/>
        <v>0</v>
      </c>
      <c r="R336" s="566">
        <f t="shared" si="371"/>
        <v>0</v>
      </c>
      <c r="S336" s="566">
        <f t="shared" si="372"/>
        <v>0</v>
      </c>
      <c r="T336" s="566">
        <f t="shared" si="373"/>
        <v>0</v>
      </c>
      <c r="U336" s="2028">
        <f t="shared" si="315"/>
        <v>0</v>
      </c>
      <c r="V336" s="1357"/>
      <c r="W336" s="1357"/>
      <c r="X336" s="1357"/>
      <c r="Y336" s="1357"/>
      <c r="AD336" s="2141">
        <f t="shared" si="344"/>
        <v>2.6</v>
      </c>
      <c r="AE336" s="2142" t="str">
        <f t="shared" si="324"/>
        <v/>
      </c>
      <c r="AG336" s="2118" t="s">
        <v>1816</v>
      </c>
    </row>
    <row r="337" spans="1:33" ht="14.25" hidden="1" outlineLevel="2" x14ac:dyDescent="0.2">
      <c r="A337" s="1360"/>
      <c r="B337" s="557" t="s">
        <v>1092</v>
      </c>
      <c r="C337" s="522"/>
      <c r="D337" s="2152"/>
      <c r="E337" s="523" t="s">
        <v>218</v>
      </c>
      <c r="F337" s="2164"/>
      <c r="G337" s="2181"/>
      <c r="H337" s="569">
        <f>SUM(H331:H336)</f>
        <v>0</v>
      </c>
      <c r="I337" s="2043">
        <f>SUM(I338:I346)</f>
        <v>0</v>
      </c>
      <c r="J337" s="524"/>
      <c r="K337" s="524"/>
      <c r="L337" s="526"/>
      <c r="M337" s="524"/>
      <c r="N337" s="524"/>
      <c r="O337" s="524"/>
      <c r="P337" s="524"/>
      <c r="Q337" s="527"/>
      <c r="R337" s="524"/>
      <c r="S337" s="524"/>
      <c r="T337" s="524"/>
      <c r="U337" s="2028">
        <f t="shared" si="315"/>
        <v>0</v>
      </c>
      <c r="V337" s="1357"/>
      <c r="W337" s="1357"/>
      <c r="X337" s="1357"/>
      <c r="Y337" s="1357"/>
      <c r="AD337" s="2141" t="str">
        <f t="shared" si="344"/>
        <v/>
      </c>
      <c r="AE337" s="2142" t="str">
        <f t="shared" si="324"/>
        <v/>
      </c>
      <c r="AG337" s="2118" t="s">
        <v>1816</v>
      </c>
    </row>
    <row r="338" spans="1:33" ht="25.5" hidden="1" outlineLevel="3" x14ac:dyDescent="0.2">
      <c r="A338" s="1360">
        <f>A336+1</f>
        <v>792</v>
      </c>
      <c r="B338" s="576" t="s">
        <v>572</v>
      </c>
      <c r="C338" s="532" t="s">
        <v>1088</v>
      </c>
      <c r="D338" s="2154">
        <v>4</v>
      </c>
      <c r="E338" s="574" t="s">
        <v>502</v>
      </c>
      <c r="F338" s="2154" t="s">
        <v>312</v>
      </c>
      <c r="G338" s="2182">
        <v>0.1062</v>
      </c>
      <c r="H338" s="164"/>
      <c r="I338" s="1359">
        <f t="shared" si="343"/>
        <v>0</v>
      </c>
      <c r="J338" s="562" t="str">
        <f t="shared" ref="J338:J346" si="375">CONCATENATE(TRUNC(I338,0),":",INT((I338-(TRUNC(I338,0)))*60),":","00")</f>
        <v>0:0:00</v>
      </c>
      <c r="K338" s="563">
        <v>1000</v>
      </c>
      <c r="L338" s="2127">
        <f t="shared" ref="L338:L346" si="376">РезкаПодрезка</f>
        <v>95.15</v>
      </c>
      <c r="M338" s="561">
        <f t="shared" ref="M338:M346" si="377">I338*L338</f>
        <v>0</v>
      </c>
      <c r="N338" s="564">
        <v>1</v>
      </c>
      <c r="O338" s="561">
        <f t="shared" ref="O338:O346" si="378">M338*N338</f>
        <v>0</v>
      </c>
      <c r="P338" s="561">
        <f t="shared" ref="P338:P346" si="379">(M338+O338)*0.15</f>
        <v>0</v>
      </c>
      <c r="Q338" s="565">
        <f t="shared" ref="Q338:Q346" si="380">M338+O338+P338</f>
        <v>0</v>
      </c>
      <c r="R338" s="566">
        <f t="shared" ref="R338:R346" si="381">Q338*$R$1</f>
        <v>0</v>
      </c>
      <c r="S338" s="566">
        <f t="shared" ref="S338:S346" si="382">(Q338+R338)*$S$1</f>
        <v>0</v>
      </c>
      <c r="T338" s="566">
        <f>Q338+R338+S338</f>
        <v>0</v>
      </c>
      <c r="U338" s="2028">
        <f t="shared" si="315"/>
        <v>0</v>
      </c>
      <c r="V338" s="1357"/>
      <c r="W338" s="1357"/>
      <c r="X338" s="1357"/>
      <c r="Y338" s="1357"/>
      <c r="AD338" s="2141">
        <f t="shared" si="344"/>
        <v>2.6</v>
      </c>
      <c r="AE338" s="2142" t="str">
        <f t="shared" si="324"/>
        <v/>
      </c>
      <c r="AG338" s="2118" t="s">
        <v>1816</v>
      </c>
    </row>
    <row r="339" spans="1:33" ht="25.5" hidden="1" outlineLevel="3" x14ac:dyDescent="0.2">
      <c r="A339" s="1360">
        <f>A338+1</f>
        <v>793</v>
      </c>
      <c r="B339" s="577" t="s">
        <v>585</v>
      </c>
      <c r="C339" s="532" t="s">
        <v>1088</v>
      </c>
      <c r="D339" s="2154">
        <v>4</v>
      </c>
      <c r="E339" s="574" t="s">
        <v>502</v>
      </c>
      <c r="F339" s="2154" t="s">
        <v>312</v>
      </c>
      <c r="G339" s="2182">
        <v>2.3800000000000002E-2</v>
      </c>
      <c r="H339" s="164">
        <f>SUM(H341:H346)*3</f>
        <v>0</v>
      </c>
      <c r="I339" s="1359">
        <f t="shared" si="343"/>
        <v>0</v>
      </c>
      <c r="J339" s="562" t="str">
        <f t="shared" si="375"/>
        <v>0:0:00</v>
      </c>
      <c r="K339" s="563">
        <v>1000</v>
      </c>
      <c r="L339" s="2127">
        <f t="shared" si="376"/>
        <v>95.15</v>
      </c>
      <c r="M339" s="561">
        <f t="shared" si="377"/>
        <v>0</v>
      </c>
      <c r="N339" s="564">
        <v>1</v>
      </c>
      <c r="O339" s="561">
        <f t="shared" si="378"/>
        <v>0</v>
      </c>
      <c r="P339" s="561">
        <f t="shared" si="379"/>
        <v>0</v>
      </c>
      <c r="Q339" s="565">
        <f t="shared" si="380"/>
        <v>0</v>
      </c>
      <c r="R339" s="566">
        <f t="shared" si="381"/>
        <v>0</v>
      </c>
      <c r="S339" s="566">
        <f t="shared" si="382"/>
        <v>0</v>
      </c>
      <c r="T339" s="566">
        <f t="shared" ref="T339:T346" si="383">Q339+R339+S339</f>
        <v>0</v>
      </c>
      <c r="U339" s="2028">
        <f t="shared" si="315"/>
        <v>0</v>
      </c>
      <c r="V339" s="1357"/>
      <c r="W339" s="1357"/>
      <c r="X339" s="1357"/>
      <c r="Y339" s="1357"/>
      <c r="AD339" s="2141">
        <f t="shared" si="344"/>
        <v>2.6</v>
      </c>
      <c r="AE339" s="2142" t="str">
        <f t="shared" si="324"/>
        <v/>
      </c>
      <c r="AG339" s="2118" t="s">
        <v>1816</v>
      </c>
    </row>
    <row r="340" spans="1:33" ht="25.5" hidden="1" outlineLevel="3" x14ac:dyDescent="0.2">
      <c r="A340" s="1360">
        <f t="shared" ref="A340:A346" si="384">A339+1</f>
        <v>794</v>
      </c>
      <c r="B340" s="576" t="s">
        <v>555</v>
      </c>
      <c r="C340" s="532" t="s">
        <v>1088</v>
      </c>
      <c r="D340" s="2154">
        <v>4</v>
      </c>
      <c r="E340" s="574" t="s">
        <v>502</v>
      </c>
      <c r="F340" s="2154" t="s">
        <v>312</v>
      </c>
      <c r="G340" s="2182">
        <v>6.93E-2</v>
      </c>
      <c r="H340" s="164"/>
      <c r="I340" s="1359">
        <f t="shared" si="343"/>
        <v>0</v>
      </c>
      <c r="J340" s="562" t="str">
        <f t="shared" si="375"/>
        <v>0:0:00</v>
      </c>
      <c r="K340" s="563">
        <v>1000</v>
      </c>
      <c r="L340" s="2127">
        <f t="shared" si="376"/>
        <v>95.15</v>
      </c>
      <c r="M340" s="561">
        <f t="shared" si="377"/>
        <v>0</v>
      </c>
      <c r="N340" s="564">
        <v>1</v>
      </c>
      <c r="O340" s="561">
        <f t="shared" si="378"/>
        <v>0</v>
      </c>
      <c r="P340" s="561">
        <f t="shared" si="379"/>
        <v>0</v>
      </c>
      <c r="Q340" s="565">
        <f t="shared" si="380"/>
        <v>0</v>
      </c>
      <c r="R340" s="566">
        <f t="shared" si="381"/>
        <v>0</v>
      </c>
      <c r="S340" s="566">
        <f t="shared" si="382"/>
        <v>0</v>
      </c>
      <c r="T340" s="566">
        <f t="shared" si="383"/>
        <v>0</v>
      </c>
      <c r="U340" s="2028">
        <f t="shared" si="315"/>
        <v>0</v>
      </c>
      <c r="V340" s="1357"/>
      <c r="W340" s="1357"/>
      <c r="X340" s="1357"/>
      <c r="Y340" s="1357"/>
      <c r="AD340" s="2141">
        <f t="shared" si="344"/>
        <v>2.6</v>
      </c>
      <c r="AE340" s="2142" t="str">
        <f t="shared" si="324"/>
        <v/>
      </c>
      <c r="AG340" s="2118" t="s">
        <v>1816</v>
      </c>
    </row>
    <row r="341" spans="1:33" ht="25.5" hidden="1" outlineLevel="3" x14ac:dyDescent="0.2">
      <c r="A341" s="1360">
        <f t="shared" si="384"/>
        <v>795</v>
      </c>
      <c r="B341" s="578" t="s">
        <v>556</v>
      </c>
      <c r="C341" s="532" t="s">
        <v>1088</v>
      </c>
      <c r="D341" s="2154">
        <v>4</v>
      </c>
      <c r="E341" s="574" t="s">
        <v>502</v>
      </c>
      <c r="F341" s="2154" t="s">
        <v>312</v>
      </c>
      <c r="G341" s="2182">
        <v>9.3200000000000005E-2</v>
      </c>
      <c r="H341" s="164"/>
      <c r="I341" s="1359">
        <f t="shared" si="343"/>
        <v>0</v>
      </c>
      <c r="J341" s="562" t="str">
        <f t="shared" si="375"/>
        <v>0:0:00</v>
      </c>
      <c r="K341" s="563">
        <v>1000</v>
      </c>
      <c r="L341" s="2127">
        <f t="shared" si="376"/>
        <v>95.15</v>
      </c>
      <c r="M341" s="561">
        <f t="shared" si="377"/>
        <v>0</v>
      </c>
      <c r="N341" s="564">
        <v>1</v>
      </c>
      <c r="O341" s="561">
        <f t="shared" si="378"/>
        <v>0</v>
      </c>
      <c r="P341" s="561">
        <f t="shared" si="379"/>
        <v>0</v>
      </c>
      <c r="Q341" s="565">
        <f t="shared" si="380"/>
        <v>0</v>
      </c>
      <c r="R341" s="566">
        <f t="shared" si="381"/>
        <v>0</v>
      </c>
      <c r="S341" s="566">
        <f t="shared" si="382"/>
        <v>0</v>
      </c>
      <c r="T341" s="566">
        <f t="shared" si="383"/>
        <v>0</v>
      </c>
      <c r="U341" s="2028">
        <f t="shared" si="315"/>
        <v>0</v>
      </c>
      <c r="V341" s="1357"/>
      <c r="W341" s="1357"/>
      <c r="X341" s="1357"/>
      <c r="Y341" s="1357"/>
      <c r="AD341" s="2141">
        <f t="shared" si="344"/>
        <v>2.6</v>
      </c>
      <c r="AE341" s="2142" t="str">
        <f t="shared" si="324"/>
        <v/>
      </c>
      <c r="AG341" s="2118" t="s">
        <v>1816</v>
      </c>
    </row>
    <row r="342" spans="1:33" ht="25.5" hidden="1" outlineLevel="3" x14ac:dyDescent="0.2">
      <c r="A342" s="1360">
        <f t="shared" si="384"/>
        <v>796</v>
      </c>
      <c r="B342" s="578" t="s">
        <v>557</v>
      </c>
      <c r="C342" s="532" t="s">
        <v>1088</v>
      </c>
      <c r="D342" s="2154">
        <v>4</v>
      </c>
      <c r="E342" s="574" t="s">
        <v>502</v>
      </c>
      <c r="F342" s="2154" t="s">
        <v>312</v>
      </c>
      <c r="G342" s="2182">
        <v>0.156</v>
      </c>
      <c r="H342" s="164"/>
      <c r="I342" s="1359">
        <f t="shared" si="343"/>
        <v>0</v>
      </c>
      <c r="J342" s="562" t="str">
        <f t="shared" si="375"/>
        <v>0:0:00</v>
      </c>
      <c r="K342" s="563">
        <v>1000</v>
      </c>
      <c r="L342" s="2127">
        <f t="shared" si="376"/>
        <v>95.15</v>
      </c>
      <c r="M342" s="561">
        <f t="shared" si="377"/>
        <v>0</v>
      </c>
      <c r="N342" s="564">
        <v>1</v>
      </c>
      <c r="O342" s="561">
        <f t="shared" si="378"/>
        <v>0</v>
      </c>
      <c r="P342" s="561">
        <f t="shared" si="379"/>
        <v>0</v>
      </c>
      <c r="Q342" s="565">
        <f t="shared" si="380"/>
        <v>0</v>
      </c>
      <c r="R342" s="566">
        <f t="shared" si="381"/>
        <v>0</v>
      </c>
      <c r="S342" s="566">
        <f t="shared" si="382"/>
        <v>0</v>
      </c>
      <c r="T342" s="566">
        <f t="shared" si="383"/>
        <v>0</v>
      </c>
      <c r="U342" s="2028">
        <f t="shared" si="315"/>
        <v>0</v>
      </c>
      <c r="V342" s="1357"/>
      <c r="W342" s="1357"/>
      <c r="X342" s="1357"/>
      <c r="Y342" s="1357"/>
      <c r="AD342" s="2141">
        <f t="shared" si="344"/>
        <v>2.6</v>
      </c>
      <c r="AE342" s="2142" t="str">
        <f t="shared" si="324"/>
        <v/>
      </c>
      <c r="AG342" s="2118" t="s">
        <v>1816</v>
      </c>
    </row>
    <row r="343" spans="1:33" ht="25.5" hidden="1" outlineLevel="3" x14ac:dyDescent="0.2">
      <c r="A343" s="1360">
        <f t="shared" si="384"/>
        <v>797</v>
      </c>
      <c r="B343" s="578" t="s">
        <v>558</v>
      </c>
      <c r="C343" s="532" t="s">
        <v>1088</v>
      </c>
      <c r="D343" s="2154">
        <v>4</v>
      </c>
      <c r="E343" s="574" t="s">
        <v>502</v>
      </c>
      <c r="F343" s="2154" t="s">
        <v>312</v>
      </c>
      <c r="G343" s="2182">
        <v>0.1777</v>
      </c>
      <c r="H343" s="164"/>
      <c r="I343" s="1359">
        <f t="shared" si="343"/>
        <v>0</v>
      </c>
      <c r="J343" s="562" t="str">
        <f t="shared" si="375"/>
        <v>0:0:00</v>
      </c>
      <c r="K343" s="563">
        <v>1000</v>
      </c>
      <c r="L343" s="2127">
        <f t="shared" si="376"/>
        <v>95.15</v>
      </c>
      <c r="M343" s="561">
        <f t="shared" si="377"/>
        <v>0</v>
      </c>
      <c r="N343" s="564">
        <v>1</v>
      </c>
      <c r="O343" s="561">
        <f t="shared" si="378"/>
        <v>0</v>
      </c>
      <c r="P343" s="561">
        <f t="shared" si="379"/>
        <v>0</v>
      </c>
      <c r="Q343" s="565">
        <f t="shared" si="380"/>
        <v>0</v>
      </c>
      <c r="R343" s="566">
        <f t="shared" si="381"/>
        <v>0</v>
      </c>
      <c r="S343" s="566">
        <f t="shared" si="382"/>
        <v>0</v>
      </c>
      <c r="T343" s="566">
        <f t="shared" si="383"/>
        <v>0</v>
      </c>
      <c r="U343" s="2028">
        <f t="shared" ref="U343:U390" si="385">IF(T343&gt;0,1,0)</f>
        <v>0</v>
      </c>
      <c r="V343" s="1357"/>
      <c r="W343" s="1357"/>
      <c r="X343" s="1357"/>
      <c r="Y343" s="1357"/>
      <c r="AD343" s="2141">
        <f t="shared" si="344"/>
        <v>2.6</v>
      </c>
      <c r="AE343" s="2142" t="str">
        <f t="shared" si="324"/>
        <v/>
      </c>
      <c r="AG343" s="2118" t="s">
        <v>1816</v>
      </c>
    </row>
    <row r="344" spans="1:33" ht="25.5" hidden="1" outlineLevel="3" x14ac:dyDescent="0.2">
      <c r="A344" s="1360">
        <f t="shared" si="384"/>
        <v>798</v>
      </c>
      <c r="B344" s="578" t="s">
        <v>559</v>
      </c>
      <c r="C344" s="532" t="s">
        <v>1088</v>
      </c>
      <c r="D344" s="2154">
        <v>2</v>
      </c>
      <c r="E344" s="574" t="s">
        <v>502</v>
      </c>
      <c r="F344" s="2154" t="s">
        <v>312</v>
      </c>
      <c r="G344" s="2182">
        <v>0.2427</v>
      </c>
      <c r="H344" s="164"/>
      <c r="I344" s="1359">
        <f t="shared" si="343"/>
        <v>0</v>
      </c>
      <c r="J344" s="562" t="str">
        <f t="shared" si="375"/>
        <v>0:0:00</v>
      </c>
      <c r="K344" s="563">
        <v>1000</v>
      </c>
      <c r="L344" s="2127">
        <f t="shared" si="376"/>
        <v>95.15</v>
      </c>
      <c r="M344" s="561">
        <f t="shared" si="377"/>
        <v>0</v>
      </c>
      <c r="N344" s="564">
        <v>1</v>
      </c>
      <c r="O344" s="561">
        <f t="shared" si="378"/>
        <v>0</v>
      </c>
      <c r="P344" s="561">
        <f t="shared" si="379"/>
        <v>0</v>
      </c>
      <c r="Q344" s="565">
        <f t="shared" si="380"/>
        <v>0</v>
      </c>
      <c r="R344" s="566">
        <f t="shared" si="381"/>
        <v>0</v>
      </c>
      <c r="S344" s="566">
        <f t="shared" si="382"/>
        <v>0</v>
      </c>
      <c r="T344" s="566">
        <f t="shared" si="383"/>
        <v>0</v>
      </c>
      <c r="U344" s="2028">
        <f t="shared" si="385"/>
        <v>0</v>
      </c>
      <c r="V344" s="1357"/>
      <c r="W344" s="1357"/>
      <c r="X344" s="1357"/>
      <c r="Y344" s="1357"/>
      <c r="AD344" s="2141">
        <f t="shared" si="344"/>
        <v>1.5</v>
      </c>
      <c r="AE344" s="2142" t="str">
        <f t="shared" si="324"/>
        <v/>
      </c>
      <c r="AG344" s="2118" t="s">
        <v>1816</v>
      </c>
    </row>
    <row r="345" spans="1:33" ht="25.5" hidden="1" outlineLevel="3" x14ac:dyDescent="0.2">
      <c r="A345" s="1360">
        <f t="shared" si="384"/>
        <v>799</v>
      </c>
      <c r="B345" s="578" t="s">
        <v>560</v>
      </c>
      <c r="C345" s="532" t="s">
        <v>1088</v>
      </c>
      <c r="D345" s="2154">
        <v>4</v>
      </c>
      <c r="E345" s="574" t="s">
        <v>502</v>
      </c>
      <c r="F345" s="2154" t="s">
        <v>312</v>
      </c>
      <c r="G345" s="2182">
        <v>0.27950000000000003</v>
      </c>
      <c r="H345" s="164"/>
      <c r="I345" s="1359">
        <f t="shared" si="343"/>
        <v>0</v>
      </c>
      <c r="J345" s="562" t="str">
        <f t="shared" si="375"/>
        <v>0:0:00</v>
      </c>
      <c r="K345" s="563">
        <v>1000</v>
      </c>
      <c r="L345" s="2127">
        <f t="shared" si="376"/>
        <v>95.15</v>
      </c>
      <c r="M345" s="561">
        <f t="shared" si="377"/>
        <v>0</v>
      </c>
      <c r="N345" s="564">
        <v>1</v>
      </c>
      <c r="O345" s="561">
        <f t="shared" si="378"/>
        <v>0</v>
      </c>
      <c r="P345" s="561">
        <f t="shared" si="379"/>
        <v>0</v>
      </c>
      <c r="Q345" s="565">
        <f t="shared" si="380"/>
        <v>0</v>
      </c>
      <c r="R345" s="566">
        <f t="shared" si="381"/>
        <v>0</v>
      </c>
      <c r="S345" s="566">
        <f t="shared" si="382"/>
        <v>0</v>
      </c>
      <c r="T345" s="566">
        <f t="shared" si="383"/>
        <v>0</v>
      </c>
      <c r="U345" s="2028">
        <f t="shared" si="385"/>
        <v>0</v>
      </c>
      <c r="V345" s="1357"/>
      <c r="W345" s="1357"/>
      <c r="X345" s="1357"/>
      <c r="Y345" s="1357"/>
      <c r="AD345" s="2141">
        <f t="shared" si="344"/>
        <v>2.6</v>
      </c>
      <c r="AE345" s="2142" t="str">
        <f t="shared" si="324"/>
        <v/>
      </c>
      <c r="AG345" s="2118" t="s">
        <v>1816</v>
      </c>
    </row>
    <row r="346" spans="1:33" ht="25.5" hidden="1" outlineLevel="3" x14ac:dyDescent="0.2">
      <c r="A346" s="1360">
        <f t="shared" si="384"/>
        <v>800</v>
      </c>
      <c r="B346" s="578" t="s">
        <v>561</v>
      </c>
      <c r="C346" s="532" t="s">
        <v>1088</v>
      </c>
      <c r="D346" s="2154">
        <v>4</v>
      </c>
      <c r="E346" s="574" t="s">
        <v>502</v>
      </c>
      <c r="F346" s="2154" t="s">
        <v>312</v>
      </c>
      <c r="G346" s="2182">
        <v>0.38569999999999999</v>
      </c>
      <c r="H346" s="164"/>
      <c r="I346" s="1359">
        <f t="shared" si="343"/>
        <v>0</v>
      </c>
      <c r="J346" s="562" t="str">
        <f t="shared" si="375"/>
        <v>0:0:00</v>
      </c>
      <c r="K346" s="563">
        <v>1000</v>
      </c>
      <c r="L346" s="2127">
        <f t="shared" si="376"/>
        <v>95.15</v>
      </c>
      <c r="M346" s="561">
        <f t="shared" si="377"/>
        <v>0</v>
      </c>
      <c r="N346" s="564">
        <v>1</v>
      </c>
      <c r="O346" s="561">
        <f t="shared" si="378"/>
        <v>0</v>
      </c>
      <c r="P346" s="561">
        <f t="shared" si="379"/>
        <v>0</v>
      </c>
      <c r="Q346" s="565">
        <f t="shared" si="380"/>
        <v>0</v>
      </c>
      <c r="R346" s="566">
        <f t="shared" si="381"/>
        <v>0</v>
      </c>
      <c r="S346" s="566">
        <f t="shared" si="382"/>
        <v>0</v>
      </c>
      <c r="T346" s="566">
        <f t="shared" si="383"/>
        <v>0</v>
      </c>
      <c r="U346" s="2028">
        <f t="shared" si="385"/>
        <v>0</v>
      </c>
      <c r="V346" s="1357"/>
      <c r="W346" s="1357"/>
      <c r="X346" s="1357"/>
      <c r="Y346" s="1357"/>
      <c r="AD346" s="2141">
        <f t="shared" si="344"/>
        <v>2.6</v>
      </c>
      <c r="AE346" s="2142" t="str">
        <f t="shared" ref="AE346:AE409" si="386">IF(T346&gt;0,T346*AD346,"")</f>
        <v/>
      </c>
      <c r="AG346" s="2118" t="s">
        <v>1816</v>
      </c>
    </row>
    <row r="347" spans="1:33" ht="14.25" hidden="1" outlineLevel="2" x14ac:dyDescent="0.2">
      <c r="A347" s="1360"/>
      <c r="B347" s="557" t="s">
        <v>1094</v>
      </c>
      <c r="C347" s="522"/>
      <c r="D347" s="2152"/>
      <c r="E347" s="523" t="s">
        <v>218</v>
      </c>
      <c r="F347" s="2164"/>
      <c r="G347" s="2181"/>
      <c r="H347" s="569">
        <f>SUM(H341:H346)</f>
        <v>0</v>
      </c>
      <c r="I347" s="2043">
        <f>SUM(I348)</f>
        <v>0</v>
      </c>
      <c r="J347" s="524"/>
      <c r="K347" s="524"/>
      <c r="L347" s="526"/>
      <c r="M347" s="524"/>
      <c r="N347" s="524"/>
      <c r="O347" s="524"/>
      <c r="P347" s="524"/>
      <c r="Q347" s="527"/>
      <c r="R347" s="524"/>
      <c r="S347" s="524"/>
      <c r="T347" s="524"/>
      <c r="U347" s="2028">
        <f t="shared" si="385"/>
        <v>0</v>
      </c>
      <c r="V347" s="1357"/>
      <c r="W347" s="1357"/>
      <c r="X347" s="1357"/>
      <c r="Y347" s="1357"/>
      <c r="AD347" s="2141" t="str">
        <f t="shared" si="344"/>
        <v/>
      </c>
      <c r="AE347" s="2142" t="str">
        <f t="shared" si="386"/>
        <v/>
      </c>
      <c r="AG347" s="2118" t="s">
        <v>1816</v>
      </c>
    </row>
    <row r="348" spans="1:33" ht="25.5" hidden="1" outlineLevel="3" x14ac:dyDescent="0.2">
      <c r="A348" s="1360">
        <f>A346+1</f>
        <v>801</v>
      </c>
      <c r="B348" s="579" t="s">
        <v>1776</v>
      </c>
      <c r="C348" s="532" t="s">
        <v>1093</v>
      </c>
      <c r="D348" s="2124">
        <v>2</v>
      </c>
      <c r="E348" s="574" t="s">
        <v>502</v>
      </c>
      <c r="F348" s="2154" t="s">
        <v>312</v>
      </c>
      <c r="G348" s="2182">
        <v>4.8000000000000001E-2</v>
      </c>
      <c r="H348" s="164">
        <f>H347+H337+H327+H317+H307</f>
        <v>0</v>
      </c>
      <c r="I348" s="1359">
        <f t="shared" si="343"/>
        <v>0</v>
      </c>
      <c r="J348" s="562" t="str">
        <f t="shared" ref="J348" si="387">CONCATENATE(TRUNC(I348,0),":",INT((I348-(TRUNC(I348,0)))*60),":","00")</f>
        <v>0:0:00</v>
      </c>
      <c r="K348" s="563">
        <v>1000</v>
      </c>
      <c r="L348" s="2127">
        <f>РезкаПодрезка</f>
        <v>95.15</v>
      </c>
      <c r="M348" s="561">
        <f>I348*L348</f>
        <v>0</v>
      </c>
      <c r="N348" s="564">
        <v>1</v>
      </c>
      <c r="O348" s="561">
        <f t="shared" ref="O348" si="388">M348*N348</f>
        <v>0</v>
      </c>
      <c r="P348" s="561">
        <f t="shared" ref="P348" si="389">(M348+O348)*0.15</f>
        <v>0</v>
      </c>
      <c r="Q348" s="565">
        <f t="shared" ref="Q348" si="390">M348+O348+P348</f>
        <v>0</v>
      </c>
      <c r="R348" s="566">
        <f t="shared" ref="R348" si="391">Q348*$R$1</f>
        <v>0</v>
      </c>
      <c r="S348" s="566">
        <f t="shared" ref="S348" si="392">(Q348+R348)*$S$1</f>
        <v>0</v>
      </c>
      <c r="T348" s="566">
        <f>Q348+R348+S348</f>
        <v>0</v>
      </c>
      <c r="U348" s="2028">
        <f t="shared" si="385"/>
        <v>0</v>
      </c>
      <c r="V348" s="1357"/>
      <c r="W348" s="1357"/>
      <c r="X348" s="1357"/>
      <c r="Y348" s="1357"/>
      <c r="AD348" s="2141">
        <f t="shared" si="344"/>
        <v>1.5</v>
      </c>
      <c r="AE348" s="2142" t="str">
        <f t="shared" si="386"/>
        <v/>
      </c>
      <c r="AG348" s="2118" t="s">
        <v>1816</v>
      </c>
    </row>
    <row r="349" spans="1:33" ht="14.25" hidden="1" outlineLevel="2" x14ac:dyDescent="0.2">
      <c r="A349" s="1360"/>
      <c r="B349" s="557" t="s">
        <v>1095</v>
      </c>
      <c r="C349" s="522"/>
      <c r="D349" s="2152"/>
      <c r="E349" s="523" t="s">
        <v>218</v>
      </c>
      <c r="F349" s="2164"/>
      <c r="G349" s="2181"/>
      <c r="H349" s="569">
        <f>SUM(H343:H348)</f>
        <v>0</v>
      </c>
      <c r="I349" s="2043">
        <f>SUM(I350:I356)</f>
        <v>0</v>
      </c>
      <c r="J349" s="524"/>
      <c r="K349" s="524"/>
      <c r="L349" s="526"/>
      <c r="M349" s="524"/>
      <c r="N349" s="524"/>
      <c r="O349" s="524"/>
      <c r="P349" s="524"/>
      <c r="Q349" s="527"/>
      <c r="R349" s="524"/>
      <c r="S349" s="524"/>
      <c r="T349" s="524"/>
      <c r="U349" s="2028">
        <f t="shared" si="385"/>
        <v>0</v>
      </c>
      <c r="V349" s="1357"/>
      <c r="W349" s="1357"/>
      <c r="X349" s="1357"/>
      <c r="Y349" s="1357"/>
      <c r="AD349" s="2141" t="str">
        <f t="shared" si="344"/>
        <v/>
      </c>
      <c r="AE349" s="2142" t="str">
        <f t="shared" si="386"/>
        <v/>
      </c>
      <c r="AG349" s="2118" t="s">
        <v>1816</v>
      </c>
    </row>
    <row r="350" spans="1:33" ht="25.5" hidden="1" outlineLevel="3" x14ac:dyDescent="0.2">
      <c r="A350" s="1360">
        <f>A348+1</f>
        <v>802</v>
      </c>
      <c r="B350" s="580" t="s">
        <v>586</v>
      </c>
      <c r="C350" s="532" t="s">
        <v>1096</v>
      </c>
      <c r="D350" s="2154">
        <v>4</v>
      </c>
      <c r="E350" s="574" t="s">
        <v>502</v>
      </c>
      <c r="F350" s="2154" t="s">
        <v>312</v>
      </c>
      <c r="G350" s="2182">
        <v>0.02</v>
      </c>
      <c r="H350" s="164"/>
      <c r="I350" s="1359">
        <f t="shared" si="343"/>
        <v>0</v>
      </c>
      <c r="J350" s="562" t="str">
        <f t="shared" ref="J350:J356" si="393">CONCATENATE(TRUNC(I350,0),":",INT((I350-(TRUNC(I350,0)))*60),":","00")</f>
        <v>0:0:00</v>
      </c>
      <c r="K350" s="563">
        <v>1000</v>
      </c>
      <c r="L350" s="2127">
        <f t="shared" ref="L350:L356" si="394">РезкаПодрезка</f>
        <v>95.15</v>
      </c>
      <c r="M350" s="561">
        <f t="shared" ref="M350:M356" si="395">I350*L350</f>
        <v>0</v>
      </c>
      <c r="N350" s="564">
        <v>1</v>
      </c>
      <c r="O350" s="561">
        <f t="shared" ref="O350:O354" si="396">M350*N350</f>
        <v>0</v>
      </c>
      <c r="P350" s="561">
        <f t="shared" ref="P350:P354" si="397">(M350+O350)*0.15</f>
        <v>0</v>
      </c>
      <c r="Q350" s="565">
        <f t="shared" ref="Q350:Q354" si="398">M350+O350+P350</f>
        <v>0</v>
      </c>
      <c r="R350" s="566">
        <f t="shared" ref="R350:R356" si="399">Q350*$R$1</f>
        <v>0</v>
      </c>
      <c r="S350" s="566">
        <f t="shared" ref="S350:S356" si="400">(Q350+R350)*$S$1</f>
        <v>0</v>
      </c>
      <c r="T350" s="566">
        <f>Q350+R350+S350</f>
        <v>0</v>
      </c>
      <c r="U350" s="2028">
        <f t="shared" si="385"/>
        <v>0</v>
      </c>
      <c r="V350" s="1357"/>
      <c r="W350" s="1357"/>
      <c r="X350" s="1357"/>
      <c r="Y350" s="1357"/>
      <c r="AD350" s="2141">
        <f t="shared" si="344"/>
        <v>2.6</v>
      </c>
      <c r="AE350" s="2142" t="str">
        <f t="shared" si="386"/>
        <v/>
      </c>
      <c r="AG350" s="2118" t="s">
        <v>1816</v>
      </c>
    </row>
    <row r="351" spans="1:33" ht="25.5" hidden="1" outlineLevel="3" x14ac:dyDescent="0.2">
      <c r="A351" s="1360"/>
      <c r="B351" s="581" t="s">
        <v>567</v>
      </c>
      <c r="C351" s="532" t="s">
        <v>1096</v>
      </c>
      <c r="D351" s="2154">
        <v>4</v>
      </c>
      <c r="E351" s="574" t="s">
        <v>502</v>
      </c>
      <c r="F351" s="2154" t="s">
        <v>312</v>
      </c>
      <c r="G351" s="2182">
        <v>6.7000000000000002E-3</v>
      </c>
      <c r="H351" s="164">
        <f>SUM(H353:H356)*3</f>
        <v>0</v>
      </c>
      <c r="I351" s="1359">
        <f t="shared" si="343"/>
        <v>0</v>
      </c>
      <c r="J351" s="562" t="str">
        <f t="shared" si="393"/>
        <v>0:0:00</v>
      </c>
      <c r="K351" s="563">
        <v>1000</v>
      </c>
      <c r="L351" s="2127">
        <f t="shared" si="394"/>
        <v>95.15</v>
      </c>
      <c r="M351" s="561">
        <f t="shared" si="395"/>
        <v>0</v>
      </c>
      <c r="N351" s="564">
        <v>1</v>
      </c>
      <c r="O351" s="561">
        <f t="shared" si="396"/>
        <v>0</v>
      </c>
      <c r="P351" s="561">
        <f t="shared" si="397"/>
        <v>0</v>
      </c>
      <c r="Q351" s="565">
        <f t="shared" si="398"/>
        <v>0</v>
      </c>
      <c r="R351" s="566">
        <f t="shared" si="399"/>
        <v>0</v>
      </c>
      <c r="S351" s="566">
        <f t="shared" si="400"/>
        <v>0</v>
      </c>
      <c r="T351" s="566">
        <f t="shared" ref="T351:T356" si="401">Q351+R351+S351</f>
        <v>0</v>
      </c>
      <c r="U351" s="2028">
        <f t="shared" si="385"/>
        <v>0</v>
      </c>
      <c r="V351" s="1357"/>
      <c r="W351" s="1357"/>
      <c r="X351" s="1357"/>
      <c r="Y351" s="1357"/>
      <c r="AD351" s="2141">
        <f t="shared" si="344"/>
        <v>2.6</v>
      </c>
      <c r="AE351" s="2142" t="str">
        <f t="shared" si="386"/>
        <v/>
      </c>
      <c r="AG351" s="2118" t="s">
        <v>1816</v>
      </c>
    </row>
    <row r="352" spans="1:33" ht="25.5" hidden="1" outlineLevel="3" x14ac:dyDescent="0.2">
      <c r="A352" s="1360">
        <f>A350+1</f>
        <v>803</v>
      </c>
      <c r="B352" s="580" t="s">
        <v>503</v>
      </c>
      <c r="C352" s="532" t="s">
        <v>1096</v>
      </c>
      <c r="D352" s="2154">
        <v>4</v>
      </c>
      <c r="E352" s="574" t="s">
        <v>502</v>
      </c>
      <c r="F352" s="2154" t="s">
        <v>312</v>
      </c>
      <c r="G352" s="2182">
        <v>0.01</v>
      </c>
      <c r="H352" s="164"/>
      <c r="I352" s="1359">
        <f t="shared" si="343"/>
        <v>0</v>
      </c>
      <c r="J352" s="562" t="str">
        <f t="shared" si="393"/>
        <v>0:0:00</v>
      </c>
      <c r="K352" s="563">
        <v>1000</v>
      </c>
      <c r="L352" s="2127">
        <f t="shared" si="394"/>
        <v>95.15</v>
      </c>
      <c r="M352" s="561">
        <f t="shared" si="395"/>
        <v>0</v>
      </c>
      <c r="N352" s="564">
        <v>1</v>
      </c>
      <c r="O352" s="561">
        <f t="shared" si="396"/>
        <v>0</v>
      </c>
      <c r="P352" s="561">
        <f t="shared" si="397"/>
        <v>0</v>
      </c>
      <c r="Q352" s="565">
        <f t="shared" si="398"/>
        <v>0</v>
      </c>
      <c r="R352" s="566">
        <f t="shared" si="399"/>
        <v>0</v>
      </c>
      <c r="S352" s="566">
        <f t="shared" si="400"/>
        <v>0</v>
      </c>
      <c r="T352" s="566">
        <f t="shared" si="401"/>
        <v>0</v>
      </c>
      <c r="U352" s="2028">
        <f t="shared" si="385"/>
        <v>0</v>
      </c>
      <c r="V352" s="1357"/>
      <c r="W352" s="1357"/>
      <c r="X352" s="1357"/>
      <c r="Y352" s="1357"/>
      <c r="AD352" s="2141">
        <f t="shared" si="344"/>
        <v>2.6</v>
      </c>
      <c r="AE352" s="2142" t="str">
        <f t="shared" si="386"/>
        <v/>
      </c>
      <c r="AG352" s="2118" t="s">
        <v>1816</v>
      </c>
    </row>
    <row r="353" spans="1:33" ht="25.5" hidden="1" outlineLevel="3" x14ac:dyDescent="0.2">
      <c r="A353" s="1360">
        <f>A352+1</f>
        <v>804</v>
      </c>
      <c r="B353" s="582" t="s">
        <v>504</v>
      </c>
      <c r="C353" s="532" t="s">
        <v>1096</v>
      </c>
      <c r="D353" s="2154">
        <v>4</v>
      </c>
      <c r="E353" s="574" t="s">
        <v>502</v>
      </c>
      <c r="F353" s="2154" t="s">
        <v>312</v>
      </c>
      <c r="G353" s="2182">
        <v>1.67E-2</v>
      </c>
      <c r="H353" s="164"/>
      <c r="I353" s="1359">
        <f t="shared" si="343"/>
        <v>0</v>
      </c>
      <c r="J353" s="562" t="str">
        <f t="shared" si="393"/>
        <v>0:0:00</v>
      </c>
      <c r="K353" s="563">
        <v>1000</v>
      </c>
      <c r="L353" s="2127">
        <f t="shared" si="394"/>
        <v>95.15</v>
      </c>
      <c r="M353" s="561">
        <f t="shared" si="395"/>
        <v>0</v>
      </c>
      <c r="N353" s="564">
        <v>1</v>
      </c>
      <c r="O353" s="561">
        <f t="shared" si="396"/>
        <v>0</v>
      </c>
      <c r="P353" s="561">
        <f t="shared" si="397"/>
        <v>0</v>
      </c>
      <c r="Q353" s="565">
        <f t="shared" si="398"/>
        <v>0</v>
      </c>
      <c r="R353" s="566">
        <f t="shared" si="399"/>
        <v>0</v>
      </c>
      <c r="S353" s="566">
        <f t="shared" si="400"/>
        <v>0</v>
      </c>
      <c r="T353" s="566">
        <f t="shared" si="401"/>
        <v>0</v>
      </c>
      <c r="U353" s="2028">
        <f t="shared" si="385"/>
        <v>0</v>
      </c>
      <c r="V353" s="1357"/>
      <c r="W353" s="1357"/>
      <c r="X353" s="1357"/>
      <c r="Y353" s="1357"/>
      <c r="AD353" s="2141">
        <f t="shared" si="344"/>
        <v>2.6</v>
      </c>
      <c r="AE353" s="2142" t="str">
        <f t="shared" si="386"/>
        <v/>
      </c>
      <c r="AG353" s="2118" t="s">
        <v>1816</v>
      </c>
    </row>
    <row r="354" spans="1:33" ht="25.5" hidden="1" outlineLevel="3" x14ac:dyDescent="0.2">
      <c r="A354" s="1360">
        <f t="shared" ref="A354:A356" si="402">A353+1</f>
        <v>805</v>
      </c>
      <c r="B354" s="582" t="s">
        <v>505</v>
      </c>
      <c r="C354" s="532" t="s">
        <v>1096</v>
      </c>
      <c r="D354" s="2154">
        <v>4</v>
      </c>
      <c r="E354" s="574" t="s">
        <v>502</v>
      </c>
      <c r="F354" s="2154" t="s">
        <v>312</v>
      </c>
      <c r="G354" s="2182">
        <v>3.1699999999999999E-2</v>
      </c>
      <c r="H354" s="164"/>
      <c r="I354" s="1359">
        <f t="shared" si="343"/>
        <v>0</v>
      </c>
      <c r="J354" s="562" t="str">
        <f t="shared" si="393"/>
        <v>0:0:00</v>
      </c>
      <c r="K354" s="563">
        <v>1000</v>
      </c>
      <c r="L354" s="2127">
        <f t="shared" si="394"/>
        <v>95.15</v>
      </c>
      <c r="M354" s="561">
        <f t="shared" si="395"/>
        <v>0</v>
      </c>
      <c r="N354" s="564">
        <v>1</v>
      </c>
      <c r="O354" s="561">
        <f t="shared" si="396"/>
        <v>0</v>
      </c>
      <c r="P354" s="561">
        <f t="shared" si="397"/>
        <v>0</v>
      </c>
      <c r="Q354" s="565">
        <f t="shared" si="398"/>
        <v>0</v>
      </c>
      <c r="R354" s="566">
        <f t="shared" si="399"/>
        <v>0</v>
      </c>
      <c r="S354" s="566">
        <f t="shared" si="400"/>
        <v>0</v>
      </c>
      <c r="T354" s="566">
        <f t="shared" si="401"/>
        <v>0</v>
      </c>
      <c r="U354" s="2028">
        <f t="shared" si="385"/>
        <v>0</v>
      </c>
      <c r="V354" s="1357"/>
      <c r="W354" s="1357"/>
      <c r="X354" s="1357"/>
      <c r="Y354" s="1357"/>
      <c r="AD354" s="2141">
        <f t="shared" si="344"/>
        <v>2.6</v>
      </c>
      <c r="AE354" s="2142" t="str">
        <f t="shared" si="386"/>
        <v/>
      </c>
      <c r="AG354" s="2118" t="s">
        <v>1816</v>
      </c>
    </row>
    <row r="355" spans="1:33" ht="25.5" hidden="1" outlineLevel="3" x14ac:dyDescent="0.2">
      <c r="A355" s="1360">
        <f t="shared" si="402"/>
        <v>806</v>
      </c>
      <c r="B355" s="582" t="s">
        <v>506</v>
      </c>
      <c r="C355" s="532" t="s">
        <v>1096</v>
      </c>
      <c r="D355" s="2154">
        <v>4</v>
      </c>
      <c r="E355" s="574" t="s">
        <v>502</v>
      </c>
      <c r="F355" s="2154" t="s">
        <v>312</v>
      </c>
      <c r="G355" s="2182">
        <v>4.3299999999999998E-2</v>
      </c>
      <c r="H355" s="164"/>
      <c r="I355" s="1359">
        <f t="shared" si="343"/>
        <v>0</v>
      </c>
      <c r="J355" s="562" t="str">
        <f t="shared" si="393"/>
        <v>0:0:00</v>
      </c>
      <c r="K355" s="563">
        <v>1000</v>
      </c>
      <c r="L355" s="2127">
        <f t="shared" si="394"/>
        <v>95.15</v>
      </c>
      <c r="M355" s="561">
        <f t="shared" si="395"/>
        <v>0</v>
      </c>
      <c r="N355" s="564">
        <v>1</v>
      </c>
      <c r="O355" s="561">
        <f>M355*N355</f>
        <v>0</v>
      </c>
      <c r="P355" s="561">
        <f>(M355+O355)*0.15</f>
        <v>0</v>
      </c>
      <c r="Q355" s="565">
        <f>M355+O355+P355</f>
        <v>0</v>
      </c>
      <c r="R355" s="566">
        <f t="shared" si="399"/>
        <v>0</v>
      </c>
      <c r="S355" s="566">
        <f t="shared" si="400"/>
        <v>0</v>
      </c>
      <c r="T355" s="566">
        <f t="shared" si="401"/>
        <v>0</v>
      </c>
      <c r="U355" s="2028">
        <f t="shared" si="385"/>
        <v>0</v>
      </c>
      <c r="V355" s="1357"/>
      <c r="W355" s="1357"/>
      <c r="X355" s="1357"/>
      <c r="Y355" s="1357"/>
      <c r="AD355" s="2141">
        <f t="shared" si="344"/>
        <v>2.6</v>
      </c>
      <c r="AE355" s="2142" t="str">
        <f t="shared" si="386"/>
        <v/>
      </c>
      <c r="AG355" s="2118" t="s">
        <v>1816</v>
      </c>
    </row>
    <row r="356" spans="1:33" ht="25.5" hidden="1" outlineLevel="3" x14ac:dyDescent="0.2">
      <c r="A356" s="1360">
        <f t="shared" si="402"/>
        <v>807</v>
      </c>
      <c r="B356" s="582" t="s">
        <v>507</v>
      </c>
      <c r="C356" s="532" t="s">
        <v>1096</v>
      </c>
      <c r="D356" s="2154">
        <v>4</v>
      </c>
      <c r="E356" s="574" t="s">
        <v>502</v>
      </c>
      <c r="F356" s="2154" t="s">
        <v>312</v>
      </c>
      <c r="G356" s="2182">
        <v>5.33E-2</v>
      </c>
      <c r="H356" s="164"/>
      <c r="I356" s="1359">
        <f t="shared" si="343"/>
        <v>0</v>
      </c>
      <c r="J356" s="562" t="str">
        <f t="shared" si="393"/>
        <v>0:0:00</v>
      </c>
      <c r="K356" s="563">
        <v>1000</v>
      </c>
      <c r="L356" s="2127">
        <f t="shared" si="394"/>
        <v>95.15</v>
      </c>
      <c r="M356" s="561">
        <f t="shared" si="395"/>
        <v>0</v>
      </c>
      <c r="N356" s="564">
        <v>1</v>
      </c>
      <c r="O356" s="561">
        <f>M356*N356</f>
        <v>0</v>
      </c>
      <c r="P356" s="561">
        <f>(M356+O356)*0.15</f>
        <v>0</v>
      </c>
      <c r="Q356" s="565">
        <f>M356+O356+P356</f>
        <v>0</v>
      </c>
      <c r="R356" s="566">
        <f t="shared" si="399"/>
        <v>0</v>
      </c>
      <c r="S356" s="566">
        <f t="shared" si="400"/>
        <v>0</v>
      </c>
      <c r="T356" s="566">
        <f t="shared" si="401"/>
        <v>0</v>
      </c>
      <c r="U356" s="2028">
        <f t="shared" si="385"/>
        <v>0</v>
      </c>
      <c r="V356" s="1357"/>
      <c r="W356" s="1357"/>
      <c r="X356" s="1357"/>
      <c r="Y356" s="1357"/>
      <c r="AD356" s="2141">
        <f t="shared" si="344"/>
        <v>2.6</v>
      </c>
      <c r="AE356" s="2142" t="str">
        <f t="shared" si="386"/>
        <v/>
      </c>
      <c r="AG356" s="2118" t="s">
        <v>1816</v>
      </c>
    </row>
    <row r="357" spans="1:33" ht="14.25" hidden="1" outlineLevel="2" x14ac:dyDescent="0.2">
      <c r="A357" s="1360"/>
      <c r="B357" s="557" t="s">
        <v>1098</v>
      </c>
      <c r="C357" s="2062">
        <f>IF(SUM(T358:T365)&gt;0,1,0)</f>
        <v>0</v>
      </c>
      <c r="D357" s="2152"/>
      <c r="E357" s="523" t="s">
        <v>218</v>
      </c>
      <c r="F357" s="2164"/>
      <c r="G357" s="2181"/>
      <c r="H357" s="569">
        <f>SUM(H353:H356)</f>
        <v>0</v>
      </c>
      <c r="I357" s="2043">
        <f>SUM(I358:I364)</f>
        <v>0</v>
      </c>
      <c r="J357" s="524"/>
      <c r="K357" s="524"/>
      <c r="L357" s="526"/>
      <c r="M357" s="524"/>
      <c r="N357" s="524"/>
      <c r="O357" s="524"/>
      <c r="P357" s="524"/>
      <c r="Q357" s="527"/>
      <c r="R357" s="524"/>
      <c r="S357" s="524"/>
      <c r="T357" s="524"/>
      <c r="U357" s="2028">
        <f t="shared" si="385"/>
        <v>0</v>
      </c>
      <c r="V357" s="1357"/>
      <c r="W357" s="1357"/>
      <c r="X357" s="1357"/>
      <c r="Y357" s="1357"/>
      <c r="AD357" s="2141" t="str">
        <f t="shared" si="344"/>
        <v/>
      </c>
      <c r="AE357" s="2142" t="str">
        <f t="shared" si="386"/>
        <v/>
      </c>
      <c r="AG357" s="2118" t="s">
        <v>1816</v>
      </c>
    </row>
    <row r="358" spans="1:33" ht="25.5" hidden="1" outlineLevel="3" x14ac:dyDescent="0.2">
      <c r="A358" s="1360">
        <f>A356+1</f>
        <v>808</v>
      </c>
      <c r="B358" s="580" t="s">
        <v>575</v>
      </c>
      <c r="C358" s="532" t="s">
        <v>1096</v>
      </c>
      <c r="D358" s="2154">
        <v>4</v>
      </c>
      <c r="E358" s="574" t="s">
        <v>502</v>
      </c>
      <c r="F358" s="2154" t="s">
        <v>312</v>
      </c>
      <c r="G358" s="2182">
        <v>2.8299999999999999E-2</v>
      </c>
      <c r="H358" s="164"/>
      <c r="I358" s="1359">
        <f t="shared" si="343"/>
        <v>0</v>
      </c>
      <c r="J358" s="562" t="str">
        <f t="shared" ref="J358:J364" si="403">CONCATENATE(TRUNC(I358,0),":",INT((I358-(TRUNC(I358,0)))*60),":","00")</f>
        <v>0:0:00</v>
      </c>
      <c r="K358" s="563">
        <v>1000</v>
      </c>
      <c r="L358" s="2127">
        <f t="shared" ref="L358:L364" si="404">РезкаПодрезка</f>
        <v>95.15</v>
      </c>
      <c r="M358" s="561">
        <f t="shared" ref="M358:M364" si="405">I358*L358</f>
        <v>0</v>
      </c>
      <c r="N358" s="564">
        <v>1</v>
      </c>
      <c r="O358" s="561">
        <f t="shared" ref="O358:O362" si="406">M358*N358</f>
        <v>0</v>
      </c>
      <c r="P358" s="561">
        <f t="shared" ref="P358:P362" si="407">(M358+O358)*0.15</f>
        <v>0</v>
      </c>
      <c r="Q358" s="565">
        <f t="shared" ref="Q358:Q362" si="408">M358+O358+P358</f>
        <v>0</v>
      </c>
      <c r="R358" s="566">
        <f t="shared" ref="R358:R364" si="409">Q358*$R$1</f>
        <v>0</v>
      </c>
      <c r="S358" s="566">
        <f t="shared" ref="S358:S364" si="410">(Q358+R358)*$S$1</f>
        <v>0</v>
      </c>
      <c r="T358" s="566">
        <f>Q358+R358+S358</f>
        <v>0</v>
      </c>
      <c r="U358" s="2028">
        <f t="shared" si="385"/>
        <v>0</v>
      </c>
      <c r="V358" s="1357"/>
      <c r="W358" s="1357"/>
      <c r="X358" s="1357"/>
      <c r="Y358" s="1357"/>
      <c r="AD358" s="2141">
        <f t="shared" si="344"/>
        <v>2.6</v>
      </c>
      <c r="AE358" s="2142" t="str">
        <f t="shared" si="386"/>
        <v/>
      </c>
      <c r="AG358" s="2118" t="s">
        <v>1816</v>
      </c>
    </row>
    <row r="359" spans="1:33" ht="25.5" hidden="1" outlineLevel="3" x14ac:dyDescent="0.2">
      <c r="A359" s="1360">
        <f>A358+1</f>
        <v>809</v>
      </c>
      <c r="B359" s="581" t="s">
        <v>515</v>
      </c>
      <c r="C359" s="532" t="s">
        <v>1096</v>
      </c>
      <c r="D359" s="2154">
        <v>4</v>
      </c>
      <c r="E359" s="574" t="s">
        <v>502</v>
      </c>
      <c r="F359" s="2154" t="s">
        <v>312</v>
      </c>
      <c r="G359" s="2182">
        <v>8.3000000000000001E-3</v>
      </c>
      <c r="H359" s="164">
        <f>SUM(H361:H364)*3</f>
        <v>0</v>
      </c>
      <c r="I359" s="1359">
        <f t="shared" si="343"/>
        <v>0</v>
      </c>
      <c r="J359" s="562" t="str">
        <f t="shared" si="403"/>
        <v>0:0:00</v>
      </c>
      <c r="K359" s="563">
        <v>1000</v>
      </c>
      <c r="L359" s="2127">
        <f t="shared" si="404"/>
        <v>95.15</v>
      </c>
      <c r="M359" s="561">
        <f t="shared" si="405"/>
        <v>0</v>
      </c>
      <c r="N359" s="564">
        <v>1</v>
      </c>
      <c r="O359" s="561">
        <f t="shared" si="406"/>
        <v>0</v>
      </c>
      <c r="P359" s="561">
        <f t="shared" si="407"/>
        <v>0</v>
      </c>
      <c r="Q359" s="565">
        <f t="shared" si="408"/>
        <v>0</v>
      </c>
      <c r="R359" s="566">
        <f t="shared" si="409"/>
        <v>0</v>
      </c>
      <c r="S359" s="566">
        <f t="shared" si="410"/>
        <v>0</v>
      </c>
      <c r="T359" s="566">
        <f t="shared" ref="T359:T364" si="411">Q359+R359+S359</f>
        <v>0</v>
      </c>
      <c r="U359" s="2028">
        <f t="shared" si="385"/>
        <v>0</v>
      </c>
      <c r="V359" s="1357"/>
      <c r="W359" s="1357"/>
      <c r="X359" s="1357"/>
      <c r="Y359" s="1357"/>
      <c r="AD359" s="2141">
        <f t="shared" si="344"/>
        <v>2.6</v>
      </c>
      <c r="AE359" s="2142" t="str">
        <f t="shared" si="386"/>
        <v/>
      </c>
      <c r="AG359" s="2118" t="s">
        <v>1816</v>
      </c>
    </row>
    <row r="360" spans="1:33" ht="25.5" hidden="1" outlineLevel="3" x14ac:dyDescent="0.2">
      <c r="A360" s="1360">
        <f t="shared" ref="A360:A364" si="412">A359+1</f>
        <v>810</v>
      </c>
      <c r="B360" s="580" t="s">
        <v>577</v>
      </c>
      <c r="C360" s="532" t="s">
        <v>1096</v>
      </c>
      <c r="D360" s="2154">
        <v>4</v>
      </c>
      <c r="E360" s="574" t="s">
        <v>502</v>
      </c>
      <c r="F360" s="2154" t="s">
        <v>312</v>
      </c>
      <c r="G360" s="2182">
        <v>1.3299999999999999E-2</v>
      </c>
      <c r="H360" s="164"/>
      <c r="I360" s="1359">
        <f t="shared" si="343"/>
        <v>0</v>
      </c>
      <c r="J360" s="562" t="str">
        <f t="shared" si="403"/>
        <v>0:0:00</v>
      </c>
      <c r="K360" s="563">
        <v>1000</v>
      </c>
      <c r="L360" s="2127">
        <f t="shared" si="404"/>
        <v>95.15</v>
      </c>
      <c r="M360" s="561">
        <f t="shared" si="405"/>
        <v>0</v>
      </c>
      <c r="N360" s="564">
        <v>1</v>
      </c>
      <c r="O360" s="561">
        <f t="shared" si="406"/>
        <v>0</v>
      </c>
      <c r="P360" s="561">
        <f t="shared" si="407"/>
        <v>0</v>
      </c>
      <c r="Q360" s="565">
        <f t="shared" si="408"/>
        <v>0</v>
      </c>
      <c r="R360" s="566">
        <f t="shared" si="409"/>
        <v>0</v>
      </c>
      <c r="S360" s="566">
        <f t="shared" si="410"/>
        <v>0</v>
      </c>
      <c r="T360" s="566">
        <f t="shared" si="411"/>
        <v>0</v>
      </c>
      <c r="U360" s="2028">
        <f t="shared" si="385"/>
        <v>0</v>
      </c>
      <c r="V360" s="1357"/>
      <c r="W360" s="1357"/>
      <c r="X360" s="1357"/>
      <c r="Y360" s="1357"/>
      <c r="AD360" s="2141">
        <f t="shared" si="344"/>
        <v>2.6</v>
      </c>
      <c r="AE360" s="2142" t="str">
        <f t="shared" si="386"/>
        <v/>
      </c>
      <c r="AG360" s="2118" t="s">
        <v>1816</v>
      </c>
    </row>
    <row r="361" spans="1:33" ht="25.5" hidden="1" outlineLevel="3" x14ac:dyDescent="0.2">
      <c r="A361" s="1360">
        <f t="shared" si="412"/>
        <v>811</v>
      </c>
      <c r="B361" s="582" t="s">
        <v>578</v>
      </c>
      <c r="C361" s="532" t="s">
        <v>1096</v>
      </c>
      <c r="D361" s="2154">
        <v>4</v>
      </c>
      <c r="E361" s="574" t="s">
        <v>502</v>
      </c>
      <c r="F361" s="2154" t="s">
        <v>312</v>
      </c>
      <c r="G361" s="2182">
        <v>2.1700000000000001E-2</v>
      </c>
      <c r="H361" s="164"/>
      <c r="I361" s="1359">
        <f t="shared" si="343"/>
        <v>0</v>
      </c>
      <c r="J361" s="562" t="str">
        <f t="shared" si="403"/>
        <v>0:0:00</v>
      </c>
      <c r="K361" s="563">
        <v>1000</v>
      </c>
      <c r="L361" s="2127">
        <f t="shared" si="404"/>
        <v>95.15</v>
      </c>
      <c r="M361" s="561">
        <f t="shared" si="405"/>
        <v>0</v>
      </c>
      <c r="N361" s="564">
        <v>1</v>
      </c>
      <c r="O361" s="561">
        <f t="shared" si="406"/>
        <v>0</v>
      </c>
      <c r="P361" s="561">
        <f t="shared" si="407"/>
        <v>0</v>
      </c>
      <c r="Q361" s="565">
        <f t="shared" si="408"/>
        <v>0</v>
      </c>
      <c r="R361" s="566">
        <f t="shared" si="409"/>
        <v>0</v>
      </c>
      <c r="S361" s="566">
        <f t="shared" si="410"/>
        <v>0</v>
      </c>
      <c r="T361" s="566">
        <f t="shared" si="411"/>
        <v>0</v>
      </c>
      <c r="U361" s="2028">
        <f t="shared" si="385"/>
        <v>0</v>
      </c>
      <c r="V361" s="1357"/>
      <c r="W361" s="1357"/>
      <c r="X361" s="1357"/>
      <c r="Y361" s="1357"/>
      <c r="AD361" s="2141">
        <f t="shared" si="344"/>
        <v>2.6</v>
      </c>
      <c r="AE361" s="2142" t="str">
        <f t="shared" si="386"/>
        <v/>
      </c>
      <c r="AG361" s="2118" t="s">
        <v>1816</v>
      </c>
    </row>
    <row r="362" spans="1:33" ht="25.5" hidden="1" outlineLevel="3" x14ac:dyDescent="0.2">
      <c r="A362" s="1360">
        <f t="shared" si="412"/>
        <v>812</v>
      </c>
      <c r="B362" s="582" t="s">
        <v>579</v>
      </c>
      <c r="C362" s="532" t="s">
        <v>1096</v>
      </c>
      <c r="D362" s="2154">
        <v>4</v>
      </c>
      <c r="E362" s="574" t="s">
        <v>502</v>
      </c>
      <c r="F362" s="2154" t="s">
        <v>312</v>
      </c>
      <c r="G362" s="2182">
        <v>4.3299999999999998E-2</v>
      </c>
      <c r="H362" s="164"/>
      <c r="I362" s="1359">
        <f t="shared" si="343"/>
        <v>0</v>
      </c>
      <c r="J362" s="562" t="str">
        <f t="shared" si="403"/>
        <v>0:0:00</v>
      </c>
      <c r="K362" s="563">
        <v>1000</v>
      </c>
      <c r="L362" s="2127">
        <f t="shared" si="404"/>
        <v>95.15</v>
      </c>
      <c r="M362" s="561">
        <f t="shared" si="405"/>
        <v>0</v>
      </c>
      <c r="N362" s="564">
        <v>1</v>
      </c>
      <c r="O362" s="561">
        <f t="shared" si="406"/>
        <v>0</v>
      </c>
      <c r="P362" s="561">
        <f t="shared" si="407"/>
        <v>0</v>
      </c>
      <c r="Q362" s="565">
        <f t="shared" si="408"/>
        <v>0</v>
      </c>
      <c r="R362" s="566">
        <f t="shared" si="409"/>
        <v>0</v>
      </c>
      <c r="S362" s="566">
        <f t="shared" si="410"/>
        <v>0</v>
      </c>
      <c r="T362" s="566">
        <f t="shared" si="411"/>
        <v>0</v>
      </c>
      <c r="U362" s="2028">
        <f t="shared" si="385"/>
        <v>0</v>
      </c>
      <c r="V362" s="1357"/>
      <c r="W362" s="1357"/>
      <c r="X362" s="1357"/>
      <c r="Y362" s="1357"/>
      <c r="AD362" s="2141">
        <f t="shared" si="344"/>
        <v>2.6</v>
      </c>
      <c r="AE362" s="2142" t="str">
        <f t="shared" si="386"/>
        <v/>
      </c>
      <c r="AG362" s="2118" t="s">
        <v>1816</v>
      </c>
    </row>
    <row r="363" spans="1:33" ht="25.5" hidden="1" outlineLevel="3" x14ac:dyDescent="0.2">
      <c r="A363" s="1360">
        <f t="shared" si="412"/>
        <v>813</v>
      </c>
      <c r="B363" s="582" t="s">
        <v>580</v>
      </c>
      <c r="C363" s="532" t="s">
        <v>1096</v>
      </c>
      <c r="D363" s="2154">
        <v>4</v>
      </c>
      <c r="E363" s="574" t="s">
        <v>502</v>
      </c>
      <c r="F363" s="2154" t="s">
        <v>312</v>
      </c>
      <c r="G363" s="2182">
        <v>5.8299999999999998E-2</v>
      </c>
      <c r="H363" s="164"/>
      <c r="I363" s="1359">
        <f t="shared" si="343"/>
        <v>0</v>
      </c>
      <c r="J363" s="562" t="str">
        <f t="shared" si="403"/>
        <v>0:0:00</v>
      </c>
      <c r="K363" s="563">
        <v>1000</v>
      </c>
      <c r="L363" s="2127">
        <f t="shared" si="404"/>
        <v>95.15</v>
      </c>
      <c r="M363" s="561">
        <f t="shared" si="405"/>
        <v>0</v>
      </c>
      <c r="N363" s="564">
        <v>1</v>
      </c>
      <c r="O363" s="561">
        <f>M363*N363</f>
        <v>0</v>
      </c>
      <c r="P363" s="561">
        <f>(M363+O363)*0.15</f>
        <v>0</v>
      </c>
      <c r="Q363" s="565">
        <f>M363+O363+P363</f>
        <v>0</v>
      </c>
      <c r="R363" s="566">
        <f t="shared" si="409"/>
        <v>0</v>
      </c>
      <c r="S363" s="566">
        <f t="shared" si="410"/>
        <v>0</v>
      </c>
      <c r="T363" s="566">
        <f t="shared" si="411"/>
        <v>0</v>
      </c>
      <c r="U363" s="2028">
        <f t="shared" si="385"/>
        <v>0</v>
      </c>
      <c r="V363" s="1357"/>
      <c r="W363" s="1357"/>
      <c r="X363" s="1357"/>
      <c r="Y363" s="1357"/>
      <c r="AD363" s="2141">
        <f t="shared" si="344"/>
        <v>2.6</v>
      </c>
      <c r="AE363" s="2142" t="str">
        <f t="shared" si="386"/>
        <v/>
      </c>
      <c r="AG363" s="2118" t="s">
        <v>1816</v>
      </c>
    </row>
    <row r="364" spans="1:33" ht="25.5" hidden="1" outlineLevel="3" x14ac:dyDescent="0.2">
      <c r="A364" s="1360">
        <f t="shared" si="412"/>
        <v>814</v>
      </c>
      <c r="B364" s="582" t="s">
        <v>581</v>
      </c>
      <c r="C364" s="532" t="s">
        <v>1096</v>
      </c>
      <c r="D364" s="2154">
        <v>4</v>
      </c>
      <c r="E364" s="574" t="s">
        <v>502</v>
      </c>
      <c r="F364" s="2154" t="s">
        <v>312</v>
      </c>
      <c r="G364" s="2182">
        <v>7.4999999999999997E-2</v>
      </c>
      <c r="H364" s="164"/>
      <c r="I364" s="1359">
        <f t="shared" ref="I364:I387" si="413">IF(H364&gt;0,IF((G364*H364/K364)&lt;0.084,0.084,(G364*H364/K364)),0)</f>
        <v>0</v>
      </c>
      <c r="J364" s="562" t="str">
        <f t="shared" si="403"/>
        <v>0:0:00</v>
      </c>
      <c r="K364" s="563">
        <v>1000</v>
      </c>
      <c r="L364" s="2127">
        <f t="shared" si="404"/>
        <v>95.15</v>
      </c>
      <c r="M364" s="561">
        <f t="shared" si="405"/>
        <v>0</v>
      </c>
      <c r="N364" s="564">
        <v>1</v>
      </c>
      <c r="O364" s="561">
        <f>M364*N364</f>
        <v>0</v>
      </c>
      <c r="P364" s="561">
        <f>(M364+O364)*0.15</f>
        <v>0</v>
      </c>
      <c r="Q364" s="565">
        <f>M364+O364+P364</f>
        <v>0</v>
      </c>
      <c r="R364" s="566">
        <f t="shared" si="409"/>
        <v>0</v>
      </c>
      <c r="S364" s="566">
        <f t="shared" si="410"/>
        <v>0</v>
      </c>
      <c r="T364" s="566">
        <f t="shared" si="411"/>
        <v>0</v>
      </c>
      <c r="U364" s="2028">
        <f t="shared" si="385"/>
        <v>0</v>
      </c>
      <c r="V364" s="1357"/>
      <c r="W364" s="1357"/>
      <c r="X364" s="1357"/>
      <c r="Y364" s="1357"/>
      <c r="AD364" s="2141">
        <f t="shared" si="344"/>
        <v>2.6</v>
      </c>
      <c r="AE364" s="2142" t="str">
        <f t="shared" si="386"/>
        <v/>
      </c>
      <c r="AG364" s="2118" t="s">
        <v>1816</v>
      </c>
    </row>
    <row r="365" spans="1:33" ht="14.25" hidden="1" outlineLevel="2" x14ac:dyDescent="0.2">
      <c r="A365" s="1360"/>
      <c r="B365" s="557" t="s">
        <v>1099</v>
      </c>
      <c r="C365" s="522"/>
      <c r="D365" s="2152"/>
      <c r="E365" s="523" t="s">
        <v>218</v>
      </c>
      <c r="F365" s="2164"/>
      <c r="G365" s="2181"/>
      <c r="H365" s="569">
        <f>SUM(H361:H364)</f>
        <v>0</v>
      </c>
      <c r="I365" s="2043">
        <f>SUM(I366:I372)</f>
        <v>0</v>
      </c>
      <c r="J365" s="524"/>
      <c r="K365" s="524"/>
      <c r="L365" s="526"/>
      <c r="M365" s="524"/>
      <c r="N365" s="524"/>
      <c r="O365" s="524"/>
      <c r="P365" s="524"/>
      <c r="Q365" s="527"/>
      <c r="R365" s="524"/>
      <c r="S365" s="524"/>
      <c r="T365" s="524"/>
      <c r="U365" s="2028">
        <f t="shared" si="385"/>
        <v>0</v>
      </c>
      <c r="V365" s="1357"/>
      <c r="W365" s="1357"/>
      <c r="X365" s="1357"/>
      <c r="Y365" s="1357"/>
      <c r="AD365" s="2141" t="str">
        <f t="shared" si="344"/>
        <v/>
      </c>
      <c r="AE365" s="2142" t="str">
        <f t="shared" si="386"/>
        <v/>
      </c>
      <c r="AG365" s="2118" t="s">
        <v>1816</v>
      </c>
    </row>
    <row r="366" spans="1:33" ht="25.5" hidden="1" outlineLevel="3" x14ac:dyDescent="0.2">
      <c r="A366" s="1360">
        <f>A364+1</f>
        <v>815</v>
      </c>
      <c r="B366" s="580" t="s">
        <v>527</v>
      </c>
      <c r="C366" s="532" t="s">
        <v>1096</v>
      </c>
      <c r="D366" s="2124">
        <v>4</v>
      </c>
      <c r="E366" s="574" t="s">
        <v>502</v>
      </c>
      <c r="F366" s="2124" t="s">
        <v>312</v>
      </c>
      <c r="G366" s="2183">
        <v>4.4999999999999998E-2</v>
      </c>
      <c r="H366" s="164"/>
      <c r="I366" s="1359">
        <f t="shared" si="413"/>
        <v>0</v>
      </c>
      <c r="J366" s="562" t="str">
        <f t="shared" ref="J366:J372" si="414">CONCATENATE(TRUNC(I366,0),":",INT((I366-(TRUNC(I366,0)))*60),":","00")</f>
        <v>0:0:00</v>
      </c>
      <c r="K366" s="563">
        <v>1000</v>
      </c>
      <c r="L366" s="2127">
        <f t="shared" ref="L366:L372" si="415">РезкаПодрезка</f>
        <v>95.15</v>
      </c>
      <c r="M366" s="561">
        <f t="shared" ref="M366:M372" si="416">I366*L366</f>
        <v>0</v>
      </c>
      <c r="N366" s="564">
        <v>1</v>
      </c>
      <c r="O366" s="561">
        <f t="shared" ref="O366:O372" si="417">M366*N366</f>
        <v>0</v>
      </c>
      <c r="P366" s="561">
        <f t="shared" ref="P366:P372" si="418">(M366+O366)*0.15</f>
        <v>0</v>
      </c>
      <c r="Q366" s="565">
        <f t="shared" ref="Q366:Q372" si="419">M366+O366+P366</f>
        <v>0</v>
      </c>
      <c r="R366" s="566">
        <f t="shared" ref="R366:R372" si="420">Q366*$R$1</f>
        <v>0</v>
      </c>
      <c r="S366" s="566">
        <f t="shared" ref="S366:S372" si="421">(Q366+R366)*$S$1</f>
        <v>0</v>
      </c>
      <c r="T366" s="566">
        <f>Q366+R366+S366</f>
        <v>0</v>
      </c>
      <c r="U366" s="2028">
        <f t="shared" si="385"/>
        <v>0</v>
      </c>
      <c r="V366" s="1357"/>
      <c r="W366" s="1357"/>
      <c r="X366" s="1357"/>
      <c r="Y366" s="1357"/>
      <c r="AD366" s="2141">
        <f t="shared" si="344"/>
        <v>2.6</v>
      </c>
      <c r="AE366" s="2142" t="str">
        <f t="shared" si="386"/>
        <v/>
      </c>
      <c r="AG366" s="2118" t="s">
        <v>1816</v>
      </c>
    </row>
    <row r="367" spans="1:33" ht="25.5" hidden="1" outlineLevel="3" x14ac:dyDescent="0.2">
      <c r="A367" s="1360">
        <f>A366+1</f>
        <v>816</v>
      </c>
      <c r="B367" s="581" t="s">
        <v>583</v>
      </c>
      <c r="C367" s="532" t="s">
        <v>1096</v>
      </c>
      <c r="D367" s="2124">
        <v>4</v>
      </c>
      <c r="E367" s="574" t="s">
        <v>502</v>
      </c>
      <c r="F367" s="2124" t="s">
        <v>312</v>
      </c>
      <c r="G367" s="2183">
        <v>1.3299999999999999E-2</v>
      </c>
      <c r="H367" s="164">
        <f>SUM(H369:H372)*3</f>
        <v>0</v>
      </c>
      <c r="I367" s="1359">
        <f t="shared" si="413"/>
        <v>0</v>
      </c>
      <c r="J367" s="562" t="str">
        <f t="shared" si="414"/>
        <v>0:0:00</v>
      </c>
      <c r="K367" s="563">
        <v>1000</v>
      </c>
      <c r="L367" s="2127">
        <f t="shared" si="415"/>
        <v>95.15</v>
      </c>
      <c r="M367" s="561">
        <f t="shared" si="416"/>
        <v>0</v>
      </c>
      <c r="N367" s="564">
        <v>1</v>
      </c>
      <c r="O367" s="561">
        <f t="shared" si="417"/>
        <v>0</v>
      </c>
      <c r="P367" s="561">
        <f t="shared" si="418"/>
        <v>0</v>
      </c>
      <c r="Q367" s="565">
        <f t="shared" si="419"/>
        <v>0</v>
      </c>
      <c r="R367" s="566">
        <f t="shared" si="420"/>
        <v>0</v>
      </c>
      <c r="S367" s="566">
        <f t="shared" si="421"/>
        <v>0</v>
      </c>
      <c r="T367" s="566">
        <f t="shared" ref="T367:T372" si="422">Q367+R367+S367</f>
        <v>0</v>
      </c>
      <c r="U367" s="2028">
        <f t="shared" si="385"/>
        <v>0</v>
      </c>
      <c r="V367" s="1357"/>
      <c r="W367" s="1357"/>
      <c r="X367" s="1357"/>
      <c r="Y367" s="1357"/>
      <c r="AD367" s="2141">
        <f t="shared" si="344"/>
        <v>2.6</v>
      </c>
      <c r="AE367" s="2142" t="str">
        <f t="shared" si="386"/>
        <v/>
      </c>
      <c r="AG367" s="2118" t="s">
        <v>1816</v>
      </c>
    </row>
    <row r="368" spans="1:33" ht="25.5" hidden="1" outlineLevel="3" x14ac:dyDescent="0.2">
      <c r="A368" s="1360">
        <f t="shared" ref="A368:A372" si="423">A367+1</f>
        <v>817</v>
      </c>
      <c r="B368" s="580" t="s">
        <v>529</v>
      </c>
      <c r="C368" s="532" t="s">
        <v>1096</v>
      </c>
      <c r="D368" s="2124">
        <v>4</v>
      </c>
      <c r="E368" s="574" t="s">
        <v>502</v>
      </c>
      <c r="F368" s="2124" t="s">
        <v>312</v>
      </c>
      <c r="G368" s="2183">
        <v>2.3300000000000001E-2</v>
      </c>
      <c r="H368" s="164"/>
      <c r="I368" s="1359">
        <f t="shared" si="413"/>
        <v>0</v>
      </c>
      <c r="J368" s="562" t="str">
        <f t="shared" si="414"/>
        <v>0:0:00</v>
      </c>
      <c r="K368" s="563">
        <v>1000</v>
      </c>
      <c r="L368" s="2127">
        <f t="shared" si="415"/>
        <v>95.15</v>
      </c>
      <c r="M368" s="561">
        <f t="shared" si="416"/>
        <v>0</v>
      </c>
      <c r="N368" s="564">
        <v>1</v>
      </c>
      <c r="O368" s="561">
        <f t="shared" si="417"/>
        <v>0</v>
      </c>
      <c r="P368" s="561">
        <f t="shared" si="418"/>
        <v>0</v>
      </c>
      <c r="Q368" s="565">
        <f t="shared" si="419"/>
        <v>0</v>
      </c>
      <c r="R368" s="566">
        <f t="shared" si="420"/>
        <v>0</v>
      </c>
      <c r="S368" s="566">
        <f t="shared" si="421"/>
        <v>0</v>
      </c>
      <c r="T368" s="566">
        <f t="shared" si="422"/>
        <v>0</v>
      </c>
      <c r="U368" s="2028">
        <f t="shared" si="385"/>
        <v>0</v>
      </c>
      <c r="V368" s="1357"/>
      <c r="W368" s="1357"/>
      <c r="X368" s="1357"/>
      <c r="Y368" s="1357"/>
      <c r="AD368" s="2141">
        <f t="shared" si="344"/>
        <v>2.6</v>
      </c>
      <c r="AE368" s="2142" t="str">
        <f t="shared" si="386"/>
        <v/>
      </c>
      <c r="AG368" s="2118" t="s">
        <v>1816</v>
      </c>
    </row>
    <row r="369" spans="1:33" ht="25.5" hidden="1" outlineLevel="3" x14ac:dyDescent="0.2">
      <c r="A369" s="1360">
        <f t="shared" si="423"/>
        <v>818</v>
      </c>
      <c r="B369" s="582" t="s">
        <v>530</v>
      </c>
      <c r="C369" s="532" t="s">
        <v>1096</v>
      </c>
      <c r="D369" s="2124">
        <v>4</v>
      </c>
      <c r="E369" s="574" t="s">
        <v>502</v>
      </c>
      <c r="F369" s="2124" t="s">
        <v>312</v>
      </c>
      <c r="G369" s="2183">
        <v>3.6700000000000003E-2</v>
      </c>
      <c r="H369" s="164"/>
      <c r="I369" s="1359">
        <f t="shared" si="413"/>
        <v>0</v>
      </c>
      <c r="J369" s="562" t="str">
        <f t="shared" si="414"/>
        <v>0:0:00</v>
      </c>
      <c r="K369" s="563">
        <v>1000</v>
      </c>
      <c r="L369" s="2127">
        <f t="shared" si="415"/>
        <v>95.15</v>
      </c>
      <c r="M369" s="561">
        <f t="shared" si="416"/>
        <v>0</v>
      </c>
      <c r="N369" s="564">
        <v>1</v>
      </c>
      <c r="O369" s="561">
        <f t="shared" si="417"/>
        <v>0</v>
      </c>
      <c r="P369" s="561">
        <f t="shared" si="418"/>
        <v>0</v>
      </c>
      <c r="Q369" s="565">
        <f t="shared" si="419"/>
        <v>0</v>
      </c>
      <c r="R369" s="566">
        <f t="shared" si="420"/>
        <v>0</v>
      </c>
      <c r="S369" s="566">
        <f t="shared" si="421"/>
        <v>0</v>
      </c>
      <c r="T369" s="566">
        <f t="shared" si="422"/>
        <v>0</v>
      </c>
      <c r="U369" s="2028">
        <f t="shared" si="385"/>
        <v>0</v>
      </c>
      <c r="V369" s="1357"/>
      <c r="W369" s="1357"/>
      <c r="X369" s="1357"/>
      <c r="Y369" s="1357"/>
      <c r="AD369" s="2141">
        <f t="shared" ref="AD369:AD432" si="424">IF(D369&gt;0,LOOKUP(D369,$Z$30:$Z$33,$AA$30:$AA$33),"")</f>
        <v>2.6</v>
      </c>
      <c r="AE369" s="2142" t="str">
        <f t="shared" si="386"/>
        <v/>
      </c>
      <c r="AG369" s="2118" t="s">
        <v>1816</v>
      </c>
    </row>
    <row r="370" spans="1:33" ht="25.5" hidden="1" outlineLevel="3" x14ac:dyDescent="0.2">
      <c r="A370" s="1360">
        <f t="shared" si="423"/>
        <v>819</v>
      </c>
      <c r="B370" s="582" t="s">
        <v>531</v>
      </c>
      <c r="C370" s="532" t="s">
        <v>1096</v>
      </c>
      <c r="D370" s="2124">
        <v>4</v>
      </c>
      <c r="E370" s="574" t="s">
        <v>502</v>
      </c>
      <c r="F370" s="2124" t="s">
        <v>312</v>
      </c>
      <c r="G370" s="2183">
        <v>7.17E-2</v>
      </c>
      <c r="H370" s="164"/>
      <c r="I370" s="1359">
        <f t="shared" si="413"/>
        <v>0</v>
      </c>
      <c r="J370" s="562" t="str">
        <f t="shared" si="414"/>
        <v>0:0:00</v>
      </c>
      <c r="K370" s="563">
        <v>1000</v>
      </c>
      <c r="L370" s="2127">
        <f t="shared" si="415"/>
        <v>95.15</v>
      </c>
      <c r="M370" s="561">
        <f t="shared" si="416"/>
        <v>0</v>
      </c>
      <c r="N370" s="564">
        <v>1</v>
      </c>
      <c r="O370" s="561">
        <f t="shared" si="417"/>
        <v>0</v>
      </c>
      <c r="P370" s="561">
        <f t="shared" si="418"/>
        <v>0</v>
      </c>
      <c r="Q370" s="565">
        <f t="shared" si="419"/>
        <v>0</v>
      </c>
      <c r="R370" s="566">
        <f t="shared" si="420"/>
        <v>0</v>
      </c>
      <c r="S370" s="566">
        <f t="shared" si="421"/>
        <v>0</v>
      </c>
      <c r="T370" s="566">
        <f t="shared" si="422"/>
        <v>0</v>
      </c>
      <c r="U370" s="2028">
        <f t="shared" si="385"/>
        <v>0</v>
      </c>
      <c r="V370" s="1357"/>
      <c r="W370" s="1357"/>
      <c r="X370" s="1357"/>
      <c r="Y370" s="1357"/>
      <c r="AD370" s="2141">
        <f t="shared" si="424"/>
        <v>2.6</v>
      </c>
      <c r="AE370" s="2142" t="str">
        <f t="shared" si="386"/>
        <v/>
      </c>
      <c r="AG370" s="2118" t="s">
        <v>1816</v>
      </c>
    </row>
    <row r="371" spans="1:33" ht="25.5" hidden="1" outlineLevel="3" x14ac:dyDescent="0.2">
      <c r="A371" s="1360">
        <f t="shared" si="423"/>
        <v>820</v>
      </c>
      <c r="B371" s="582" t="s">
        <v>532</v>
      </c>
      <c r="C371" s="532" t="s">
        <v>1096</v>
      </c>
      <c r="D371" s="2124">
        <v>4</v>
      </c>
      <c r="E371" s="574" t="s">
        <v>502</v>
      </c>
      <c r="F371" s="2124" t="s">
        <v>312</v>
      </c>
      <c r="G371" s="2183">
        <v>9.3299999999999994E-2</v>
      </c>
      <c r="H371" s="164"/>
      <c r="I371" s="1359">
        <f t="shared" si="413"/>
        <v>0</v>
      </c>
      <c r="J371" s="562" t="str">
        <f t="shared" si="414"/>
        <v>0:0:00</v>
      </c>
      <c r="K371" s="563">
        <v>1000</v>
      </c>
      <c r="L371" s="2127">
        <f t="shared" si="415"/>
        <v>95.15</v>
      </c>
      <c r="M371" s="561">
        <f t="shared" si="416"/>
        <v>0</v>
      </c>
      <c r="N371" s="564">
        <v>1</v>
      </c>
      <c r="O371" s="561">
        <f t="shared" si="417"/>
        <v>0</v>
      </c>
      <c r="P371" s="561">
        <f t="shared" si="418"/>
        <v>0</v>
      </c>
      <c r="Q371" s="565">
        <f t="shared" si="419"/>
        <v>0</v>
      </c>
      <c r="R371" s="566">
        <f t="shared" si="420"/>
        <v>0</v>
      </c>
      <c r="S371" s="566">
        <f t="shared" si="421"/>
        <v>0</v>
      </c>
      <c r="T371" s="566">
        <f t="shared" si="422"/>
        <v>0</v>
      </c>
      <c r="U371" s="2028">
        <f t="shared" si="385"/>
        <v>0</v>
      </c>
      <c r="V371" s="1357"/>
      <c r="W371" s="1357"/>
      <c r="X371" s="1357"/>
      <c r="Y371" s="1357"/>
      <c r="AD371" s="2141">
        <f t="shared" si="424"/>
        <v>2.6</v>
      </c>
      <c r="AE371" s="2142" t="str">
        <f t="shared" si="386"/>
        <v/>
      </c>
      <c r="AG371" s="2118" t="s">
        <v>1816</v>
      </c>
    </row>
    <row r="372" spans="1:33" ht="25.5" hidden="1" outlineLevel="3" x14ac:dyDescent="0.2">
      <c r="A372" s="1360">
        <f t="shared" si="423"/>
        <v>821</v>
      </c>
      <c r="B372" s="582" t="s">
        <v>533</v>
      </c>
      <c r="C372" s="532" t="s">
        <v>1096</v>
      </c>
      <c r="D372" s="2124">
        <v>4</v>
      </c>
      <c r="E372" s="574" t="s">
        <v>502</v>
      </c>
      <c r="F372" s="2124" t="s">
        <v>312</v>
      </c>
      <c r="G372" s="2183">
        <v>0.1183</v>
      </c>
      <c r="H372" s="164"/>
      <c r="I372" s="1359">
        <f t="shared" si="413"/>
        <v>0</v>
      </c>
      <c r="J372" s="562" t="str">
        <f t="shared" si="414"/>
        <v>0:0:00</v>
      </c>
      <c r="K372" s="563">
        <v>1000</v>
      </c>
      <c r="L372" s="2127">
        <f t="shared" si="415"/>
        <v>95.15</v>
      </c>
      <c r="M372" s="561">
        <f t="shared" si="416"/>
        <v>0</v>
      </c>
      <c r="N372" s="564">
        <v>1</v>
      </c>
      <c r="O372" s="561">
        <f t="shared" si="417"/>
        <v>0</v>
      </c>
      <c r="P372" s="561">
        <f t="shared" si="418"/>
        <v>0</v>
      </c>
      <c r="Q372" s="565">
        <f t="shared" si="419"/>
        <v>0</v>
      </c>
      <c r="R372" s="566">
        <f t="shared" si="420"/>
        <v>0</v>
      </c>
      <c r="S372" s="566">
        <f t="shared" si="421"/>
        <v>0</v>
      </c>
      <c r="T372" s="566">
        <f t="shared" si="422"/>
        <v>0</v>
      </c>
      <c r="U372" s="2028">
        <f t="shared" si="385"/>
        <v>0</v>
      </c>
      <c r="V372" s="1357"/>
      <c r="W372" s="1357"/>
      <c r="X372" s="1357"/>
      <c r="Y372" s="1357"/>
      <c r="AD372" s="2141">
        <f t="shared" si="424"/>
        <v>2.6</v>
      </c>
      <c r="AE372" s="2142" t="str">
        <f t="shared" si="386"/>
        <v/>
      </c>
      <c r="AG372" s="2118" t="s">
        <v>1816</v>
      </c>
    </row>
    <row r="373" spans="1:33" ht="14.25" hidden="1" outlineLevel="2" x14ac:dyDescent="0.2">
      <c r="A373" s="1360"/>
      <c r="B373" s="557" t="s">
        <v>1100</v>
      </c>
      <c r="C373" s="522"/>
      <c r="D373" s="2152"/>
      <c r="E373" s="523" t="s">
        <v>218</v>
      </c>
      <c r="F373" s="2164"/>
      <c r="G373" s="2181"/>
      <c r="H373" s="569">
        <f>SUM(H369:H372)</f>
        <v>0</v>
      </c>
      <c r="I373" s="2043">
        <f>SUM(I374:I380)</f>
        <v>0</v>
      </c>
      <c r="J373" s="524"/>
      <c r="K373" s="524"/>
      <c r="L373" s="526"/>
      <c r="M373" s="524"/>
      <c r="N373" s="524"/>
      <c r="O373" s="524"/>
      <c r="P373" s="524"/>
      <c r="Q373" s="527"/>
      <c r="R373" s="524"/>
      <c r="S373" s="524"/>
      <c r="T373" s="524"/>
      <c r="U373" s="2028">
        <f t="shared" si="385"/>
        <v>0</v>
      </c>
      <c r="V373" s="1357"/>
      <c r="W373" s="1357"/>
      <c r="X373" s="1357"/>
      <c r="Y373" s="1357"/>
      <c r="AD373" s="2141" t="str">
        <f t="shared" si="424"/>
        <v/>
      </c>
      <c r="AE373" s="2142" t="str">
        <f t="shared" si="386"/>
        <v/>
      </c>
      <c r="AG373" s="2118" t="s">
        <v>1816</v>
      </c>
    </row>
    <row r="374" spans="1:33" ht="25.5" hidden="1" outlineLevel="3" x14ac:dyDescent="0.2">
      <c r="A374" s="1360">
        <f>A372+1</f>
        <v>822</v>
      </c>
      <c r="B374" s="580" t="s">
        <v>571</v>
      </c>
      <c r="C374" s="532" t="s">
        <v>1096</v>
      </c>
      <c r="D374" s="2124">
        <v>4</v>
      </c>
      <c r="E374" s="574" t="s">
        <v>502</v>
      </c>
      <c r="F374" s="2124" t="s">
        <v>312</v>
      </c>
      <c r="G374" s="2183">
        <v>7.0000000000000007E-2</v>
      </c>
      <c r="H374" s="164"/>
      <c r="I374" s="1359">
        <f t="shared" si="413"/>
        <v>0</v>
      </c>
      <c r="J374" s="562" t="str">
        <f t="shared" ref="J374:J380" si="425">CONCATENATE(TRUNC(I374,0),":",INT((I374-(TRUNC(I374,0)))*60),":","00")</f>
        <v>0:0:00</v>
      </c>
      <c r="K374" s="563">
        <v>1000</v>
      </c>
      <c r="L374" s="2127">
        <f t="shared" ref="L374:L380" si="426">РезкаПодрезка</f>
        <v>95.15</v>
      </c>
      <c r="M374" s="561">
        <f t="shared" ref="M374:M380" si="427">I374*L374</f>
        <v>0</v>
      </c>
      <c r="N374" s="564">
        <v>1</v>
      </c>
      <c r="O374" s="561">
        <f t="shared" ref="O374:O378" si="428">M374*N374</f>
        <v>0</v>
      </c>
      <c r="P374" s="561">
        <f t="shared" ref="P374:P378" si="429">(M374+O374)*0.15</f>
        <v>0</v>
      </c>
      <c r="Q374" s="565">
        <f t="shared" ref="Q374:Q378" si="430">M374+O374+P374</f>
        <v>0</v>
      </c>
      <c r="R374" s="566">
        <f t="shared" ref="R374:R380" si="431">Q374*$R$1</f>
        <v>0</v>
      </c>
      <c r="S374" s="566">
        <f t="shared" ref="S374:S380" si="432">(Q374+R374)*$S$1</f>
        <v>0</v>
      </c>
      <c r="T374" s="566">
        <f>Q374+R374+S374</f>
        <v>0</v>
      </c>
      <c r="U374" s="2028">
        <f t="shared" si="385"/>
        <v>0</v>
      </c>
      <c r="V374" s="1357"/>
      <c r="W374" s="1357"/>
      <c r="X374" s="1357"/>
      <c r="Y374" s="1357"/>
      <c r="AD374" s="2141">
        <f t="shared" si="424"/>
        <v>2.6</v>
      </c>
      <c r="AE374" s="2142" t="str">
        <f t="shared" si="386"/>
        <v/>
      </c>
      <c r="AG374" s="2118" t="s">
        <v>1816</v>
      </c>
    </row>
    <row r="375" spans="1:33" ht="25.5" hidden="1" outlineLevel="3" x14ac:dyDescent="0.2">
      <c r="A375" s="1360">
        <f>A374+1</f>
        <v>823</v>
      </c>
      <c r="B375" s="581" t="s">
        <v>587</v>
      </c>
      <c r="C375" s="532" t="s">
        <v>1096</v>
      </c>
      <c r="D375" s="2124">
        <v>4</v>
      </c>
      <c r="E375" s="574" t="s">
        <v>502</v>
      </c>
      <c r="F375" s="2124" t="s">
        <v>312</v>
      </c>
      <c r="G375" s="2183">
        <v>1.83E-2</v>
      </c>
      <c r="H375" s="164">
        <f>SUM(H377:H380)*3</f>
        <v>0</v>
      </c>
      <c r="I375" s="1359">
        <f t="shared" si="413"/>
        <v>0</v>
      </c>
      <c r="J375" s="562" t="str">
        <f t="shared" si="425"/>
        <v>0:0:00</v>
      </c>
      <c r="K375" s="563">
        <v>1000</v>
      </c>
      <c r="L375" s="2127">
        <f t="shared" si="426"/>
        <v>95.15</v>
      </c>
      <c r="M375" s="561">
        <f t="shared" si="427"/>
        <v>0</v>
      </c>
      <c r="N375" s="564">
        <v>1</v>
      </c>
      <c r="O375" s="561">
        <f t="shared" si="428"/>
        <v>0</v>
      </c>
      <c r="P375" s="561">
        <f t="shared" si="429"/>
        <v>0</v>
      </c>
      <c r="Q375" s="565">
        <f t="shared" si="430"/>
        <v>0</v>
      </c>
      <c r="R375" s="566">
        <f t="shared" si="431"/>
        <v>0</v>
      </c>
      <c r="S375" s="566">
        <f t="shared" si="432"/>
        <v>0</v>
      </c>
      <c r="T375" s="566">
        <f t="shared" ref="T375:T380" si="433">Q375+R375+S375</f>
        <v>0</v>
      </c>
      <c r="U375" s="2028">
        <f t="shared" si="385"/>
        <v>0</v>
      </c>
      <c r="V375" s="1357"/>
      <c r="W375" s="1357"/>
      <c r="X375" s="1357"/>
      <c r="Y375" s="1357"/>
      <c r="AD375" s="2141">
        <f t="shared" si="424"/>
        <v>2.6</v>
      </c>
      <c r="AE375" s="2142" t="str">
        <f t="shared" si="386"/>
        <v/>
      </c>
      <c r="AG375" s="2118" t="s">
        <v>1816</v>
      </c>
    </row>
    <row r="376" spans="1:33" ht="25.5" hidden="1" outlineLevel="3" x14ac:dyDescent="0.2">
      <c r="A376" s="1360">
        <f t="shared" ref="A376:A380" si="434">A375+1</f>
        <v>824</v>
      </c>
      <c r="B376" s="580" t="s">
        <v>542</v>
      </c>
      <c r="C376" s="532" t="s">
        <v>1096</v>
      </c>
      <c r="D376" s="2124">
        <v>4</v>
      </c>
      <c r="E376" s="574" t="s">
        <v>502</v>
      </c>
      <c r="F376" s="2124" t="s">
        <v>312</v>
      </c>
      <c r="G376" s="2183">
        <v>4.1599999999999998E-2</v>
      </c>
      <c r="H376" s="164"/>
      <c r="I376" s="1359">
        <f t="shared" si="413"/>
        <v>0</v>
      </c>
      <c r="J376" s="562" t="str">
        <f t="shared" si="425"/>
        <v>0:0:00</v>
      </c>
      <c r="K376" s="563">
        <v>1000</v>
      </c>
      <c r="L376" s="2127">
        <f t="shared" si="426"/>
        <v>95.15</v>
      </c>
      <c r="M376" s="561">
        <f t="shared" si="427"/>
        <v>0</v>
      </c>
      <c r="N376" s="564">
        <v>1</v>
      </c>
      <c r="O376" s="561">
        <f t="shared" si="428"/>
        <v>0</v>
      </c>
      <c r="P376" s="561">
        <f t="shared" si="429"/>
        <v>0</v>
      </c>
      <c r="Q376" s="565">
        <f t="shared" si="430"/>
        <v>0</v>
      </c>
      <c r="R376" s="566">
        <f t="shared" si="431"/>
        <v>0</v>
      </c>
      <c r="S376" s="566">
        <f t="shared" si="432"/>
        <v>0</v>
      </c>
      <c r="T376" s="566">
        <f t="shared" si="433"/>
        <v>0</v>
      </c>
      <c r="U376" s="2028">
        <f t="shared" si="385"/>
        <v>0</v>
      </c>
      <c r="V376" s="1357"/>
      <c r="W376" s="1357"/>
      <c r="X376" s="1357"/>
      <c r="Y376" s="1357"/>
      <c r="AD376" s="2141">
        <f t="shared" si="424"/>
        <v>2.6</v>
      </c>
      <c r="AE376" s="2142" t="str">
        <f t="shared" si="386"/>
        <v/>
      </c>
      <c r="AG376" s="2118" t="s">
        <v>1816</v>
      </c>
    </row>
    <row r="377" spans="1:33" ht="25.5" hidden="1" outlineLevel="3" x14ac:dyDescent="0.2">
      <c r="A377" s="1360">
        <f t="shared" si="434"/>
        <v>825</v>
      </c>
      <c r="B377" s="582" t="s">
        <v>543</v>
      </c>
      <c r="C377" s="532" t="s">
        <v>1096</v>
      </c>
      <c r="D377" s="2124">
        <v>4</v>
      </c>
      <c r="E377" s="574" t="s">
        <v>502</v>
      </c>
      <c r="F377" s="2124" t="s">
        <v>312</v>
      </c>
      <c r="G377" s="2183">
        <v>0.06</v>
      </c>
      <c r="H377" s="164"/>
      <c r="I377" s="1359">
        <f t="shared" si="413"/>
        <v>0</v>
      </c>
      <c r="J377" s="562" t="str">
        <f t="shared" si="425"/>
        <v>0:0:00</v>
      </c>
      <c r="K377" s="563">
        <v>1000</v>
      </c>
      <c r="L377" s="2127">
        <f t="shared" si="426"/>
        <v>95.15</v>
      </c>
      <c r="M377" s="561">
        <f t="shared" si="427"/>
        <v>0</v>
      </c>
      <c r="N377" s="564">
        <v>1</v>
      </c>
      <c r="O377" s="561">
        <f t="shared" si="428"/>
        <v>0</v>
      </c>
      <c r="P377" s="561">
        <f t="shared" si="429"/>
        <v>0</v>
      </c>
      <c r="Q377" s="565">
        <f t="shared" si="430"/>
        <v>0</v>
      </c>
      <c r="R377" s="566">
        <f t="shared" si="431"/>
        <v>0</v>
      </c>
      <c r="S377" s="566">
        <f t="shared" si="432"/>
        <v>0</v>
      </c>
      <c r="T377" s="566">
        <f t="shared" si="433"/>
        <v>0</v>
      </c>
      <c r="U377" s="2028">
        <f t="shared" si="385"/>
        <v>0</v>
      </c>
      <c r="V377" s="1357"/>
      <c r="W377" s="1357"/>
      <c r="X377" s="1357"/>
      <c r="Y377" s="1357"/>
      <c r="AD377" s="2141">
        <f t="shared" si="424"/>
        <v>2.6</v>
      </c>
      <c r="AE377" s="2142" t="str">
        <f t="shared" si="386"/>
        <v/>
      </c>
      <c r="AG377" s="2118" t="s">
        <v>1816</v>
      </c>
    </row>
    <row r="378" spans="1:33" ht="25.5" hidden="1" outlineLevel="3" x14ac:dyDescent="0.2">
      <c r="A378" s="1360">
        <f t="shared" si="434"/>
        <v>826</v>
      </c>
      <c r="B378" s="582" t="s">
        <v>544</v>
      </c>
      <c r="C378" s="532" t="s">
        <v>1096</v>
      </c>
      <c r="D378" s="2124">
        <v>4</v>
      </c>
      <c r="E378" s="574" t="s">
        <v>502</v>
      </c>
      <c r="F378" s="2124" t="s">
        <v>312</v>
      </c>
      <c r="G378" s="2183">
        <v>0.1067</v>
      </c>
      <c r="H378" s="164"/>
      <c r="I378" s="1359">
        <f t="shared" si="413"/>
        <v>0</v>
      </c>
      <c r="J378" s="562" t="str">
        <f t="shared" si="425"/>
        <v>0:0:00</v>
      </c>
      <c r="K378" s="563">
        <v>1000</v>
      </c>
      <c r="L378" s="2127">
        <f t="shared" si="426"/>
        <v>95.15</v>
      </c>
      <c r="M378" s="561">
        <f t="shared" si="427"/>
        <v>0</v>
      </c>
      <c r="N378" s="564">
        <v>1</v>
      </c>
      <c r="O378" s="561">
        <f t="shared" si="428"/>
        <v>0</v>
      </c>
      <c r="P378" s="561">
        <f t="shared" si="429"/>
        <v>0</v>
      </c>
      <c r="Q378" s="565">
        <f t="shared" si="430"/>
        <v>0</v>
      </c>
      <c r="R378" s="566">
        <f t="shared" si="431"/>
        <v>0</v>
      </c>
      <c r="S378" s="566">
        <f t="shared" si="432"/>
        <v>0</v>
      </c>
      <c r="T378" s="566">
        <f t="shared" si="433"/>
        <v>0</v>
      </c>
      <c r="U378" s="2028">
        <f t="shared" si="385"/>
        <v>0</v>
      </c>
      <c r="V378" s="1357"/>
      <c r="W378" s="1357"/>
      <c r="X378" s="1357"/>
      <c r="Y378" s="1357"/>
      <c r="AD378" s="2141">
        <f t="shared" si="424"/>
        <v>2.6</v>
      </c>
      <c r="AE378" s="2142" t="str">
        <f t="shared" si="386"/>
        <v/>
      </c>
      <c r="AG378" s="2118" t="s">
        <v>1816</v>
      </c>
    </row>
    <row r="379" spans="1:33" ht="25.5" hidden="1" outlineLevel="3" x14ac:dyDescent="0.2">
      <c r="A379" s="1360">
        <f t="shared" si="434"/>
        <v>827</v>
      </c>
      <c r="B379" s="582" t="s">
        <v>545</v>
      </c>
      <c r="C379" s="532" t="s">
        <v>1096</v>
      </c>
      <c r="D379" s="2124">
        <v>4</v>
      </c>
      <c r="E379" s="574" t="s">
        <v>502</v>
      </c>
      <c r="F379" s="2124" t="s">
        <v>312</v>
      </c>
      <c r="G379" s="2183">
        <v>0.14000000000000001</v>
      </c>
      <c r="H379" s="164"/>
      <c r="I379" s="1359">
        <f t="shared" si="413"/>
        <v>0</v>
      </c>
      <c r="J379" s="562" t="str">
        <f t="shared" si="425"/>
        <v>0:0:00</v>
      </c>
      <c r="K379" s="563">
        <v>1000</v>
      </c>
      <c r="L379" s="2127">
        <f t="shared" si="426"/>
        <v>95.15</v>
      </c>
      <c r="M379" s="561">
        <f t="shared" si="427"/>
        <v>0</v>
      </c>
      <c r="N379" s="564">
        <v>1</v>
      </c>
      <c r="O379" s="561">
        <f>M379*N379</f>
        <v>0</v>
      </c>
      <c r="P379" s="561">
        <f>(M379+O379)*0.15</f>
        <v>0</v>
      </c>
      <c r="Q379" s="565">
        <f>M379+O379+P379</f>
        <v>0</v>
      </c>
      <c r="R379" s="566">
        <f t="shared" si="431"/>
        <v>0</v>
      </c>
      <c r="S379" s="566">
        <f t="shared" si="432"/>
        <v>0</v>
      </c>
      <c r="T379" s="566">
        <f t="shared" si="433"/>
        <v>0</v>
      </c>
      <c r="U379" s="2028">
        <f t="shared" si="385"/>
        <v>0</v>
      </c>
      <c r="V379" s="1357"/>
      <c r="W379" s="1357"/>
      <c r="X379" s="1357"/>
      <c r="Y379" s="1357"/>
      <c r="AD379" s="2141">
        <f t="shared" si="424"/>
        <v>2.6</v>
      </c>
      <c r="AE379" s="2142" t="str">
        <f t="shared" si="386"/>
        <v/>
      </c>
      <c r="AG379" s="2118" t="s">
        <v>1816</v>
      </c>
    </row>
    <row r="380" spans="1:33" ht="25.5" hidden="1" outlineLevel="3" x14ac:dyDescent="0.2">
      <c r="A380" s="1360">
        <f t="shared" si="434"/>
        <v>828</v>
      </c>
      <c r="B380" s="582" t="s">
        <v>546</v>
      </c>
      <c r="C380" s="532" t="s">
        <v>1096</v>
      </c>
      <c r="D380" s="2124">
        <v>4</v>
      </c>
      <c r="E380" s="574" t="s">
        <v>502</v>
      </c>
      <c r="F380" s="2124" t="s">
        <v>312</v>
      </c>
      <c r="G380" s="2183">
        <v>0.17499999999999999</v>
      </c>
      <c r="H380" s="164"/>
      <c r="I380" s="1359">
        <f t="shared" si="413"/>
        <v>0</v>
      </c>
      <c r="J380" s="562" t="str">
        <f t="shared" si="425"/>
        <v>0:0:00</v>
      </c>
      <c r="K380" s="563">
        <v>1000</v>
      </c>
      <c r="L380" s="2127">
        <f t="shared" si="426"/>
        <v>95.15</v>
      </c>
      <c r="M380" s="561">
        <f t="shared" si="427"/>
        <v>0</v>
      </c>
      <c r="N380" s="564">
        <v>1</v>
      </c>
      <c r="O380" s="561">
        <f>M380*N380</f>
        <v>0</v>
      </c>
      <c r="P380" s="561">
        <f>(M380+O380)*0.15</f>
        <v>0</v>
      </c>
      <c r="Q380" s="565">
        <f>M380+O380+P380</f>
        <v>0</v>
      </c>
      <c r="R380" s="566">
        <f t="shared" si="431"/>
        <v>0</v>
      </c>
      <c r="S380" s="566">
        <f t="shared" si="432"/>
        <v>0</v>
      </c>
      <c r="T380" s="566">
        <f t="shared" si="433"/>
        <v>0</v>
      </c>
      <c r="U380" s="2028">
        <f t="shared" si="385"/>
        <v>0</v>
      </c>
      <c r="V380" s="1357"/>
      <c r="W380" s="1357"/>
      <c r="X380" s="1357"/>
      <c r="Y380" s="1357"/>
      <c r="AD380" s="2141">
        <f t="shared" si="424"/>
        <v>2.6</v>
      </c>
      <c r="AE380" s="2142" t="str">
        <f t="shared" si="386"/>
        <v/>
      </c>
      <c r="AG380" s="2118" t="s">
        <v>1816</v>
      </c>
    </row>
    <row r="381" spans="1:33" ht="14.25" hidden="1" outlineLevel="2" x14ac:dyDescent="0.2">
      <c r="A381" s="1360"/>
      <c r="B381" s="557" t="s">
        <v>1101</v>
      </c>
      <c r="C381" s="522"/>
      <c r="D381" s="2152"/>
      <c r="E381" s="523" t="s">
        <v>218</v>
      </c>
      <c r="F381" s="2164"/>
      <c r="G381" s="2181"/>
      <c r="H381" s="569">
        <f>SUM(H377:H380)</f>
        <v>0</v>
      </c>
      <c r="I381" s="2043">
        <f>SUM(I382:I388)</f>
        <v>0</v>
      </c>
      <c r="J381" s="524"/>
      <c r="K381" s="524"/>
      <c r="L381" s="526"/>
      <c r="M381" s="524"/>
      <c r="N381" s="524"/>
      <c r="O381" s="524"/>
      <c r="P381" s="524"/>
      <c r="Q381" s="527"/>
      <c r="R381" s="524"/>
      <c r="S381" s="524"/>
      <c r="T381" s="524"/>
      <c r="U381" s="2028">
        <f t="shared" si="385"/>
        <v>0</v>
      </c>
      <c r="V381" s="1357"/>
      <c r="W381" s="1357"/>
      <c r="X381" s="1357"/>
      <c r="Y381" s="1357"/>
      <c r="AD381" s="2141" t="str">
        <f t="shared" si="424"/>
        <v/>
      </c>
      <c r="AE381" s="2142" t="str">
        <f t="shared" si="386"/>
        <v/>
      </c>
      <c r="AG381" s="2118" t="s">
        <v>1816</v>
      </c>
    </row>
    <row r="382" spans="1:33" ht="25.5" hidden="1" outlineLevel="3" x14ac:dyDescent="0.2">
      <c r="A382" s="1360">
        <f>A380+1</f>
        <v>829</v>
      </c>
      <c r="B382" s="580" t="s">
        <v>572</v>
      </c>
      <c r="C382" s="532" t="s">
        <v>1096</v>
      </c>
      <c r="D382" s="2124">
        <v>4</v>
      </c>
      <c r="E382" s="574" t="s">
        <v>502</v>
      </c>
      <c r="F382" s="2124" t="s">
        <v>312</v>
      </c>
      <c r="G382" s="2183">
        <v>9.0999999999999998E-2</v>
      </c>
      <c r="H382" s="164"/>
      <c r="I382" s="1359">
        <f t="shared" si="413"/>
        <v>0</v>
      </c>
      <c r="J382" s="562" t="str">
        <f t="shared" ref="J382:J388" si="435">CONCATENATE(TRUNC(I382,0),":",INT((I382-(TRUNC(I382,0)))*60),":","00")</f>
        <v>0:0:00</v>
      </c>
      <c r="K382" s="563">
        <v>1000</v>
      </c>
      <c r="L382" s="2127">
        <f t="shared" ref="L382:L388" si="436">РезкаПодрезка</f>
        <v>95.15</v>
      </c>
      <c r="M382" s="561">
        <f t="shared" ref="M382:M384" si="437">I382*L382</f>
        <v>0</v>
      </c>
      <c r="N382" s="564">
        <v>1</v>
      </c>
      <c r="O382" s="561">
        <f t="shared" ref="O382:O386" si="438">M382*N382</f>
        <v>0</v>
      </c>
      <c r="P382" s="561">
        <f t="shared" ref="P382:P386" si="439">(M382+O382)*0.15</f>
        <v>0</v>
      </c>
      <c r="Q382" s="565">
        <f t="shared" ref="Q382:Q386" si="440">M382+O382+P382</f>
        <v>0</v>
      </c>
      <c r="R382" s="566">
        <f t="shared" ref="R382:R388" si="441">Q382*$R$1</f>
        <v>0</v>
      </c>
      <c r="S382" s="566">
        <f t="shared" ref="S382:S388" si="442">(Q382+R382)*$S$1</f>
        <v>0</v>
      </c>
      <c r="T382" s="566">
        <f>Q382+R382+S382</f>
        <v>0</v>
      </c>
      <c r="U382" s="2028">
        <f t="shared" si="385"/>
        <v>0</v>
      </c>
      <c r="V382" s="1357"/>
      <c r="W382" s="1357"/>
      <c r="X382" s="1357"/>
      <c r="Y382" s="1357"/>
      <c r="AD382" s="2141">
        <f t="shared" si="424"/>
        <v>2.6</v>
      </c>
      <c r="AE382" s="2142" t="str">
        <f t="shared" si="386"/>
        <v/>
      </c>
      <c r="AG382" s="2118" t="s">
        <v>1816</v>
      </c>
    </row>
    <row r="383" spans="1:33" ht="25.5" hidden="1" outlineLevel="3" x14ac:dyDescent="0.2">
      <c r="A383" s="1360">
        <f>A382+1</f>
        <v>830</v>
      </c>
      <c r="B383" s="581" t="s">
        <v>585</v>
      </c>
      <c r="C383" s="532" t="s">
        <v>1096</v>
      </c>
      <c r="D383" s="2124">
        <v>4</v>
      </c>
      <c r="E383" s="574" t="s">
        <v>502</v>
      </c>
      <c r="F383" s="2124" t="s">
        <v>312</v>
      </c>
      <c r="G383" s="2183">
        <v>2.3800000000000002E-2</v>
      </c>
      <c r="H383" s="164">
        <f>SUM(H385:H388)*3</f>
        <v>0</v>
      </c>
      <c r="I383" s="1359">
        <f t="shared" si="413"/>
        <v>0</v>
      </c>
      <c r="J383" s="562" t="str">
        <f t="shared" si="435"/>
        <v>0:0:00</v>
      </c>
      <c r="K383" s="563">
        <v>1000</v>
      </c>
      <c r="L383" s="2127">
        <f t="shared" si="436"/>
        <v>95.15</v>
      </c>
      <c r="M383" s="561">
        <f t="shared" si="437"/>
        <v>0</v>
      </c>
      <c r="N383" s="564">
        <v>1</v>
      </c>
      <c r="O383" s="561">
        <f t="shared" si="438"/>
        <v>0</v>
      </c>
      <c r="P383" s="561">
        <f t="shared" si="439"/>
        <v>0</v>
      </c>
      <c r="Q383" s="565">
        <f t="shared" si="440"/>
        <v>0</v>
      </c>
      <c r="R383" s="566">
        <f t="shared" si="441"/>
        <v>0</v>
      </c>
      <c r="S383" s="566">
        <f t="shared" si="442"/>
        <v>0</v>
      </c>
      <c r="T383" s="566">
        <f t="shared" ref="T383:T388" si="443">Q383+R383+S383</f>
        <v>0</v>
      </c>
      <c r="U383" s="2028">
        <f t="shared" si="385"/>
        <v>0</v>
      </c>
      <c r="V383" s="1357"/>
      <c r="W383" s="1357"/>
      <c r="X383" s="1357"/>
      <c r="Y383" s="1357"/>
      <c r="AD383" s="2141">
        <f t="shared" si="424"/>
        <v>2.6</v>
      </c>
      <c r="AE383" s="2142" t="str">
        <f t="shared" si="386"/>
        <v/>
      </c>
      <c r="AG383" s="2118" t="s">
        <v>1816</v>
      </c>
    </row>
    <row r="384" spans="1:33" ht="25.5" hidden="1" outlineLevel="3" x14ac:dyDescent="0.2">
      <c r="A384" s="1360">
        <f t="shared" ref="A384:A388" si="444">A383+1</f>
        <v>831</v>
      </c>
      <c r="B384" s="580" t="s">
        <v>555</v>
      </c>
      <c r="C384" s="532" t="s">
        <v>1096</v>
      </c>
      <c r="D384" s="2124">
        <v>4</v>
      </c>
      <c r="E384" s="574" t="s">
        <v>502</v>
      </c>
      <c r="F384" s="2124" t="s">
        <v>312</v>
      </c>
      <c r="G384" s="2183">
        <v>5.4100000000000002E-2</v>
      </c>
      <c r="H384" s="164"/>
      <c r="I384" s="1359">
        <f t="shared" si="413"/>
        <v>0</v>
      </c>
      <c r="J384" s="562" t="str">
        <f t="shared" si="435"/>
        <v>0:0:00</v>
      </c>
      <c r="K384" s="563">
        <v>1000</v>
      </c>
      <c r="L384" s="2127">
        <f t="shared" si="436"/>
        <v>95.15</v>
      </c>
      <c r="M384" s="561">
        <f t="shared" si="437"/>
        <v>0</v>
      </c>
      <c r="N384" s="564">
        <v>1</v>
      </c>
      <c r="O384" s="561">
        <f t="shared" si="438"/>
        <v>0</v>
      </c>
      <c r="P384" s="561">
        <f t="shared" si="439"/>
        <v>0</v>
      </c>
      <c r="Q384" s="565">
        <f t="shared" si="440"/>
        <v>0</v>
      </c>
      <c r="R384" s="566">
        <f t="shared" si="441"/>
        <v>0</v>
      </c>
      <c r="S384" s="566">
        <f t="shared" si="442"/>
        <v>0</v>
      </c>
      <c r="T384" s="566">
        <f t="shared" si="443"/>
        <v>0</v>
      </c>
      <c r="U384" s="2028">
        <f t="shared" si="385"/>
        <v>0</v>
      </c>
      <c r="V384" s="1357"/>
      <c r="W384" s="1357"/>
      <c r="X384" s="1357"/>
      <c r="Y384" s="1357"/>
      <c r="AD384" s="2141">
        <f t="shared" si="424"/>
        <v>2.6</v>
      </c>
      <c r="AE384" s="2142" t="str">
        <f t="shared" si="386"/>
        <v/>
      </c>
      <c r="AG384" s="2118" t="s">
        <v>1816</v>
      </c>
    </row>
    <row r="385" spans="1:33" ht="25.5" hidden="1" outlineLevel="3" x14ac:dyDescent="0.2">
      <c r="A385" s="1360">
        <f t="shared" si="444"/>
        <v>832</v>
      </c>
      <c r="B385" s="582" t="s">
        <v>556</v>
      </c>
      <c r="C385" s="532" t="s">
        <v>1096</v>
      </c>
      <c r="D385" s="2124">
        <v>4</v>
      </c>
      <c r="E385" s="574" t="s">
        <v>502</v>
      </c>
      <c r="F385" s="2124" t="s">
        <v>312</v>
      </c>
      <c r="G385" s="2183">
        <v>7.8E-2</v>
      </c>
      <c r="H385" s="164"/>
      <c r="I385" s="1359">
        <f t="shared" si="413"/>
        <v>0</v>
      </c>
      <c r="J385" s="562" t="str">
        <f t="shared" si="435"/>
        <v>0:0:00</v>
      </c>
      <c r="K385" s="563">
        <v>1000</v>
      </c>
      <c r="L385" s="2127">
        <f t="shared" si="436"/>
        <v>95.15</v>
      </c>
      <c r="M385" s="561">
        <f>I385*L385</f>
        <v>0</v>
      </c>
      <c r="N385" s="564">
        <v>1</v>
      </c>
      <c r="O385" s="561">
        <f t="shared" si="438"/>
        <v>0</v>
      </c>
      <c r="P385" s="561">
        <f t="shared" si="439"/>
        <v>0</v>
      </c>
      <c r="Q385" s="565">
        <f t="shared" si="440"/>
        <v>0</v>
      </c>
      <c r="R385" s="566">
        <f t="shared" si="441"/>
        <v>0</v>
      </c>
      <c r="S385" s="566">
        <f t="shared" si="442"/>
        <v>0</v>
      </c>
      <c r="T385" s="566">
        <f t="shared" si="443"/>
        <v>0</v>
      </c>
      <c r="U385" s="2028">
        <f t="shared" si="385"/>
        <v>0</v>
      </c>
      <c r="V385" s="1357"/>
      <c r="W385" s="1357"/>
      <c r="X385" s="1357"/>
      <c r="Y385" s="1357"/>
      <c r="AD385" s="2141">
        <f t="shared" si="424"/>
        <v>2.6</v>
      </c>
      <c r="AE385" s="2142" t="str">
        <f t="shared" si="386"/>
        <v/>
      </c>
      <c r="AG385" s="2118" t="s">
        <v>1816</v>
      </c>
    </row>
    <row r="386" spans="1:33" ht="25.5" hidden="1" outlineLevel="3" x14ac:dyDescent="0.2">
      <c r="A386" s="1360">
        <f t="shared" si="444"/>
        <v>833</v>
      </c>
      <c r="B386" s="582" t="s">
        <v>557</v>
      </c>
      <c r="C386" s="532" t="s">
        <v>1096</v>
      </c>
      <c r="D386" s="2124">
        <v>4</v>
      </c>
      <c r="E386" s="574" t="s">
        <v>502</v>
      </c>
      <c r="F386" s="2124" t="s">
        <v>312</v>
      </c>
      <c r="G386" s="2183">
        <v>0.13869999999999999</v>
      </c>
      <c r="H386" s="164"/>
      <c r="I386" s="1359">
        <f t="shared" si="413"/>
        <v>0</v>
      </c>
      <c r="J386" s="562" t="str">
        <f t="shared" si="435"/>
        <v>0:0:00</v>
      </c>
      <c r="K386" s="563">
        <v>1000</v>
      </c>
      <c r="L386" s="2127">
        <f t="shared" si="436"/>
        <v>95.15</v>
      </c>
      <c r="M386" s="561">
        <f t="shared" ref="M386:M388" si="445">I386*L386</f>
        <v>0</v>
      </c>
      <c r="N386" s="564">
        <v>1</v>
      </c>
      <c r="O386" s="561">
        <f t="shared" si="438"/>
        <v>0</v>
      </c>
      <c r="P386" s="561">
        <f t="shared" si="439"/>
        <v>0</v>
      </c>
      <c r="Q386" s="565">
        <f t="shared" si="440"/>
        <v>0</v>
      </c>
      <c r="R386" s="566">
        <f t="shared" si="441"/>
        <v>0</v>
      </c>
      <c r="S386" s="566">
        <f t="shared" si="442"/>
        <v>0</v>
      </c>
      <c r="T386" s="566">
        <f t="shared" si="443"/>
        <v>0</v>
      </c>
      <c r="U386" s="2028">
        <f t="shared" si="385"/>
        <v>0</v>
      </c>
      <c r="V386" s="1357"/>
      <c r="W386" s="1357"/>
      <c r="X386" s="1357"/>
      <c r="Y386" s="1357"/>
      <c r="AD386" s="2141">
        <f t="shared" si="424"/>
        <v>2.6</v>
      </c>
      <c r="AE386" s="2142" t="str">
        <f t="shared" si="386"/>
        <v/>
      </c>
      <c r="AG386" s="2118" t="s">
        <v>1816</v>
      </c>
    </row>
    <row r="387" spans="1:33" ht="25.5" hidden="1" outlineLevel="3" x14ac:dyDescent="0.2">
      <c r="A387" s="1360">
        <f t="shared" si="444"/>
        <v>834</v>
      </c>
      <c r="B387" s="582" t="s">
        <v>558</v>
      </c>
      <c r="C387" s="532" t="s">
        <v>1096</v>
      </c>
      <c r="D387" s="2124">
        <v>4</v>
      </c>
      <c r="E387" s="574" t="s">
        <v>502</v>
      </c>
      <c r="F387" s="2124" t="s">
        <v>312</v>
      </c>
      <c r="G387" s="2183">
        <v>0.182</v>
      </c>
      <c r="H387" s="164"/>
      <c r="I387" s="1359">
        <f t="shared" si="413"/>
        <v>0</v>
      </c>
      <c r="J387" s="562" t="str">
        <f t="shared" si="435"/>
        <v>0:0:00</v>
      </c>
      <c r="K387" s="563">
        <v>1000</v>
      </c>
      <c r="L387" s="2127">
        <f t="shared" si="436"/>
        <v>95.15</v>
      </c>
      <c r="M387" s="561">
        <f t="shared" si="445"/>
        <v>0</v>
      </c>
      <c r="N387" s="564">
        <v>1</v>
      </c>
      <c r="O387" s="561">
        <f>M387*N387</f>
        <v>0</v>
      </c>
      <c r="P387" s="561">
        <f>(M387+O387)*0.15</f>
        <v>0</v>
      </c>
      <c r="Q387" s="565">
        <f>M387+O387+P387</f>
        <v>0</v>
      </c>
      <c r="R387" s="566">
        <f t="shared" si="441"/>
        <v>0</v>
      </c>
      <c r="S387" s="566">
        <f t="shared" si="442"/>
        <v>0</v>
      </c>
      <c r="T387" s="566">
        <f t="shared" si="443"/>
        <v>0</v>
      </c>
      <c r="U387" s="2028">
        <f t="shared" si="385"/>
        <v>0</v>
      </c>
      <c r="V387" s="1357"/>
      <c r="W387" s="1357"/>
      <c r="X387" s="1357"/>
      <c r="Y387" s="1357"/>
      <c r="AD387" s="2141">
        <f t="shared" si="424"/>
        <v>2.6</v>
      </c>
      <c r="AE387" s="2142" t="str">
        <f t="shared" si="386"/>
        <v/>
      </c>
      <c r="AG387" s="2118" t="s">
        <v>1816</v>
      </c>
    </row>
    <row r="388" spans="1:33" ht="25.5" hidden="1" outlineLevel="3" x14ac:dyDescent="0.2">
      <c r="A388" s="1360">
        <f t="shared" si="444"/>
        <v>835</v>
      </c>
      <c r="B388" s="582" t="s">
        <v>559</v>
      </c>
      <c r="C388" s="532" t="s">
        <v>1096</v>
      </c>
      <c r="D388" s="2124">
        <v>4</v>
      </c>
      <c r="E388" s="574" t="s">
        <v>502</v>
      </c>
      <c r="F388" s="2124" t="s">
        <v>312</v>
      </c>
      <c r="G388" s="2183">
        <v>0.22750000000000001</v>
      </c>
      <c r="H388" s="164"/>
      <c r="I388" s="1359">
        <f>IF(H388&gt;0,IF((G388*H388/K388)&lt;0.084,0.084,(G388*H388/K388)),0)</f>
        <v>0</v>
      </c>
      <c r="J388" s="562" t="str">
        <f t="shared" si="435"/>
        <v>0:0:00</v>
      </c>
      <c r="K388" s="563">
        <v>1000</v>
      </c>
      <c r="L388" s="2127">
        <f t="shared" si="436"/>
        <v>95.15</v>
      </c>
      <c r="M388" s="561">
        <f t="shared" si="445"/>
        <v>0</v>
      </c>
      <c r="N388" s="564">
        <v>1</v>
      </c>
      <c r="O388" s="561">
        <f>M388*N388</f>
        <v>0</v>
      </c>
      <c r="P388" s="561">
        <f>(M388+O388)*0.15</f>
        <v>0</v>
      </c>
      <c r="Q388" s="565">
        <f>M388+O388+P388</f>
        <v>0</v>
      </c>
      <c r="R388" s="566">
        <f t="shared" si="441"/>
        <v>0</v>
      </c>
      <c r="S388" s="566">
        <f t="shared" si="442"/>
        <v>0</v>
      </c>
      <c r="T388" s="566">
        <f t="shared" si="443"/>
        <v>0</v>
      </c>
      <c r="U388" s="2028">
        <f t="shared" si="385"/>
        <v>0</v>
      </c>
      <c r="V388" s="1357"/>
      <c r="W388" s="1357"/>
      <c r="X388" s="1357"/>
      <c r="Y388" s="1357"/>
      <c r="AD388" s="2141">
        <f t="shared" si="424"/>
        <v>2.6</v>
      </c>
      <c r="AE388" s="2142" t="str">
        <f t="shared" si="386"/>
        <v/>
      </c>
      <c r="AG388" s="2118" t="s">
        <v>1816</v>
      </c>
    </row>
    <row r="389" spans="1:33" ht="14.25" hidden="1" outlineLevel="2" x14ac:dyDescent="0.2">
      <c r="A389" s="1360"/>
      <c r="B389" s="557" t="s">
        <v>1102</v>
      </c>
      <c r="C389" s="522"/>
      <c r="D389" s="2152"/>
      <c r="E389" s="523" t="s">
        <v>218</v>
      </c>
      <c r="F389" s="2164"/>
      <c r="G389" s="2181"/>
      <c r="H389" s="569">
        <f>SUM(H385:H388)</f>
        <v>0</v>
      </c>
      <c r="I389" s="2043">
        <f>SUM(I390)</f>
        <v>0</v>
      </c>
      <c r="J389" s="524"/>
      <c r="K389" s="524"/>
      <c r="L389" s="526"/>
      <c r="M389" s="524"/>
      <c r="N389" s="524"/>
      <c r="O389" s="524"/>
      <c r="P389" s="524"/>
      <c r="Q389" s="527"/>
      <c r="R389" s="524"/>
      <c r="S389" s="524"/>
      <c r="T389" s="524"/>
      <c r="U389" s="2028">
        <f t="shared" si="385"/>
        <v>0</v>
      </c>
      <c r="V389" s="1357"/>
      <c r="W389" s="1357"/>
      <c r="X389" s="1357"/>
      <c r="Y389" s="1357"/>
      <c r="AD389" s="2141" t="str">
        <f t="shared" si="424"/>
        <v/>
      </c>
      <c r="AE389" s="2142" t="str">
        <f t="shared" si="386"/>
        <v/>
      </c>
      <c r="AG389" s="2118" t="s">
        <v>1816</v>
      </c>
    </row>
    <row r="390" spans="1:33" ht="25.5" hidden="1" outlineLevel="3" x14ac:dyDescent="0.2">
      <c r="A390" s="1360">
        <f>A388+1</f>
        <v>836</v>
      </c>
      <c r="B390" s="583" t="s">
        <v>1777</v>
      </c>
      <c r="C390" s="532" t="s">
        <v>1097</v>
      </c>
      <c r="D390" s="2124">
        <v>2</v>
      </c>
      <c r="E390" s="574" t="s">
        <v>502</v>
      </c>
      <c r="F390" s="2124" t="s">
        <v>312</v>
      </c>
      <c r="G390" s="2183">
        <v>3.5999999999999997E-2</v>
      </c>
      <c r="H390" s="164">
        <f>H389+H381+H373+H365+H357</f>
        <v>0</v>
      </c>
      <c r="I390" s="1359">
        <f>IF(H390&gt;0,IF((G390*H390/K390)&lt;0.084,0.084,(G390*H390/K390)),0)</f>
        <v>0</v>
      </c>
      <c r="J390" s="562" t="str">
        <f t="shared" ref="J390" si="446">CONCATENATE(TRUNC(I390,0),":",INT((I390-(TRUNC(I390,0)))*60),":","00")</f>
        <v>0:0:00</v>
      </c>
      <c r="K390" s="563">
        <v>1000</v>
      </c>
      <c r="L390" s="2127">
        <f>РезкаПодрезка</f>
        <v>95.15</v>
      </c>
      <c r="M390" s="561">
        <f>I390*L390</f>
        <v>0</v>
      </c>
      <c r="N390" s="564">
        <v>1</v>
      </c>
      <c r="O390" s="561">
        <f>M390*N390</f>
        <v>0</v>
      </c>
      <c r="P390" s="561">
        <f>(M390+O390)*0.15</f>
        <v>0</v>
      </c>
      <c r="Q390" s="565">
        <f>M390+O390+P390</f>
        <v>0</v>
      </c>
      <c r="R390" s="566">
        <f t="shared" ref="R390" si="447">Q390*$R$1</f>
        <v>0</v>
      </c>
      <c r="S390" s="566">
        <f t="shared" ref="S390" si="448">(Q390+R390)*$S$1</f>
        <v>0</v>
      </c>
      <c r="T390" s="566">
        <f>Q390+R390+S390</f>
        <v>0</v>
      </c>
      <c r="U390" s="2028">
        <f t="shared" si="385"/>
        <v>0</v>
      </c>
      <c r="V390" s="1357"/>
      <c r="W390" s="1357"/>
      <c r="X390" s="1357"/>
      <c r="Y390" s="1357"/>
      <c r="AD390" s="2141">
        <f t="shared" si="424"/>
        <v>1.5</v>
      </c>
      <c r="AE390" s="2142" t="str">
        <f t="shared" si="386"/>
        <v/>
      </c>
      <c r="AG390" s="2118" t="s">
        <v>1816</v>
      </c>
    </row>
    <row r="391" spans="1:33" ht="15" hidden="1" outlineLevel="1" x14ac:dyDescent="0.2">
      <c r="A391" s="1360"/>
      <c r="B391" s="1366" t="s">
        <v>467</v>
      </c>
      <c r="C391" s="522"/>
      <c r="D391" s="2152"/>
      <c r="E391" s="523" t="s">
        <v>218</v>
      </c>
      <c r="F391" s="2164"/>
      <c r="G391" s="2178"/>
      <c r="H391" s="1367"/>
      <c r="I391" s="2043">
        <f>SUM(I392:I393)</f>
        <v>0</v>
      </c>
      <c r="J391" s="524"/>
      <c r="K391" s="524"/>
      <c r="L391" s="526"/>
      <c r="M391" s="1368"/>
      <c r="N391" s="524"/>
      <c r="O391" s="1369"/>
      <c r="P391" s="1368"/>
      <c r="Q391" s="1370"/>
      <c r="R391" s="1368"/>
      <c r="S391" s="1371">
        <f>SUM(T392:T393)</f>
        <v>0</v>
      </c>
      <c r="T391" s="1370"/>
      <c r="U391" s="2028">
        <f t="shared" ref="U391:U645" si="449">IF(T391&gt;0,1,0)</f>
        <v>0</v>
      </c>
      <c r="V391" s="1357"/>
      <c r="W391" s="1357"/>
      <c r="X391" s="1357"/>
      <c r="Y391" s="1357"/>
      <c r="AD391" s="2141" t="str">
        <f t="shared" si="424"/>
        <v/>
      </c>
      <c r="AE391" s="2142" t="str">
        <f t="shared" si="386"/>
        <v/>
      </c>
      <c r="AG391" s="2118" t="s">
        <v>1816</v>
      </c>
    </row>
    <row r="392" spans="1:33" ht="14.25" hidden="1" outlineLevel="2" x14ac:dyDescent="0.2">
      <c r="A392" s="1360">
        <v>13</v>
      </c>
      <c r="B392" s="1372" t="s">
        <v>1495</v>
      </c>
      <c r="C392" s="1379" t="s">
        <v>185</v>
      </c>
      <c r="D392" s="1358">
        <v>3</v>
      </c>
      <c r="E392" s="499" t="s">
        <v>465</v>
      </c>
      <c r="F392" s="2024" t="s">
        <v>303</v>
      </c>
      <c r="G392" s="1355">
        <v>1.127</v>
      </c>
      <c r="H392" s="1373"/>
      <c r="I392" s="1359">
        <f>IF(G392=0,0,IF(H392&gt;0,IF((G392*H392/K392)&lt;0.084,0.084,(G392*H392/K392)),0))</f>
        <v>0</v>
      </c>
      <c r="J392" s="1374" t="str">
        <f>CONCATENATE(TRUNC(I392,0),":",INT((I392-(TRUNC(I392,0)))*60),":","00")</f>
        <v>0:0:00</v>
      </c>
      <c r="K392" s="500">
        <v>1000</v>
      </c>
      <c r="L392" s="2009">
        <v>85.57</v>
      </c>
      <c r="M392" s="1375">
        <f>H392*L392/K392</f>
        <v>0</v>
      </c>
      <c r="N392" s="1376">
        <v>1</v>
      </c>
      <c r="O392" s="1377">
        <f>M392*N392</f>
        <v>0</v>
      </c>
      <c r="P392" s="1375">
        <f>(M392+O392)*0.15</f>
        <v>0</v>
      </c>
      <c r="Q392" s="1378">
        <f>M392+O392+P392</f>
        <v>0</v>
      </c>
      <c r="R392" s="1375">
        <f>Q392*$R$1</f>
        <v>0</v>
      </c>
      <c r="S392" s="1375">
        <f>(Q392+R392)*$S$1</f>
        <v>0</v>
      </c>
      <c r="T392" s="1375">
        <f>Q392+R392+S392</f>
        <v>0</v>
      </c>
      <c r="U392" s="2028">
        <f t="shared" si="449"/>
        <v>0</v>
      </c>
      <c r="V392" s="1357"/>
      <c r="W392" s="1357"/>
      <c r="X392" s="1357"/>
      <c r="Y392" s="1357"/>
      <c r="AD392" s="2141">
        <f t="shared" si="424"/>
        <v>2.6</v>
      </c>
      <c r="AE392" s="2142" t="str">
        <f t="shared" si="386"/>
        <v/>
      </c>
      <c r="AG392" s="2118" t="s">
        <v>1816</v>
      </c>
    </row>
    <row r="393" spans="1:33" ht="14.25" hidden="1" outlineLevel="2" x14ac:dyDescent="0.2">
      <c r="A393" s="1360">
        <f>A392+1</f>
        <v>14</v>
      </c>
      <c r="B393" s="1372" t="s">
        <v>1496</v>
      </c>
      <c r="C393" s="1379" t="s">
        <v>185</v>
      </c>
      <c r="D393" s="1358">
        <v>3</v>
      </c>
      <c r="E393" s="499" t="s">
        <v>465</v>
      </c>
      <c r="F393" s="2024" t="s">
        <v>303</v>
      </c>
      <c r="G393" s="1355">
        <v>9.1999999999999998E-2</v>
      </c>
      <c r="H393" s="1373">
        <f>IF(H392&gt;0,1,0)</f>
        <v>0</v>
      </c>
      <c r="I393" s="1359">
        <f>IF(G393=0,0,IF(H393&gt;0,IF((G393*H393/K393)&lt;0.084,0.084,(G393*H393/K393)),0))</f>
        <v>0</v>
      </c>
      <c r="J393" s="1374" t="str">
        <f>CONCATENATE(TRUNC(I393,0),":",INT((I393-(TRUNC(I393,0)))*60),":","00")</f>
        <v>0:0:00</v>
      </c>
      <c r="K393" s="500">
        <v>1</v>
      </c>
      <c r="L393" s="2009">
        <v>6.98</v>
      </c>
      <c r="M393" s="1375">
        <f>H393*L393/K393</f>
        <v>0</v>
      </c>
      <c r="N393" s="1376">
        <v>1</v>
      </c>
      <c r="O393" s="1377">
        <f>M393*N393</f>
        <v>0</v>
      </c>
      <c r="P393" s="1375">
        <f>(M393+O393)*0.15</f>
        <v>0</v>
      </c>
      <c r="Q393" s="1378">
        <f>M393+O393+P393</f>
        <v>0</v>
      </c>
      <c r="R393" s="1375">
        <f>Q393*$R$1</f>
        <v>0</v>
      </c>
      <c r="S393" s="1375">
        <f>(Q393+R393)*$S$1</f>
        <v>0</v>
      </c>
      <c r="T393" s="1375">
        <f>Q393+R393+S393</f>
        <v>0</v>
      </c>
      <c r="U393" s="2028">
        <f t="shared" si="449"/>
        <v>0</v>
      </c>
      <c r="V393" s="1357"/>
      <c r="W393" s="1357"/>
      <c r="X393" s="1357"/>
      <c r="Y393" s="1357"/>
      <c r="AD393" s="2141">
        <f t="shared" si="424"/>
        <v>2.6</v>
      </c>
      <c r="AE393" s="2142" t="str">
        <f t="shared" si="386"/>
        <v/>
      </c>
      <c r="AG393" s="2118" t="s">
        <v>1816</v>
      </c>
    </row>
    <row r="394" spans="1:33" ht="15" hidden="1" outlineLevel="1" x14ac:dyDescent="0.2">
      <c r="A394" s="1360"/>
      <c r="B394" s="1366" t="s">
        <v>1780</v>
      </c>
      <c r="C394" s="522"/>
      <c r="D394" s="2152"/>
      <c r="E394" s="523" t="s">
        <v>218</v>
      </c>
      <c r="F394" s="2164"/>
      <c r="G394" s="2178"/>
      <c r="H394" s="1367"/>
      <c r="I394" s="2043">
        <f>SUM(I395:I396)</f>
        <v>0</v>
      </c>
      <c r="J394" s="524"/>
      <c r="K394" s="524"/>
      <c r="L394" s="526"/>
      <c r="M394" s="1368"/>
      <c r="N394" s="524"/>
      <c r="O394" s="1369"/>
      <c r="P394" s="1368"/>
      <c r="Q394" s="1370"/>
      <c r="R394" s="1368"/>
      <c r="S394" s="1371">
        <f>SUM(T395:T396)</f>
        <v>0</v>
      </c>
      <c r="T394" s="1370"/>
      <c r="U394" s="2028">
        <f t="shared" ref="U394:U396" si="450">IF(T394&gt;0,1,0)</f>
        <v>0</v>
      </c>
      <c r="V394" s="1357"/>
      <c r="W394" s="1357"/>
      <c r="X394" s="1357"/>
      <c r="Y394" s="1357"/>
      <c r="AD394" s="2141" t="str">
        <f t="shared" si="424"/>
        <v/>
      </c>
      <c r="AE394" s="2142" t="str">
        <f t="shared" si="386"/>
        <v/>
      </c>
      <c r="AG394" s="2118" t="s">
        <v>1816</v>
      </c>
    </row>
    <row r="395" spans="1:33" ht="14.25" hidden="1" outlineLevel="2" x14ac:dyDescent="0.2">
      <c r="A395" s="1360">
        <f>A393+1</f>
        <v>15</v>
      </c>
      <c r="B395" s="1372" t="s">
        <v>1781</v>
      </c>
      <c r="C395" s="1379" t="s">
        <v>1782</v>
      </c>
      <c r="D395" s="1358">
        <v>3</v>
      </c>
      <c r="E395" s="499" t="s">
        <v>465</v>
      </c>
      <c r="F395" s="2046" t="s">
        <v>303</v>
      </c>
      <c r="G395" s="1932">
        <v>0.61099999999999999</v>
      </c>
      <c r="H395" s="1373"/>
      <c r="I395" s="1359">
        <f>IF(G395=0,0,IF(H395&gt;0,IF((G395*H395/K395)&lt;0.084,0.084,(G395*H395/K395)),0))</f>
        <v>0</v>
      </c>
      <c r="J395" s="1374" t="str">
        <f>CONCATENATE(TRUNC(I395,0),":",INT((I395-(TRUNC(I395,0)))*60),":","00")</f>
        <v>0:0:00</v>
      </c>
      <c r="K395" s="500">
        <v>1000</v>
      </c>
      <c r="L395" s="2009">
        <v>46.37</v>
      </c>
      <c r="M395" s="1375">
        <f>H395*L395/K395</f>
        <v>0</v>
      </c>
      <c r="N395" s="1376">
        <v>1</v>
      </c>
      <c r="O395" s="1377">
        <f>M395*N395</f>
        <v>0</v>
      </c>
      <c r="P395" s="1375">
        <f>(M395+O395)*0.15</f>
        <v>0</v>
      </c>
      <c r="Q395" s="1378">
        <f>M395+O395+P395</f>
        <v>0</v>
      </c>
      <c r="R395" s="1375">
        <f>Q395*$R$1</f>
        <v>0</v>
      </c>
      <c r="S395" s="1375">
        <f>(Q395+R395)*$S$1</f>
        <v>0</v>
      </c>
      <c r="T395" s="1375">
        <f>Q395+R395+S395</f>
        <v>0</v>
      </c>
      <c r="U395" s="2028">
        <f t="shared" si="450"/>
        <v>0</v>
      </c>
      <c r="V395" s="1357"/>
      <c r="W395" s="1357"/>
      <c r="X395" s="1357"/>
      <c r="Y395" s="1357"/>
      <c r="AD395" s="2141">
        <f t="shared" si="424"/>
        <v>2.6</v>
      </c>
      <c r="AE395" s="2142" t="str">
        <f t="shared" si="386"/>
        <v/>
      </c>
      <c r="AG395" s="2118" t="s">
        <v>1816</v>
      </c>
    </row>
    <row r="396" spans="1:33" ht="14.25" hidden="1" outlineLevel="2" x14ac:dyDescent="0.2">
      <c r="A396" s="1360">
        <f>A395+1</f>
        <v>16</v>
      </c>
      <c r="B396" s="1372" t="s">
        <v>1783</v>
      </c>
      <c r="C396" s="1379" t="s">
        <v>1782</v>
      </c>
      <c r="D396" s="1358">
        <v>3</v>
      </c>
      <c r="E396" s="499" t="s">
        <v>465</v>
      </c>
      <c r="F396" s="2046" t="s">
        <v>303</v>
      </c>
      <c r="G396" s="1932">
        <v>0.78500000000000003</v>
      </c>
      <c r="H396" s="1373">
        <f>IF(H395&gt;0,1,0)</f>
        <v>0</v>
      </c>
      <c r="I396" s="1359">
        <f>IF(G396=0,0,IF(H396&gt;0,IF((G396*H396/K396)&lt;0.084,0.084,(G396*H396/K396)),0))</f>
        <v>0</v>
      </c>
      <c r="J396" s="1374" t="str">
        <f>CONCATENATE(TRUNC(I396,0),":",INT((I396-(TRUNC(I396,0)))*60),":","00")</f>
        <v>0:0:00</v>
      </c>
      <c r="K396" s="500">
        <v>1</v>
      </c>
      <c r="L396" s="2009">
        <v>75.900000000000006</v>
      </c>
      <c r="M396" s="1375">
        <f>H396*L396/K396</f>
        <v>0</v>
      </c>
      <c r="N396" s="1376">
        <v>1</v>
      </c>
      <c r="O396" s="1377">
        <f>M396*N396</f>
        <v>0</v>
      </c>
      <c r="P396" s="1375">
        <f>(M396+O396)*0.15</f>
        <v>0</v>
      </c>
      <c r="Q396" s="1378">
        <f>M396+O396+P396</f>
        <v>0</v>
      </c>
      <c r="R396" s="1375">
        <f>Q396*$R$1</f>
        <v>0</v>
      </c>
      <c r="S396" s="1375">
        <f>(Q396+R396)*$S$1</f>
        <v>0</v>
      </c>
      <c r="T396" s="1375">
        <f>Q396+R396+S396</f>
        <v>0</v>
      </c>
      <c r="U396" s="2028">
        <f t="shared" si="450"/>
        <v>0</v>
      </c>
      <c r="V396" s="1357"/>
      <c r="W396" s="1357"/>
      <c r="X396" s="1357"/>
      <c r="Y396" s="1357"/>
      <c r="AD396" s="2141">
        <f t="shared" si="424"/>
        <v>2.6</v>
      </c>
      <c r="AE396" s="2142" t="str">
        <f t="shared" si="386"/>
        <v/>
      </c>
      <c r="AG396" s="2118" t="s">
        <v>1816</v>
      </c>
    </row>
    <row r="397" spans="1:33" ht="15" hidden="1" outlineLevel="1" x14ac:dyDescent="0.2">
      <c r="A397" s="1360"/>
      <c r="B397" s="1366" t="s">
        <v>468</v>
      </c>
      <c r="C397" s="522"/>
      <c r="D397" s="2152"/>
      <c r="E397" s="523" t="s">
        <v>218</v>
      </c>
      <c r="F397" s="2164"/>
      <c r="G397" s="2178"/>
      <c r="H397" s="1367"/>
      <c r="I397" s="2043">
        <f>I398+I400+I402+I404+I406+I408+I410+I411</f>
        <v>0</v>
      </c>
      <c r="J397" s="524"/>
      <c r="K397" s="524"/>
      <c r="L397" s="526"/>
      <c r="M397" s="1368"/>
      <c r="N397" s="524"/>
      <c r="O397" s="1369"/>
      <c r="P397" s="1368"/>
      <c r="Q397" s="1370"/>
      <c r="R397" s="1368"/>
      <c r="S397" s="1371">
        <f>SUM(T398:T411)</f>
        <v>0</v>
      </c>
      <c r="T397" s="1370"/>
      <c r="U397" s="2028">
        <f t="shared" si="449"/>
        <v>0</v>
      </c>
      <c r="V397" s="1357"/>
      <c r="W397" s="1357"/>
      <c r="X397" s="1357"/>
      <c r="Y397" s="1357"/>
      <c r="AD397" s="2141" t="str">
        <f t="shared" si="424"/>
        <v/>
      </c>
      <c r="AE397" s="2142" t="str">
        <f t="shared" si="386"/>
        <v/>
      </c>
      <c r="AG397" s="2118" t="s">
        <v>1816</v>
      </c>
    </row>
    <row r="398" spans="1:33" ht="28.5" hidden="1" outlineLevel="2" x14ac:dyDescent="0.2">
      <c r="A398" s="1360">
        <f>A396+1</f>
        <v>17</v>
      </c>
      <c r="B398" s="1372" t="s">
        <v>1497</v>
      </c>
      <c r="C398" s="585" t="s">
        <v>1498</v>
      </c>
      <c r="D398" s="1358">
        <v>3</v>
      </c>
      <c r="E398" s="499" t="s">
        <v>465</v>
      </c>
      <c r="F398" s="1382" t="s">
        <v>344</v>
      </c>
      <c r="G398" s="1355">
        <v>2.5390000000000001</v>
      </c>
      <c r="H398" s="1373"/>
      <c r="I398" s="1359">
        <f>IF(G398=0,0,IF(H398&gt;0,IF((G398*H398/K398)&lt;0.084,0.084,(G398*H398/K398)),0))</f>
        <v>0</v>
      </c>
      <c r="J398" s="1374" t="str">
        <f t="shared" ref="J398:J411" si="451">CONCATENATE(TRUNC(I398,0),":",INT((I398-(TRUNC(I398,0)))*60),":","00")</f>
        <v>0:0:00</v>
      </c>
      <c r="K398" s="500">
        <v>1000</v>
      </c>
      <c r="L398" s="2009">
        <v>192.64</v>
      </c>
      <c r="M398" s="1375">
        <f t="shared" ref="M398:M411" si="452">H398*L398/K398</f>
        <v>0</v>
      </c>
      <c r="N398" s="1376">
        <v>1</v>
      </c>
      <c r="O398" s="1377">
        <f t="shared" ref="O398:O411" si="453">M398*N398</f>
        <v>0</v>
      </c>
      <c r="P398" s="1375">
        <f t="shared" ref="P398:P411" si="454">(M398+O398)*0.15</f>
        <v>0</v>
      </c>
      <c r="Q398" s="1378">
        <f t="shared" ref="Q398:Q411" si="455">M398+O398+P398</f>
        <v>0</v>
      </c>
      <c r="R398" s="1375">
        <f t="shared" ref="R398:R411" si="456">Q398*$R$1</f>
        <v>0</v>
      </c>
      <c r="S398" s="1375">
        <f t="shared" ref="S398:S411" si="457">(Q398+R398)*$S$1</f>
        <v>0</v>
      </c>
      <c r="T398" s="1375">
        <f t="shared" ref="T398:T411" si="458">Q398+R398+S398</f>
        <v>0</v>
      </c>
      <c r="U398" s="2028">
        <f t="shared" si="449"/>
        <v>0</v>
      </c>
      <c r="V398" s="1357"/>
      <c r="W398" s="1357"/>
      <c r="X398" s="1357"/>
      <c r="Y398" s="1357"/>
      <c r="AD398" s="2141">
        <f t="shared" si="424"/>
        <v>2.6</v>
      </c>
      <c r="AE398" s="2142" t="str">
        <f t="shared" si="386"/>
        <v/>
      </c>
      <c r="AG398" s="2118" t="s">
        <v>1816</v>
      </c>
    </row>
    <row r="399" spans="1:33" ht="28.5" hidden="1" outlineLevel="2" x14ac:dyDescent="0.2">
      <c r="A399" s="1360">
        <f>A398+1</f>
        <v>18</v>
      </c>
      <c r="B399" s="1372" t="s">
        <v>1499</v>
      </c>
      <c r="C399" s="585" t="s">
        <v>1498</v>
      </c>
      <c r="D399" s="1358">
        <v>2</v>
      </c>
      <c r="E399" s="499" t="s">
        <v>465</v>
      </c>
      <c r="F399" s="1382" t="s">
        <v>344</v>
      </c>
      <c r="G399" s="1355">
        <v>2.5390000000000001</v>
      </c>
      <c r="H399" s="1373">
        <f>H398</f>
        <v>0</v>
      </c>
      <c r="I399" s="1359">
        <f t="shared" ref="I399:I411" si="459">IF(G399=0,0,IF(H399&gt;0,IF((G399*H399/K399)&lt;0.084,0.084,(G399*H399/K399)),0))</f>
        <v>0</v>
      </c>
      <c r="J399" s="1374" t="str">
        <f t="shared" si="451"/>
        <v>0:0:00</v>
      </c>
      <c r="K399" s="500">
        <v>1000</v>
      </c>
      <c r="L399" s="2009">
        <v>160.53</v>
      </c>
      <c r="M399" s="1375">
        <f t="shared" si="452"/>
        <v>0</v>
      </c>
      <c r="N399" s="1376">
        <v>1</v>
      </c>
      <c r="O399" s="1377">
        <f t="shared" si="453"/>
        <v>0</v>
      </c>
      <c r="P399" s="1375">
        <f t="shared" si="454"/>
        <v>0</v>
      </c>
      <c r="Q399" s="1378">
        <f t="shared" si="455"/>
        <v>0</v>
      </c>
      <c r="R399" s="1375">
        <f t="shared" si="456"/>
        <v>0</v>
      </c>
      <c r="S399" s="1375">
        <f t="shared" si="457"/>
        <v>0</v>
      </c>
      <c r="T399" s="1375">
        <f t="shared" si="458"/>
        <v>0</v>
      </c>
      <c r="U399" s="2028">
        <f t="shared" si="449"/>
        <v>0</v>
      </c>
      <c r="V399" s="1357"/>
      <c r="W399" s="1357"/>
      <c r="X399" s="1357"/>
      <c r="Y399" s="1357"/>
      <c r="AD399" s="2141">
        <f t="shared" si="424"/>
        <v>1.5</v>
      </c>
      <c r="AE399" s="2142" t="str">
        <f t="shared" si="386"/>
        <v/>
      </c>
      <c r="AG399" s="2118" t="s">
        <v>1816</v>
      </c>
    </row>
    <row r="400" spans="1:33" ht="28.5" hidden="1" outlineLevel="2" x14ac:dyDescent="0.2">
      <c r="A400" s="1360">
        <f t="shared" ref="A400:A411" si="460">A399+1</f>
        <v>19</v>
      </c>
      <c r="B400" s="2041" t="s">
        <v>1500</v>
      </c>
      <c r="C400" s="585" t="s">
        <v>1498</v>
      </c>
      <c r="D400" s="1358">
        <v>3</v>
      </c>
      <c r="E400" s="499" t="s">
        <v>465</v>
      </c>
      <c r="F400" s="1382" t="s">
        <v>344</v>
      </c>
      <c r="G400" s="1355">
        <v>3.194</v>
      </c>
      <c r="H400" s="1373"/>
      <c r="I400" s="1359">
        <f t="shared" si="459"/>
        <v>0</v>
      </c>
      <c r="J400" s="1374" t="str">
        <f t="shared" si="451"/>
        <v>0:0:00</v>
      </c>
      <c r="K400" s="500">
        <v>1000</v>
      </c>
      <c r="L400" s="2009">
        <v>242.49</v>
      </c>
      <c r="M400" s="1375">
        <f t="shared" si="452"/>
        <v>0</v>
      </c>
      <c r="N400" s="1376">
        <v>1</v>
      </c>
      <c r="O400" s="1377">
        <f t="shared" si="453"/>
        <v>0</v>
      </c>
      <c r="P400" s="1375">
        <f t="shared" si="454"/>
        <v>0</v>
      </c>
      <c r="Q400" s="1378">
        <f t="shared" si="455"/>
        <v>0</v>
      </c>
      <c r="R400" s="1375">
        <f t="shared" si="456"/>
        <v>0</v>
      </c>
      <c r="S400" s="1375">
        <f t="shared" si="457"/>
        <v>0</v>
      </c>
      <c r="T400" s="1375">
        <f t="shared" si="458"/>
        <v>0</v>
      </c>
      <c r="U400" s="2028">
        <f t="shared" si="449"/>
        <v>0</v>
      </c>
      <c r="V400" s="1357"/>
      <c r="W400" s="1357"/>
      <c r="X400" s="1357"/>
      <c r="Y400" s="1357"/>
      <c r="AD400" s="2141">
        <f t="shared" si="424"/>
        <v>2.6</v>
      </c>
      <c r="AE400" s="2142" t="str">
        <f t="shared" si="386"/>
        <v/>
      </c>
      <c r="AG400" s="2118" t="s">
        <v>1816</v>
      </c>
    </row>
    <row r="401" spans="1:33" ht="28.5" hidden="1" outlineLevel="2" x14ac:dyDescent="0.2">
      <c r="A401" s="1360">
        <f t="shared" si="460"/>
        <v>20</v>
      </c>
      <c r="B401" s="2041" t="s">
        <v>1501</v>
      </c>
      <c r="C401" s="585" t="s">
        <v>1498</v>
      </c>
      <c r="D401" s="1358">
        <v>2</v>
      </c>
      <c r="E401" s="499" t="s">
        <v>465</v>
      </c>
      <c r="F401" s="1382" t="s">
        <v>344</v>
      </c>
      <c r="G401" s="1355">
        <v>3.194</v>
      </c>
      <c r="H401" s="1373">
        <f>H400</f>
        <v>0</v>
      </c>
      <c r="I401" s="1359">
        <f t="shared" si="459"/>
        <v>0</v>
      </c>
      <c r="J401" s="1374" t="str">
        <f t="shared" si="451"/>
        <v>0:0:00</v>
      </c>
      <c r="K401" s="500">
        <v>1000</v>
      </c>
      <c r="L401" s="2009">
        <v>202.08</v>
      </c>
      <c r="M401" s="1375">
        <f t="shared" si="452"/>
        <v>0</v>
      </c>
      <c r="N401" s="1376">
        <v>1</v>
      </c>
      <c r="O401" s="1377">
        <f t="shared" si="453"/>
        <v>0</v>
      </c>
      <c r="P401" s="1375">
        <f t="shared" si="454"/>
        <v>0</v>
      </c>
      <c r="Q401" s="1378">
        <f t="shared" si="455"/>
        <v>0</v>
      </c>
      <c r="R401" s="1375">
        <f t="shared" si="456"/>
        <v>0</v>
      </c>
      <c r="S401" s="1375">
        <f t="shared" si="457"/>
        <v>0</v>
      </c>
      <c r="T401" s="1375">
        <f t="shared" si="458"/>
        <v>0</v>
      </c>
      <c r="U401" s="2028">
        <f t="shared" si="449"/>
        <v>0</v>
      </c>
      <c r="V401" s="1357"/>
      <c r="W401" s="1357"/>
      <c r="X401" s="1357"/>
      <c r="Y401" s="1357"/>
      <c r="AD401" s="2141">
        <f t="shared" si="424"/>
        <v>1.5</v>
      </c>
      <c r="AE401" s="2142" t="str">
        <f t="shared" si="386"/>
        <v/>
      </c>
      <c r="AG401" s="2118" t="s">
        <v>1816</v>
      </c>
    </row>
    <row r="402" spans="1:33" ht="28.5" hidden="1" outlineLevel="2" x14ac:dyDescent="0.2">
      <c r="A402" s="1360">
        <f t="shared" si="460"/>
        <v>21</v>
      </c>
      <c r="B402" s="1372" t="s">
        <v>1502</v>
      </c>
      <c r="C402" s="585" t="s">
        <v>1498</v>
      </c>
      <c r="D402" s="1358">
        <v>3</v>
      </c>
      <c r="E402" s="499" t="s">
        <v>465</v>
      </c>
      <c r="F402" s="1382" t="s">
        <v>344</v>
      </c>
      <c r="G402" s="2040">
        <v>3.2759999999999998</v>
      </c>
      <c r="H402" s="1373"/>
      <c r="I402" s="1359">
        <f t="shared" si="459"/>
        <v>0</v>
      </c>
      <c r="J402" s="1374" t="str">
        <f t="shared" si="451"/>
        <v>0:0:00</v>
      </c>
      <c r="K402" s="500">
        <v>1000</v>
      </c>
      <c r="L402" s="2009">
        <v>248.85</v>
      </c>
      <c r="M402" s="1375">
        <f t="shared" si="452"/>
        <v>0</v>
      </c>
      <c r="N402" s="1376">
        <v>1</v>
      </c>
      <c r="O402" s="1377">
        <f t="shared" si="453"/>
        <v>0</v>
      </c>
      <c r="P402" s="1375">
        <f t="shared" si="454"/>
        <v>0</v>
      </c>
      <c r="Q402" s="1378">
        <f t="shared" si="455"/>
        <v>0</v>
      </c>
      <c r="R402" s="1375">
        <f t="shared" si="456"/>
        <v>0</v>
      </c>
      <c r="S402" s="1375">
        <f t="shared" si="457"/>
        <v>0</v>
      </c>
      <c r="T402" s="1375">
        <f t="shared" si="458"/>
        <v>0</v>
      </c>
      <c r="U402" s="2028">
        <f t="shared" si="449"/>
        <v>0</v>
      </c>
      <c r="V402" s="1357"/>
      <c r="W402" s="1357"/>
      <c r="X402" s="1357"/>
      <c r="Y402" s="1357"/>
      <c r="AD402" s="2141">
        <f t="shared" si="424"/>
        <v>2.6</v>
      </c>
      <c r="AE402" s="2142" t="str">
        <f t="shared" si="386"/>
        <v/>
      </c>
      <c r="AG402" s="2118" t="s">
        <v>1816</v>
      </c>
    </row>
    <row r="403" spans="1:33" ht="28.5" hidden="1" outlineLevel="2" x14ac:dyDescent="0.2">
      <c r="A403" s="1360">
        <f t="shared" si="460"/>
        <v>22</v>
      </c>
      <c r="B403" s="1372" t="s">
        <v>1503</v>
      </c>
      <c r="C403" s="585" t="s">
        <v>1498</v>
      </c>
      <c r="D403" s="1358">
        <v>2</v>
      </c>
      <c r="E403" s="499" t="s">
        <v>465</v>
      </c>
      <c r="F403" s="1382" t="s">
        <v>344</v>
      </c>
      <c r="G403" s="2040">
        <v>3.2759999999999998</v>
      </c>
      <c r="H403" s="1373">
        <f>H402</f>
        <v>0</v>
      </c>
      <c r="I403" s="1359">
        <f t="shared" si="459"/>
        <v>0</v>
      </c>
      <c r="J403" s="1374" t="str">
        <f t="shared" si="451"/>
        <v>0:0:00</v>
      </c>
      <c r="K403" s="500">
        <v>1000</v>
      </c>
      <c r="L403" s="2009">
        <v>207.38</v>
      </c>
      <c r="M403" s="1375">
        <f t="shared" si="452"/>
        <v>0</v>
      </c>
      <c r="N403" s="1376">
        <v>1</v>
      </c>
      <c r="O403" s="1377">
        <f t="shared" si="453"/>
        <v>0</v>
      </c>
      <c r="P403" s="1375">
        <f t="shared" si="454"/>
        <v>0</v>
      </c>
      <c r="Q403" s="1378">
        <f t="shared" si="455"/>
        <v>0</v>
      </c>
      <c r="R403" s="1375">
        <f t="shared" si="456"/>
        <v>0</v>
      </c>
      <c r="S403" s="1375">
        <f t="shared" si="457"/>
        <v>0</v>
      </c>
      <c r="T403" s="1375">
        <f t="shared" si="458"/>
        <v>0</v>
      </c>
      <c r="U403" s="2028">
        <f t="shared" si="449"/>
        <v>0</v>
      </c>
      <c r="V403" s="1357"/>
      <c r="W403" s="1357"/>
      <c r="X403" s="1357"/>
      <c r="Y403" s="1357"/>
      <c r="AD403" s="2141">
        <f t="shared" si="424"/>
        <v>1.5</v>
      </c>
      <c r="AE403" s="2142" t="str">
        <f t="shared" si="386"/>
        <v/>
      </c>
      <c r="AG403" s="2118" t="s">
        <v>1816</v>
      </c>
    </row>
    <row r="404" spans="1:33" ht="30" hidden="1" outlineLevel="2" x14ac:dyDescent="0.2">
      <c r="A404" s="1360">
        <f t="shared" si="460"/>
        <v>23</v>
      </c>
      <c r="B404" s="2041" t="s">
        <v>1504</v>
      </c>
      <c r="C404" s="585" t="s">
        <v>1498</v>
      </c>
      <c r="D404" s="1358">
        <v>3</v>
      </c>
      <c r="E404" s="499" t="s">
        <v>465</v>
      </c>
      <c r="F404" s="1382" t="s">
        <v>344</v>
      </c>
      <c r="G404" s="2040">
        <v>3.6040000000000001</v>
      </c>
      <c r="H404" s="1373"/>
      <c r="I404" s="1359">
        <f t="shared" si="459"/>
        <v>0</v>
      </c>
      <c r="J404" s="1374" t="str">
        <f t="shared" si="451"/>
        <v>0:0:00</v>
      </c>
      <c r="K404" s="500">
        <v>1000</v>
      </c>
      <c r="L404" s="2009">
        <v>274.01</v>
      </c>
      <c r="M404" s="1375">
        <f t="shared" si="452"/>
        <v>0</v>
      </c>
      <c r="N404" s="1376">
        <v>1</v>
      </c>
      <c r="O404" s="1377">
        <f t="shared" si="453"/>
        <v>0</v>
      </c>
      <c r="P404" s="1375">
        <f t="shared" si="454"/>
        <v>0</v>
      </c>
      <c r="Q404" s="1378">
        <f t="shared" si="455"/>
        <v>0</v>
      </c>
      <c r="R404" s="1375">
        <f t="shared" si="456"/>
        <v>0</v>
      </c>
      <c r="S404" s="1375">
        <f t="shared" si="457"/>
        <v>0</v>
      </c>
      <c r="T404" s="1375">
        <f t="shared" si="458"/>
        <v>0</v>
      </c>
      <c r="U404" s="2028">
        <f t="shared" si="449"/>
        <v>0</v>
      </c>
      <c r="V404" s="1357"/>
      <c r="W404" s="1357"/>
      <c r="X404" s="1357"/>
      <c r="Y404" s="1357"/>
      <c r="AD404" s="2141">
        <f t="shared" si="424"/>
        <v>2.6</v>
      </c>
      <c r="AE404" s="2142" t="str">
        <f t="shared" si="386"/>
        <v/>
      </c>
      <c r="AG404" s="2118" t="s">
        <v>1816</v>
      </c>
    </row>
    <row r="405" spans="1:33" ht="30" hidden="1" outlineLevel="2" x14ac:dyDescent="0.2">
      <c r="A405" s="1360">
        <f t="shared" si="460"/>
        <v>24</v>
      </c>
      <c r="B405" s="2041" t="s">
        <v>1505</v>
      </c>
      <c r="C405" s="585" t="s">
        <v>1498</v>
      </c>
      <c r="D405" s="1358">
        <v>2</v>
      </c>
      <c r="E405" s="499" t="s">
        <v>465</v>
      </c>
      <c r="F405" s="1382" t="s">
        <v>344</v>
      </c>
      <c r="G405" s="2040">
        <v>3.6040000000000001</v>
      </c>
      <c r="H405" s="1373">
        <f>H404</f>
        <v>0</v>
      </c>
      <c r="I405" s="1359">
        <f t="shared" si="459"/>
        <v>0</v>
      </c>
      <c r="J405" s="1374" t="str">
        <f t="shared" ref="J405:J406" si="461">CONCATENATE(TRUNC(I405,0),":",INT((I405-(TRUNC(I405,0)))*60),":","00")</f>
        <v>0:0:00</v>
      </c>
      <c r="K405" s="500">
        <v>1000</v>
      </c>
      <c r="L405" s="2009">
        <v>228.34</v>
      </c>
      <c r="M405" s="1375">
        <f t="shared" ref="M405:M406" si="462">H405*L405/K405</f>
        <v>0</v>
      </c>
      <c r="N405" s="1376">
        <v>1</v>
      </c>
      <c r="O405" s="1377">
        <f t="shared" ref="O405:O406" si="463">M405*N405</f>
        <v>0</v>
      </c>
      <c r="P405" s="1375">
        <f t="shared" ref="P405:P406" si="464">(M405+O405)*0.15</f>
        <v>0</v>
      </c>
      <c r="Q405" s="1378">
        <f t="shared" ref="Q405:Q406" si="465">M405+O405+P405</f>
        <v>0</v>
      </c>
      <c r="R405" s="1375">
        <f t="shared" ref="R405:R406" si="466">Q405*$R$1</f>
        <v>0</v>
      </c>
      <c r="S405" s="1375">
        <f t="shared" ref="S405:S406" si="467">(Q405+R405)*$S$1</f>
        <v>0</v>
      </c>
      <c r="T405" s="1375">
        <f t="shared" ref="T405:T406" si="468">Q405+R405+S405</f>
        <v>0</v>
      </c>
      <c r="U405" s="2028">
        <f t="shared" ref="U405:U406" si="469">IF(T405&gt;0,1,0)</f>
        <v>0</v>
      </c>
      <c r="V405" s="1357"/>
      <c r="W405" s="1357"/>
      <c r="X405" s="1357"/>
      <c r="Y405" s="1357"/>
      <c r="AD405" s="2141">
        <f t="shared" si="424"/>
        <v>1.5</v>
      </c>
      <c r="AE405" s="2142" t="str">
        <f t="shared" si="386"/>
        <v/>
      </c>
      <c r="AG405" s="2118" t="s">
        <v>1816</v>
      </c>
    </row>
    <row r="406" spans="1:33" ht="28.5" hidden="1" outlineLevel="2" x14ac:dyDescent="0.2">
      <c r="A406" s="1360">
        <f t="shared" si="460"/>
        <v>25</v>
      </c>
      <c r="B406" s="1372" t="s">
        <v>1506</v>
      </c>
      <c r="C406" s="585" t="s">
        <v>1498</v>
      </c>
      <c r="D406" s="1358">
        <v>3</v>
      </c>
      <c r="E406" s="2042" t="s">
        <v>465</v>
      </c>
      <c r="F406" s="1382" t="s">
        <v>344</v>
      </c>
      <c r="G406" s="2040">
        <v>6.6669999999999998</v>
      </c>
      <c r="H406" s="1373"/>
      <c r="I406" s="1359">
        <f t="shared" si="459"/>
        <v>0</v>
      </c>
      <c r="J406" s="1374" t="str">
        <f t="shared" si="461"/>
        <v>0:0:00</v>
      </c>
      <c r="K406" s="500">
        <v>1000</v>
      </c>
      <c r="L406" s="2009">
        <v>506</v>
      </c>
      <c r="M406" s="1375">
        <f t="shared" si="462"/>
        <v>0</v>
      </c>
      <c r="N406" s="1376">
        <v>1</v>
      </c>
      <c r="O406" s="1377">
        <f t="shared" si="463"/>
        <v>0</v>
      </c>
      <c r="P406" s="1375">
        <f t="shared" si="464"/>
        <v>0</v>
      </c>
      <c r="Q406" s="1378">
        <f t="shared" si="465"/>
        <v>0</v>
      </c>
      <c r="R406" s="1375">
        <f t="shared" si="466"/>
        <v>0</v>
      </c>
      <c r="S406" s="1375">
        <f t="shared" si="467"/>
        <v>0</v>
      </c>
      <c r="T406" s="1375">
        <f t="shared" si="468"/>
        <v>0</v>
      </c>
      <c r="U406" s="2028">
        <f t="shared" si="469"/>
        <v>0</v>
      </c>
      <c r="V406" s="1357"/>
      <c r="W406" s="1357"/>
      <c r="X406" s="1357"/>
      <c r="Y406" s="1357"/>
      <c r="AD406" s="2141">
        <f t="shared" si="424"/>
        <v>2.6</v>
      </c>
      <c r="AE406" s="2142" t="str">
        <f t="shared" si="386"/>
        <v/>
      </c>
      <c r="AG406" s="2118" t="s">
        <v>1816</v>
      </c>
    </row>
    <row r="407" spans="1:33" ht="28.5" hidden="1" outlineLevel="2" x14ac:dyDescent="0.2">
      <c r="A407" s="1360">
        <f t="shared" si="460"/>
        <v>26</v>
      </c>
      <c r="B407" s="1372" t="s">
        <v>1507</v>
      </c>
      <c r="C407" s="585" t="s">
        <v>1498</v>
      </c>
      <c r="D407" s="1358">
        <v>2</v>
      </c>
      <c r="E407" s="499" t="s">
        <v>465</v>
      </c>
      <c r="F407" s="1382" t="s">
        <v>344</v>
      </c>
      <c r="G407" s="2040">
        <v>6.6669999999999998</v>
      </c>
      <c r="H407" s="1373">
        <f>H406</f>
        <v>0</v>
      </c>
      <c r="I407" s="1359">
        <f t="shared" si="459"/>
        <v>0</v>
      </c>
      <c r="J407" s="1374" t="str">
        <f t="shared" si="451"/>
        <v>0:0:00</v>
      </c>
      <c r="K407" s="500">
        <v>1000</v>
      </c>
      <c r="L407" s="2009">
        <v>421.67</v>
      </c>
      <c r="M407" s="1375">
        <f t="shared" si="452"/>
        <v>0</v>
      </c>
      <c r="N407" s="1376">
        <v>1</v>
      </c>
      <c r="O407" s="1377">
        <f t="shared" si="453"/>
        <v>0</v>
      </c>
      <c r="P407" s="1375">
        <f t="shared" si="454"/>
        <v>0</v>
      </c>
      <c r="Q407" s="1378">
        <f t="shared" si="455"/>
        <v>0</v>
      </c>
      <c r="R407" s="1375">
        <f t="shared" si="456"/>
        <v>0</v>
      </c>
      <c r="S407" s="1375">
        <f t="shared" si="457"/>
        <v>0</v>
      </c>
      <c r="T407" s="1375">
        <f t="shared" si="458"/>
        <v>0</v>
      </c>
      <c r="U407" s="2028">
        <f t="shared" si="449"/>
        <v>0</v>
      </c>
      <c r="V407" s="1357"/>
      <c r="W407" s="1357"/>
      <c r="X407" s="1357"/>
      <c r="Y407" s="1357"/>
      <c r="AD407" s="2141">
        <f t="shared" si="424"/>
        <v>1.5</v>
      </c>
      <c r="AE407" s="2142" t="str">
        <f t="shared" si="386"/>
        <v/>
      </c>
      <c r="AG407" s="2118" t="s">
        <v>1816</v>
      </c>
    </row>
    <row r="408" spans="1:33" ht="30" hidden="1" outlineLevel="2" x14ac:dyDescent="0.2">
      <c r="A408" s="1360">
        <f t="shared" si="460"/>
        <v>27</v>
      </c>
      <c r="B408" s="2041" t="s">
        <v>1508</v>
      </c>
      <c r="C408" s="585" t="s">
        <v>1498</v>
      </c>
      <c r="D408" s="1358">
        <v>3</v>
      </c>
      <c r="E408" s="2042" t="s">
        <v>465</v>
      </c>
      <c r="F408" s="1382" t="s">
        <v>344</v>
      </c>
      <c r="G408" s="2040">
        <v>7.3339999999999996</v>
      </c>
      <c r="H408" s="1373"/>
      <c r="I408" s="1359">
        <f t="shared" si="459"/>
        <v>0</v>
      </c>
      <c r="J408" s="1374" t="str">
        <f t="shared" ref="J408:J409" si="470">CONCATENATE(TRUNC(I408,0),":",INT((I408-(TRUNC(I408,0)))*60),":","00")</f>
        <v>0:0:00</v>
      </c>
      <c r="K408" s="500">
        <v>1000</v>
      </c>
      <c r="L408" s="2009">
        <v>558.09</v>
      </c>
      <c r="M408" s="1375">
        <f t="shared" ref="M408:M409" si="471">H408*L408/K408</f>
        <v>0</v>
      </c>
      <c r="N408" s="1376">
        <v>1</v>
      </c>
      <c r="O408" s="1377">
        <f t="shared" ref="O408:O409" si="472">M408*N408</f>
        <v>0</v>
      </c>
      <c r="P408" s="1375">
        <f t="shared" ref="P408:P409" si="473">(M408+O408)*0.15</f>
        <v>0</v>
      </c>
      <c r="Q408" s="1378">
        <f t="shared" ref="Q408:Q409" si="474">M408+O408+P408</f>
        <v>0</v>
      </c>
      <c r="R408" s="1375">
        <f t="shared" ref="R408:R409" si="475">Q408*$R$1</f>
        <v>0</v>
      </c>
      <c r="S408" s="1375">
        <f t="shared" ref="S408:S409" si="476">(Q408+R408)*$S$1</f>
        <v>0</v>
      </c>
      <c r="T408" s="1375">
        <f t="shared" ref="T408:T409" si="477">Q408+R408+S408</f>
        <v>0</v>
      </c>
      <c r="U408" s="2028">
        <f t="shared" ref="U408:U409" si="478">IF(T408&gt;0,1,0)</f>
        <v>0</v>
      </c>
      <c r="V408" s="1357"/>
      <c r="W408" s="1357"/>
      <c r="X408" s="1357"/>
      <c r="Y408" s="1357"/>
      <c r="AD408" s="2141">
        <f t="shared" si="424"/>
        <v>2.6</v>
      </c>
      <c r="AE408" s="2142" t="str">
        <f t="shared" si="386"/>
        <v/>
      </c>
      <c r="AG408" s="2118" t="s">
        <v>1816</v>
      </c>
    </row>
    <row r="409" spans="1:33" ht="30" hidden="1" outlineLevel="2" x14ac:dyDescent="0.2">
      <c r="A409" s="1360">
        <f t="shared" si="460"/>
        <v>28</v>
      </c>
      <c r="B409" s="2041" t="s">
        <v>1509</v>
      </c>
      <c r="C409" s="585" t="s">
        <v>1498</v>
      </c>
      <c r="D409" s="1358">
        <v>2</v>
      </c>
      <c r="E409" s="499" t="s">
        <v>465</v>
      </c>
      <c r="F409" s="1382" t="s">
        <v>344</v>
      </c>
      <c r="G409" s="2040">
        <v>7.3339999999999996</v>
      </c>
      <c r="H409" s="1373">
        <f>H408</f>
        <v>0</v>
      </c>
      <c r="I409" s="1359">
        <f t="shared" si="459"/>
        <v>0</v>
      </c>
      <c r="J409" s="1374" t="str">
        <f t="shared" si="470"/>
        <v>0:0:00</v>
      </c>
      <c r="K409" s="500">
        <v>1000</v>
      </c>
      <c r="L409" s="2009">
        <v>465.07</v>
      </c>
      <c r="M409" s="1375">
        <f t="shared" si="471"/>
        <v>0</v>
      </c>
      <c r="N409" s="1376">
        <v>1</v>
      </c>
      <c r="O409" s="1377">
        <f t="shared" si="472"/>
        <v>0</v>
      </c>
      <c r="P409" s="1375">
        <f t="shared" si="473"/>
        <v>0</v>
      </c>
      <c r="Q409" s="1378">
        <f t="shared" si="474"/>
        <v>0</v>
      </c>
      <c r="R409" s="1375">
        <f t="shared" si="475"/>
        <v>0</v>
      </c>
      <c r="S409" s="1375">
        <f t="shared" si="476"/>
        <v>0</v>
      </c>
      <c r="T409" s="1375">
        <f t="shared" si="477"/>
        <v>0</v>
      </c>
      <c r="U409" s="2028">
        <f t="shared" si="478"/>
        <v>0</v>
      </c>
      <c r="V409" s="1357"/>
      <c r="W409" s="1357"/>
      <c r="X409" s="1357"/>
      <c r="Y409" s="1357"/>
      <c r="AD409" s="2141">
        <f t="shared" si="424"/>
        <v>1.5</v>
      </c>
      <c r="AE409" s="2142" t="str">
        <f t="shared" si="386"/>
        <v/>
      </c>
      <c r="AG409" s="2118" t="s">
        <v>1816</v>
      </c>
    </row>
    <row r="410" spans="1:33" ht="25.5" hidden="1" outlineLevel="2" x14ac:dyDescent="0.2">
      <c r="A410" s="1360">
        <f t="shared" si="460"/>
        <v>29</v>
      </c>
      <c r="B410" s="1372" t="s">
        <v>1510</v>
      </c>
      <c r="C410" s="585" t="s">
        <v>1498</v>
      </c>
      <c r="D410" s="1358">
        <v>3</v>
      </c>
      <c r="E410" s="499" t="s">
        <v>465</v>
      </c>
      <c r="F410" s="2024" t="s">
        <v>303</v>
      </c>
      <c r="G410" s="1355">
        <v>0.13700000000000001</v>
      </c>
      <c r="H410" s="1373">
        <f>IF(SUM(H398:H409)&gt;0,1,0)</f>
        <v>0</v>
      </c>
      <c r="I410" s="1359">
        <f t="shared" si="459"/>
        <v>0</v>
      </c>
      <c r="J410" s="1374" t="str">
        <f t="shared" si="451"/>
        <v>0:0:00</v>
      </c>
      <c r="K410" s="500">
        <v>1</v>
      </c>
      <c r="L410" s="2009">
        <v>10.4</v>
      </c>
      <c r="M410" s="1375">
        <f t="shared" si="452"/>
        <v>0</v>
      </c>
      <c r="N410" s="1376">
        <v>1</v>
      </c>
      <c r="O410" s="1377">
        <f t="shared" si="453"/>
        <v>0</v>
      </c>
      <c r="P410" s="1375">
        <f t="shared" si="454"/>
        <v>0</v>
      </c>
      <c r="Q410" s="1378">
        <f t="shared" si="455"/>
        <v>0</v>
      </c>
      <c r="R410" s="1375">
        <f t="shared" si="456"/>
        <v>0</v>
      </c>
      <c r="S410" s="1375">
        <f t="shared" si="457"/>
        <v>0</v>
      </c>
      <c r="T410" s="1375">
        <f t="shared" si="458"/>
        <v>0</v>
      </c>
      <c r="U410" s="2028">
        <f t="shared" si="449"/>
        <v>0</v>
      </c>
      <c r="V410" s="1357"/>
      <c r="W410" s="1357"/>
      <c r="X410" s="1357"/>
      <c r="Y410" s="1357"/>
      <c r="AD410" s="2141">
        <f t="shared" si="424"/>
        <v>2.6</v>
      </c>
      <c r="AE410" s="2142" t="str">
        <f t="shared" ref="AE410:AE473" si="479">IF(T410&gt;0,T410*AD410,"")</f>
        <v/>
      </c>
      <c r="AG410" s="2118" t="s">
        <v>1816</v>
      </c>
    </row>
    <row r="411" spans="1:33" ht="28.5" hidden="1" outlineLevel="2" x14ac:dyDescent="0.2">
      <c r="A411" s="1360">
        <f t="shared" si="460"/>
        <v>30</v>
      </c>
      <c r="B411" s="1372" t="s">
        <v>1511</v>
      </c>
      <c r="C411" s="585" t="s">
        <v>1498</v>
      </c>
      <c r="D411" s="1358">
        <v>3</v>
      </c>
      <c r="E411" s="499" t="s">
        <v>465</v>
      </c>
      <c r="F411" s="2024" t="s">
        <v>303</v>
      </c>
      <c r="G411" s="1355">
        <v>0.155</v>
      </c>
      <c r="H411" s="1373">
        <f>IF(SUM(H398:H409)&gt;0,1,0)</f>
        <v>0</v>
      </c>
      <c r="I411" s="1359">
        <f t="shared" si="459"/>
        <v>0</v>
      </c>
      <c r="J411" s="1374" t="str">
        <f t="shared" si="451"/>
        <v>0:0:00</v>
      </c>
      <c r="K411" s="500">
        <v>1</v>
      </c>
      <c r="L411" s="2009">
        <v>11.76</v>
      </c>
      <c r="M411" s="1375">
        <f t="shared" si="452"/>
        <v>0</v>
      </c>
      <c r="N411" s="1376">
        <v>1</v>
      </c>
      <c r="O411" s="1377">
        <f t="shared" si="453"/>
        <v>0</v>
      </c>
      <c r="P411" s="1375">
        <f t="shared" si="454"/>
        <v>0</v>
      </c>
      <c r="Q411" s="1378">
        <f t="shared" si="455"/>
        <v>0</v>
      </c>
      <c r="R411" s="1375">
        <f t="shared" si="456"/>
        <v>0</v>
      </c>
      <c r="S411" s="1375">
        <f t="shared" si="457"/>
        <v>0</v>
      </c>
      <c r="T411" s="1375">
        <f t="shared" si="458"/>
        <v>0</v>
      </c>
      <c r="U411" s="2028">
        <f t="shared" si="449"/>
        <v>0</v>
      </c>
      <c r="V411" s="1357"/>
      <c r="W411" s="1357"/>
      <c r="X411" s="1357"/>
      <c r="Y411" s="1357"/>
      <c r="AD411" s="2141">
        <f t="shared" si="424"/>
        <v>2.6</v>
      </c>
      <c r="AE411" s="2142" t="str">
        <f t="shared" si="479"/>
        <v/>
      </c>
      <c r="AG411" s="2118" t="s">
        <v>1816</v>
      </c>
    </row>
    <row r="412" spans="1:33" ht="15" hidden="1" outlineLevel="1" x14ac:dyDescent="0.2">
      <c r="A412" s="1360"/>
      <c r="B412" s="1366" t="s">
        <v>1512</v>
      </c>
      <c r="C412" s="522"/>
      <c r="D412" s="2152"/>
      <c r="E412" s="523" t="s">
        <v>218</v>
      </c>
      <c r="F412" s="2164"/>
      <c r="G412" s="2178"/>
      <c r="H412" s="1367"/>
      <c r="I412" s="2043">
        <f>SUM(I413:I416)</f>
        <v>0</v>
      </c>
      <c r="J412" s="524"/>
      <c r="K412" s="524"/>
      <c r="L412" s="526"/>
      <c r="M412" s="1368"/>
      <c r="N412" s="524"/>
      <c r="O412" s="1369"/>
      <c r="P412" s="1368"/>
      <c r="Q412" s="1370"/>
      <c r="R412" s="1368"/>
      <c r="S412" s="1371">
        <f>SUM(T413:T416)</f>
        <v>0</v>
      </c>
      <c r="T412" s="1370"/>
      <c r="U412" s="2028">
        <f t="shared" si="449"/>
        <v>0</v>
      </c>
      <c r="V412" s="1357"/>
      <c r="W412" s="1357"/>
      <c r="X412" s="1357"/>
      <c r="Y412" s="1357"/>
      <c r="AD412" s="2141" t="str">
        <f t="shared" si="424"/>
        <v/>
      </c>
      <c r="AE412" s="2142" t="str">
        <f t="shared" si="479"/>
        <v/>
      </c>
      <c r="AG412" s="2118" t="s">
        <v>1816</v>
      </c>
    </row>
    <row r="413" spans="1:33" ht="28.5" hidden="1" outlineLevel="2" x14ac:dyDescent="0.2">
      <c r="A413" s="1360">
        <f>A411+1</f>
        <v>31</v>
      </c>
      <c r="B413" s="1372" t="s">
        <v>1513</v>
      </c>
      <c r="C413" s="1379" t="s">
        <v>1512</v>
      </c>
      <c r="D413" s="1358">
        <v>4</v>
      </c>
      <c r="E413" s="499" t="s">
        <v>462</v>
      </c>
      <c r="F413" s="2046" t="s">
        <v>303</v>
      </c>
      <c r="G413" s="1355">
        <v>4.7560000000000002</v>
      </c>
      <c r="H413" s="1373"/>
      <c r="I413" s="1359">
        <f>IF(G413=0,0,IF(H413&gt;0,IF((G413*H413/K413)&lt;0.084,0.084,(G413*H413/K413)),0))</f>
        <v>0</v>
      </c>
      <c r="J413" s="1374" t="str">
        <f>CONCATENATE(TRUNC(I413,0),":",INT((I413-(TRUNC(I413,0)))*60),":","00")</f>
        <v>0:0:00</v>
      </c>
      <c r="K413" s="500">
        <v>1000</v>
      </c>
      <c r="L413" s="2009">
        <v>453.1</v>
      </c>
      <c r="M413" s="1375">
        <f>H413*L413/K413</f>
        <v>0</v>
      </c>
      <c r="N413" s="1376">
        <v>1</v>
      </c>
      <c r="O413" s="1377">
        <f>M413*N413</f>
        <v>0</v>
      </c>
      <c r="P413" s="1375">
        <f>(M413+O413)*0.15</f>
        <v>0</v>
      </c>
      <c r="Q413" s="1378">
        <f>M413+O413+P413</f>
        <v>0</v>
      </c>
      <c r="R413" s="1375">
        <f>Q413*$R$1</f>
        <v>0</v>
      </c>
      <c r="S413" s="1375">
        <f>(Q413+R413)*$S$1</f>
        <v>0</v>
      </c>
      <c r="T413" s="1375">
        <f>Q413+R413+S413</f>
        <v>0</v>
      </c>
      <c r="U413" s="2028">
        <f t="shared" si="449"/>
        <v>0</v>
      </c>
      <c r="V413" s="1357"/>
      <c r="W413" s="1357"/>
      <c r="X413" s="1357"/>
      <c r="Y413" s="1357"/>
      <c r="AD413" s="2141">
        <f t="shared" si="424"/>
        <v>2.6</v>
      </c>
      <c r="AE413" s="2142" t="str">
        <f t="shared" si="479"/>
        <v/>
      </c>
      <c r="AG413" s="2118" t="s">
        <v>1816</v>
      </c>
    </row>
    <row r="414" spans="1:33" ht="28.5" hidden="1" outlineLevel="2" x14ac:dyDescent="0.2">
      <c r="A414" s="1360">
        <f>A413+1</f>
        <v>32</v>
      </c>
      <c r="B414" s="1372" t="s">
        <v>1514</v>
      </c>
      <c r="C414" s="1379" t="s">
        <v>1512</v>
      </c>
      <c r="D414" s="1358">
        <v>4</v>
      </c>
      <c r="E414" s="499" t="s">
        <v>462</v>
      </c>
      <c r="F414" s="2046" t="s">
        <v>303</v>
      </c>
      <c r="G414" s="1355">
        <v>6.282</v>
      </c>
      <c r="H414" s="1373"/>
      <c r="I414" s="1359">
        <f>IF(G414=0,0,IF(H414&gt;0,IF((G414*H414/K414)&lt;0.084,0.084,(G414*H414/K414)),0))</f>
        <v>0</v>
      </c>
      <c r="J414" s="1374" t="str">
        <f>CONCATENATE(TRUNC(I414,0),":",INT((I414-(TRUNC(I414,0)))*60),":","00")</f>
        <v>0:0:00</v>
      </c>
      <c r="K414" s="500">
        <v>1000</v>
      </c>
      <c r="L414" s="2009">
        <v>598.42999999999995</v>
      </c>
      <c r="M414" s="1375">
        <f>H414*L414/K414</f>
        <v>0</v>
      </c>
      <c r="N414" s="1376">
        <v>1</v>
      </c>
      <c r="O414" s="1377">
        <f>M414*N414</f>
        <v>0</v>
      </c>
      <c r="P414" s="1375">
        <f>(M414+O414)*0.15</f>
        <v>0</v>
      </c>
      <c r="Q414" s="1378">
        <f>M414+O414+P414</f>
        <v>0</v>
      </c>
      <c r="R414" s="1375">
        <f>Q414*$R$1</f>
        <v>0</v>
      </c>
      <c r="S414" s="1375">
        <f>(Q414+R414)*$S$1</f>
        <v>0</v>
      </c>
      <c r="T414" s="1375">
        <f>Q414+R414+S414</f>
        <v>0</v>
      </c>
      <c r="U414" s="2028">
        <f t="shared" ref="U414" si="480">IF(T414&gt;0,1,0)</f>
        <v>0</v>
      </c>
      <c r="V414" s="1357"/>
      <c r="W414" s="1357"/>
      <c r="X414" s="1357"/>
      <c r="Y414" s="1357"/>
      <c r="AD414" s="2141">
        <f t="shared" si="424"/>
        <v>2.6</v>
      </c>
      <c r="AE414" s="2142" t="str">
        <f t="shared" si="479"/>
        <v/>
      </c>
      <c r="AG414" s="2118" t="s">
        <v>1816</v>
      </c>
    </row>
    <row r="415" spans="1:33" ht="28.5" hidden="1" outlineLevel="2" x14ac:dyDescent="0.2">
      <c r="A415" s="1360">
        <f t="shared" ref="A415:A416" si="481">A414+1</f>
        <v>33</v>
      </c>
      <c r="B415" s="1372" t="s">
        <v>1515</v>
      </c>
      <c r="C415" s="1379" t="s">
        <v>1512</v>
      </c>
      <c r="D415" s="1358">
        <v>4</v>
      </c>
      <c r="E415" s="499" t="s">
        <v>462</v>
      </c>
      <c r="F415" s="2046" t="s">
        <v>303</v>
      </c>
      <c r="G415" s="1355">
        <v>0.68600000000000005</v>
      </c>
      <c r="H415" s="1373"/>
      <c r="I415" s="1359">
        <f>IF(G415=0,0,IF(H415&gt;0,IF((G415*H415/K415)&lt;0.084,0.084,(G415*H415/K415)),0))</f>
        <v>0</v>
      </c>
      <c r="J415" s="1374" t="str">
        <f>CONCATENATE(TRUNC(I415,0),":",INT((I415-(TRUNC(I415,0)))*60),":","00")</f>
        <v>0:0:00</v>
      </c>
      <c r="K415" s="500">
        <v>1</v>
      </c>
      <c r="L415" s="2009">
        <v>65.260000000000005</v>
      </c>
      <c r="M415" s="1375">
        <f>H415*L415/K415</f>
        <v>0</v>
      </c>
      <c r="N415" s="1376">
        <v>1</v>
      </c>
      <c r="O415" s="1377">
        <f>M415*N415</f>
        <v>0</v>
      </c>
      <c r="P415" s="1375">
        <f>(M415+O415)*0.15</f>
        <v>0</v>
      </c>
      <c r="Q415" s="1378">
        <f>M415+O415+P415</f>
        <v>0</v>
      </c>
      <c r="R415" s="1375">
        <f>Q415*$R$1</f>
        <v>0</v>
      </c>
      <c r="S415" s="1375">
        <f>(Q415+R415)*$S$1</f>
        <v>0</v>
      </c>
      <c r="T415" s="1375">
        <f>Q415+R415+S415</f>
        <v>0</v>
      </c>
      <c r="U415" s="2028">
        <f t="shared" ref="U415" si="482">IF(T415&gt;0,1,0)</f>
        <v>0</v>
      </c>
      <c r="V415" s="1357"/>
      <c r="W415" s="1357"/>
      <c r="X415" s="1357"/>
      <c r="Y415" s="1357"/>
      <c r="AD415" s="2141">
        <f t="shared" si="424"/>
        <v>2.6</v>
      </c>
      <c r="AE415" s="2142" t="str">
        <f t="shared" si="479"/>
        <v/>
      </c>
      <c r="AG415" s="2118" t="s">
        <v>1816</v>
      </c>
    </row>
    <row r="416" spans="1:33" ht="28.5" hidden="1" outlineLevel="2" x14ac:dyDescent="0.2">
      <c r="A416" s="1360">
        <f t="shared" si="481"/>
        <v>34</v>
      </c>
      <c r="B416" s="1372" t="s">
        <v>1516</v>
      </c>
      <c r="C416" s="1379" t="s">
        <v>1512</v>
      </c>
      <c r="D416" s="1358">
        <v>4</v>
      </c>
      <c r="E416" s="499" t="s">
        <v>462</v>
      </c>
      <c r="F416" s="2046" t="s">
        <v>303</v>
      </c>
      <c r="G416" s="1355">
        <v>1.41</v>
      </c>
      <c r="H416" s="1373"/>
      <c r="I416" s="1359">
        <f>IF(G416=0,0,IF(H416&gt;0,IF((G416*H416/K416)&lt;0.084,0.084,(G416*H416/K416)),0))</f>
        <v>0</v>
      </c>
      <c r="J416" s="1374" t="str">
        <f>CONCATENATE(TRUNC(I416,0),":",INT((I416-(TRUNC(I416,0)))*60),":","00")</f>
        <v>0:0:00</v>
      </c>
      <c r="K416" s="500">
        <v>1</v>
      </c>
      <c r="L416" s="2009">
        <v>134.19999999999999</v>
      </c>
      <c r="M416" s="1375">
        <f>H416*L416/K416</f>
        <v>0</v>
      </c>
      <c r="N416" s="1376">
        <v>1</v>
      </c>
      <c r="O416" s="1377">
        <f>M416*N416</f>
        <v>0</v>
      </c>
      <c r="P416" s="1375">
        <f>(M416+O416)*0.15</f>
        <v>0</v>
      </c>
      <c r="Q416" s="1378">
        <f>M416+O416+P416</f>
        <v>0</v>
      </c>
      <c r="R416" s="1375">
        <f>Q416*$R$1</f>
        <v>0</v>
      </c>
      <c r="S416" s="1375">
        <f>(Q416+R416)*$S$1</f>
        <v>0</v>
      </c>
      <c r="T416" s="1375">
        <f>Q416+R416+S416</f>
        <v>0</v>
      </c>
      <c r="U416" s="2028">
        <f t="shared" si="449"/>
        <v>0</v>
      </c>
      <c r="V416" s="1357"/>
      <c r="W416" s="1357"/>
      <c r="X416" s="1357"/>
      <c r="Y416" s="1357"/>
      <c r="AD416" s="2141">
        <f t="shared" si="424"/>
        <v>2.6</v>
      </c>
      <c r="AE416" s="2142" t="str">
        <f t="shared" si="479"/>
        <v/>
      </c>
      <c r="AG416" s="2118" t="s">
        <v>1816</v>
      </c>
    </row>
    <row r="417" spans="1:33" ht="15" hidden="1" outlineLevel="1" x14ac:dyDescent="0.2">
      <c r="A417" s="1360"/>
      <c r="B417" s="1366" t="s">
        <v>471</v>
      </c>
      <c r="C417" s="522"/>
      <c r="D417" s="2152"/>
      <c r="E417" s="523" t="s">
        <v>218</v>
      </c>
      <c r="F417" s="2164"/>
      <c r="G417" s="2178"/>
      <c r="H417" s="1367"/>
      <c r="I417" s="2043">
        <f>SUM(I418:I421)</f>
        <v>0</v>
      </c>
      <c r="J417" s="524"/>
      <c r="K417" s="524"/>
      <c r="L417" s="526"/>
      <c r="M417" s="1368"/>
      <c r="N417" s="524"/>
      <c r="O417" s="1369"/>
      <c r="P417" s="1368"/>
      <c r="Q417" s="1370"/>
      <c r="R417" s="1368"/>
      <c r="S417" s="1371">
        <f>SUM(T418:T421)</f>
        <v>0</v>
      </c>
      <c r="T417" s="1370"/>
      <c r="U417" s="2028">
        <f t="shared" si="449"/>
        <v>0</v>
      </c>
      <c r="V417" s="1357"/>
      <c r="W417" s="1357"/>
      <c r="X417" s="1357"/>
      <c r="Y417" s="1357"/>
      <c r="AD417" s="2141" t="str">
        <f t="shared" si="424"/>
        <v/>
      </c>
      <c r="AE417" s="2142" t="str">
        <f t="shared" si="479"/>
        <v/>
      </c>
      <c r="AG417" s="2118" t="s">
        <v>1816</v>
      </c>
    </row>
    <row r="418" spans="1:33" ht="28.5" hidden="1" outlineLevel="2" x14ac:dyDescent="0.2">
      <c r="A418" s="1360">
        <f>A416+1</f>
        <v>35</v>
      </c>
      <c r="B418" s="1372" t="s">
        <v>1517</v>
      </c>
      <c r="C418" s="1379" t="s">
        <v>1518</v>
      </c>
      <c r="D418" s="1358">
        <v>4</v>
      </c>
      <c r="E418" s="499" t="s">
        <v>462</v>
      </c>
      <c r="F418" s="2046" t="s">
        <v>303</v>
      </c>
      <c r="G418" s="1355">
        <v>7.9080000000000004</v>
      </c>
      <c r="H418" s="1373"/>
      <c r="I418" s="1359">
        <f>IF(G418=0,0,IF(H418&gt;0,IF((G418*H418/K418)&lt;0.084,0.084,(G418*H418/K418)),0))</f>
        <v>0</v>
      </c>
      <c r="J418" s="1374" t="str">
        <f>CONCATENATE(TRUNC(I418,0),":",INT((I418-(TRUNC(I418,0)))*60),":","00")</f>
        <v>0:0:00</v>
      </c>
      <c r="K418" s="500">
        <v>1000</v>
      </c>
      <c r="L418" s="2009">
        <v>755.16</v>
      </c>
      <c r="M418" s="1375">
        <f>H418*L418/K418</f>
        <v>0</v>
      </c>
      <c r="N418" s="1376">
        <v>1</v>
      </c>
      <c r="O418" s="1377">
        <f>M418*N418</f>
        <v>0</v>
      </c>
      <c r="P418" s="1375">
        <f>(M418+O418)*0.15</f>
        <v>0</v>
      </c>
      <c r="Q418" s="1378">
        <f>M418+O418+P418</f>
        <v>0</v>
      </c>
      <c r="R418" s="1375">
        <f>Q418*$R$1</f>
        <v>0</v>
      </c>
      <c r="S418" s="1375">
        <f>(Q418+R418)*$S$1</f>
        <v>0</v>
      </c>
      <c r="T418" s="1375">
        <f>Q418+R418+S418</f>
        <v>0</v>
      </c>
      <c r="U418" s="2028">
        <f t="shared" si="449"/>
        <v>0</v>
      </c>
      <c r="V418" s="1357"/>
      <c r="W418" s="1357"/>
      <c r="X418" s="1357"/>
      <c r="Y418" s="1357"/>
      <c r="AD418" s="2141">
        <f t="shared" si="424"/>
        <v>2.6</v>
      </c>
      <c r="AE418" s="2142" t="str">
        <f t="shared" si="479"/>
        <v/>
      </c>
      <c r="AG418" s="2118" t="s">
        <v>1816</v>
      </c>
    </row>
    <row r="419" spans="1:33" ht="28.5" hidden="1" outlineLevel="2" x14ac:dyDescent="0.2">
      <c r="A419" s="1360">
        <f>A418+1</f>
        <v>36</v>
      </c>
      <c r="B419" s="1372" t="s">
        <v>1519</v>
      </c>
      <c r="C419" s="1379" t="s">
        <v>1518</v>
      </c>
      <c r="D419" s="1358">
        <v>4</v>
      </c>
      <c r="E419" s="499" t="s">
        <v>462</v>
      </c>
      <c r="F419" s="2046" t="s">
        <v>303</v>
      </c>
      <c r="G419" s="1355">
        <v>8.375</v>
      </c>
      <c r="H419" s="1373"/>
      <c r="I419" s="1359">
        <f>IF(G419=0,0,IF(H419&gt;0,IF((G419*H419/K419)&lt;0.084,0.084,(G419*H419/K419)),0))</f>
        <v>0</v>
      </c>
      <c r="J419" s="1374" t="str">
        <f>CONCATENATE(TRUNC(I419,0),":",INT((I419-(TRUNC(I419,0)))*60),":","00")</f>
        <v>0:0:00</v>
      </c>
      <c r="K419" s="500">
        <v>1000</v>
      </c>
      <c r="L419" s="2009">
        <v>799.58</v>
      </c>
      <c r="M419" s="1375">
        <f>H419*L419/K419</f>
        <v>0</v>
      </c>
      <c r="N419" s="1376">
        <v>1</v>
      </c>
      <c r="O419" s="1377">
        <f>M419*N419</f>
        <v>0</v>
      </c>
      <c r="P419" s="1375">
        <f>(M419+O419)*0.15</f>
        <v>0</v>
      </c>
      <c r="Q419" s="1378">
        <f>M419+O419+P419</f>
        <v>0</v>
      </c>
      <c r="R419" s="1375">
        <f>Q419*$R$1</f>
        <v>0</v>
      </c>
      <c r="S419" s="1375">
        <f>(Q419+R419)*$S$1</f>
        <v>0</v>
      </c>
      <c r="T419" s="1375">
        <f>Q419+R419+S419</f>
        <v>0</v>
      </c>
      <c r="U419" s="2028">
        <f t="shared" si="449"/>
        <v>0</v>
      </c>
      <c r="V419" s="1357"/>
      <c r="W419" s="1357"/>
      <c r="X419" s="1357"/>
      <c r="Y419" s="1357"/>
      <c r="AD419" s="2141">
        <f t="shared" si="424"/>
        <v>2.6</v>
      </c>
      <c r="AE419" s="2142" t="str">
        <f t="shared" si="479"/>
        <v/>
      </c>
      <c r="AG419" s="2118" t="s">
        <v>1816</v>
      </c>
    </row>
    <row r="420" spans="1:33" ht="14.25" hidden="1" outlineLevel="2" x14ac:dyDescent="0.2">
      <c r="A420" s="1360">
        <f t="shared" ref="A420:A421" si="483">A419+1</f>
        <v>37</v>
      </c>
      <c r="B420" s="1372" t="s">
        <v>1520</v>
      </c>
      <c r="C420" s="1379" t="s">
        <v>1518</v>
      </c>
      <c r="D420" s="1358">
        <v>4</v>
      </c>
      <c r="E420" s="499" t="s">
        <v>462</v>
      </c>
      <c r="F420" s="2046" t="s">
        <v>303</v>
      </c>
      <c r="G420" s="1355">
        <v>0.42299999999999999</v>
      </c>
      <c r="H420" s="1373"/>
      <c r="I420" s="1359">
        <f>IF(G420=0,0,IF(H420&gt;0,IF((G420*H420/K420)&lt;0.084,0.084,(G420*H420/K420)),0))</f>
        <v>0</v>
      </c>
      <c r="J420" s="1374" t="str">
        <f>CONCATENATE(TRUNC(I420,0),":",INT((I420-(TRUNC(I420,0)))*60),":","00")</f>
        <v>0:0:00</v>
      </c>
      <c r="K420" s="500">
        <v>1</v>
      </c>
      <c r="L420" s="2009">
        <v>40.25</v>
      </c>
      <c r="M420" s="1375">
        <f>H420*L420/K420</f>
        <v>0</v>
      </c>
      <c r="N420" s="1376">
        <v>1</v>
      </c>
      <c r="O420" s="1377">
        <f>M420*N420</f>
        <v>0</v>
      </c>
      <c r="P420" s="1375">
        <f>(M420+O420)*0.15</f>
        <v>0</v>
      </c>
      <c r="Q420" s="1378">
        <f>M420+O420+P420</f>
        <v>0</v>
      </c>
      <c r="R420" s="1375">
        <f>Q420*$R$1</f>
        <v>0</v>
      </c>
      <c r="S420" s="1375">
        <f>(Q420+R420)*$S$1</f>
        <v>0</v>
      </c>
      <c r="T420" s="1375">
        <f>Q420+R420+S420</f>
        <v>0</v>
      </c>
      <c r="U420" s="2028">
        <f t="shared" si="449"/>
        <v>0</v>
      </c>
      <c r="V420" s="1357"/>
      <c r="W420" s="1357"/>
      <c r="X420" s="1357"/>
      <c r="Y420" s="1357"/>
      <c r="AD420" s="2141">
        <f t="shared" si="424"/>
        <v>2.6</v>
      </c>
      <c r="AE420" s="2142" t="str">
        <f t="shared" si="479"/>
        <v/>
      </c>
      <c r="AG420" s="2118" t="s">
        <v>1816</v>
      </c>
    </row>
    <row r="421" spans="1:33" ht="28.5" hidden="1" outlineLevel="2" x14ac:dyDescent="0.2">
      <c r="A421" s="1360">
        <f t="shared" si="483"/>
        <v>38</v>
      </c>
      <c r="B421" s="1372" t="s">
        <v>1521</v>
      </c>
      <c r="C421" s="1379" t="s">
        <v>1518</v>
      </c>
      <c r="D421" s="1358">
        <v>4</v>
      </c>
      <c r="E421" s="499" t="s">
        <v>462</v>
      </c>
      <c r="F421" s="2046" t="s">
        <v>303</v>
      </c>
      <c r="G421" s="1355">
        <v>0.78100000000000003</v>
      </c>
      <c r="H421" s="1373"/>
      <c r="I421" s="1359">
        <f>IF(G421=0,0,IF(H421&gt;0,IF((G421*H421/K421)&lt;0.084,0.084,(G421*H421/K421)),0))</f>
        <v>0</v>
      </c>
      <c r="J421" s="1374" t="str">
        <f>CONCATENATE(TRUNC(I421,0),":",INT((I421-(TRUNC(I421,0)))*60),":","00")</f>
        <v>0:0:00</v>
      </c>
      <c r="K421" s="500">
        <v>1</v>
      </c>
      <c r="L421" s="2009">
        <v>74.34</v>
      </c>
      <c r="M421" s="1375">
        <f>H421*L421/K421</f>
        <v>0</v>
      </c>
      <c r="N421" s="1376">
        <v>1</v>
      </c>
      <c r="O421" s="1377">
        <f>M421*N421</f>
        <v>0</v>
      </c>
      <c r="P421" s="1375">
        <f>(M421+O421)*0.15</f>
        <v>0</v>
      </c>
      <c r="Q421" s="1378">
        <f>M421+O421+P421</f>
        <v>0</v>
      </c>
      <c r="R421" s="1375">
        <f>Q421*$R$1</f>
        <v>0</v>
      </c>
      <c r="S421" s="1375">
        <f>(Q421+R421)*$S$1</f>
        <v>0</v>
      </c>
      <c r="T421" s="1375">
        <f>Q421+R421+S421</f>
        <v>0</v>
      </c>
      <c r="U421" s="2028">
        <f t="shared" si="449"/>
        <v>0</v>
      </c>
      <c r="V421" s="1357"/>
      <c r="W421" s="1357"/>
      <c r="X421" s="1357"/>
      <c r="Y421" s="1357"/>
      <c r="AD421" s="2141">
        <f t="shared" si="424"/>
        <v>2.6</v>
      </c>
      <c r="AE421" s="2142" t="str">
        <f t="shared" si="479"/>
        <v/>
      </c>
      <c r="AG421" s="2118" t="s">
        <v>1816</v>
      </c>
    </row>
    <row r="422" spans="1:33" ht="15" hidden="1" outlineLevel="1" x14ac:dyDescent="0.2">
      <c r="A422" s="1360"/>
      <c r="B422" s="1366" t="s">
        <v>473</v>
      </c>
      <c r="C422" s="522"/>
      <c r="D422" s="2152"/>
      <c r="E422" s="523" t="s">
        <v>218</v>
      </c>
      <c r="F422" s="2164"/>
      <c r="G422" s="2178"/>
      <c r="H422" s="1367"/>
      <c r="I422" s="2043">
        <f>I423</f>
        <v>0</v>
      </c>
      <c r="J422" s="524"/>
      <c r="K422" s="524"/>
      <c r="L422" s="526"/>
      <c r="M422" s="1368"/>
      <c r="N422" s="524"/>
      <c r="O422" s="1369"/>
      <c r="P422" s="1368"/>
      <c r="Q422" s="1370"/>
      <c r="R422" s="1368"/>
      <c r="S422" s="1371">
        <f>SUM(T423)</f>
        <v>0</v>
      </c>
      <c r="T422" s="1370"/>
      <c r="U422" s="2028">
        <f t="shared" si="449"/>
        <v>0</v>
      </c>
      <c r="V422" s="1357"/>
      <c r="W422" s="1357"/>
      <c r="X422" s="1357"/>
      <c r="Y422" s="1357"/>
      <c r="AD422" s="2141" t="str">
        <f t="shared" si="424"/>
        <v/>
      </c>
      <c r="AE422" s="2142" t="str">
        <f t="shared" si="479"/>
        <v/>
      </c>
      <c r="AG422" s="2118" t="s">
        <v>1816</v>
      </c>
    </row>
    <row r="423" spans="1:33" ht="14.25" hidden="1" outlineLevel="2" x14ac:dyDescent="0.2">
      <c r="A423" s="1360">
        <f>A421+1</f>
        <v>39</v>
      </c>
      <c r="B423" s="1372" t="s">
        <v>1522</v>
      </c>
      <c r="C423" s="1379" t="s">
        <v>240</v>
      </c>
      <c r="D423" s="1358">
        <v>3</v>
      </c>
      <c r="E423" s="499" t="s">
        <v>465</v>
      </c>
      <c r="F423" s="2046" t="s">
        <v>303</v>
      </c>
      <c r="G423" s="1355">
        <v>0.158</v>
      </c>
      <c r="H423" s="1373"/>
      <c r="I423" s="1359">
        <f>IF(G423=0,0,IF(H423&gt;0,IF((G423*H423/K423)&lt;0.084,0.084,(G423*H423/K423)),0))</f>
        <v>0</v>
      </c>
      <c r="J423" s="1374" t="str">
        <f>CONCATENATE(TRUNC(I423,0),":",INT((I423-(TRUNC(I423,0)))*60),":","00")</f>
        <v>0:0:00</v>
      </c>
      <c r="K423" s="500">
        <v>1000</v>
      </c>
      <c r="L423" s="2009">
        <v>11.99</v>
      </c>
      <c r="M423" s="1375">
        <f>H423*L423/K423</f>
        <v>0</v>
      </c>
      <c r="N423" s="1376">
        <v>1</v>
      </c>
      <c r="O423" s="1377">
        <f>M423*N423</f>
        <v>0</v>
      </c>
      <c r="P423" s="1375">
        <f>(M423+O423)*0.15</f>
        <v>0</v>
      </c>
      <c r="Q423" s="1378">
        <f>M423+O423+P423</f>
        <v>0</v>
      </c>
      <c r="R423" s="1375">
        <f>Q423*$R$1</f>
        <v>0</v>
      </c>
      <c r="S423" s="1375">
        <f>(Q423+R423)*$S$1</f>
        <v>0</v>
      </c>
      <c r="T423" s="1375">
        <f>Q423+R423+S423</f>
        <v>0</v>
      </c>
      <c r="U423" s="2028">
        <f t="shared" si="449"/>
        <v>0</v>
      </c>
      <c r="V423" s="1357"/>
      <c r="W423" s="1357"/>
      <c r="X423" s="1357"/>
      <c r="Y423" s="1357"/>
      <c r="AD423" s="2141">
        <f t="shared" si="424"/>
        <v>2.6</v>
      </c>
      <c r="AE423" s="2142" t="str">
        <f t="shared" si="479"/>
        <v/>
      </c>
      <c r="AG423" s="2118" t="s">
        <v>1816</v>
      </c>
    </row>
    <row r="424" spans="1:33" ht="15" hidden="1" outlineLevel="1" x14ac:dyDescent="0.2">
      <c r="A424" s="1360"/>
      <c r="B424" s="1366" t="s">
        <v>775</v>
      </c>
      <c r="C424" s="522"/>
      <c r="D424" s="2152"/>
      <c r="E424" s="523" t="s">
        <v>218</v>
      </c>
      <c r="F424" s="2164"/>
      <c r="G424" s="2178"/>
      <c r="H424" s="1367"/>
      <c r="I424" s="2043">
        <f>SUM(I425:I427)</f>
        <v>0</v>
      </c>
      <c r="J424" s="524"/>
      <c r="K424" s="524"/>
      <c r="L424" s="526"/>
      <c r="M424" s="1368"/>
      <c r="N424" s="524"/>
      <c r="O424" s="1369"/>
      <c r="P424" s="1368"/>
      <c r="Q424" s="1370"/>
      <c r="R424" s="1368"/>
      <c r="S424" s="1371">
        <f>SUM(T425:T427)</f>
        <v>0</v>
      </c>
      <c r="T424" s="1370"/>
      <c r="U424" s="2028">
        <f t="shared" si="449"/>
        <v>0</v>
      </c>
      <c r="V424" s="1357"/>
      <c r="W424" s="1357"/>
      <c r="X424" s="1357"/>
      <c r="Y424" s="1357"/>
      <c r="AD424" s="2141" t="str">
        <f t="shared" si="424"/>
        <v/>
      </c>
      <c r="AE424" s="2142" t="str">
        <f t="shared" si="479"/>
        <v/>
      </c>
      <c r="AG424" s="2118" t="s">
        <v>1816</v>
      </c>
    </row>
    <row r="425" spans="1:33" ht="28.5" hidden="1" outlineLevel="2" x14ac:dyDescent="0.2">
      <c r="A425" s="1360">
        <f>A423+1</f>
        <v>40</v>
      </c>
      <c r="B425" s="1372" t="s">
        <v>1523</v>
      </c>
      <c r="C425" s="532" t="s">
        <v>776</v>
      </c>
      <c r="D425" s="1358">
        <v>3</v>
      </c>
      <c r="E425" s="499" t="s">
        <v>465</v>
      </c>
      <c r="F425" s="2024" t="s">
        <v>303</v>
      </c>
      <c r="G425" s="1355">
        <v>7.0709999999999997</v>
      </c>
      <c r="H425" s="1381"/>
      <c r="I425" s="1359">
        <f>IF(G425=0,0,IF(H425&gt;0,IF((G425*H425/K425)&lt;0.084,0.084,(G425*H425/K425)),0))</f>
        <v>0</v>
      </c>
      <c r="J425" s="1374" t="str">
        <f>CONCATENATE(TRUNC(I425,0),":",INT((I425-(TRUNC(I425,0)))*60),":","00")</f>
        <v>0:0:00</v>
      </c>
      <c r="K425" s="500">
        <v>1000</v>
      </c>
      <c r="L425" s="2009">
        <v>538.29999999999995</v>
      </c>
      <c r="M425" s="1375">
        <f>H425*L425/K425</f>
        <v>0</v>
      </c>
      <c r="N425" s="1376">
        <v>1</v>
      </c>
      <c r="O425" s="1377">
        <f>M425*N425</f>
        <v>0</v>
      </c>
      <c r="P425" s="1375">
        <f>(M425+O425)*0.15</f>
        <v>0</v>
      </c>
      <c r="Q425" s="1378">
        <f>M425+O425+P425</f>
        <v>0</v>
      </c>
      <c r="R425" s="1375">
        <f>Q425*$R$1</f>
        <v>0</v>
      </c>
      <c r="S425" s="1375">
        <f>(Q425+R425)*$S$1</f>
        <v>0</v>
      </c>
      <c r="T425" s="1375">
        <f>Q425+R425+S425</f>
        <v>0</v>
      </c>
      <c r="U425" s="2028">
        <f t="shared" si="449"/>
        <v>0</v>
      </c>
      <c r="V425" s="1357"/>
      <c r="W425" s="1357"/>
      <c r="X425" s="1357"/>
      <c r="Y425" s="1357"/>
      <c r="AD425" s="2141">
        <f t="shared" si="424"/>
        <v>2.6</v>
      </c>
      <c r="AE425" s="2142" t="str">
        <f t="shared" si="479"/>
        <v/>
      </c>
      <c r="AG425" s="2118" t="s">
        <v>1816</v>
      </c>
    </row>
    <row r="426" spans="1:33" ht="27.75" hidden="1" customHeight="1" outlineLevel="2" x14ac:dyDescent="0.2">
      <c r="A426" s="1360">
        <f>A425+1</f>
        <v>41</v>
      </c>
      <c r="B426" s="1372" t="s">
        <v>1524</v>
      </c>
      <c r="C426" s="532" t="s">
        <v>776</v>
      </c>
      <c r="D426" s="1358">
        <v>3</v>
      </c>
      <c r="E426" s="499" t="s">
        <v>465</v>
      </c>
      <c r="F426" s="1382" t="s">
        <v>344</v>
      </c>
      <c r="G426" s="1383">
        <v>0.47299999999999998</v>
      </c>
      <c r="H426" s="1381"/>
      <c r="I426" s="1359">
        <f>IF(G426=0,0,IF(H426&gt;0,IF((G426*H426/K426)&lt;0.084,0.084,(G426*H426/K426)),0))</f>
        <v>0</v>
      </c>
      <c r="J426" s="1374" t="str">
        <f>CONCATENATE(TRUNC(I426,0),":",INT((I426-(TRUNC(I426,0)))*60),":","00")</f>
        <v>0:0:00</v>
      </c>
      <c r="K426" s="500">
        <v>1000</v>
      </c>
      <c r="L426" s="2009">
        <v>35.9</v>
      </c>
      <c r="M426" s="1375">
        <f>H426*L426/K426</f>
        <v>0</v>
      </c>
      <c r="N426" s="1376">
        <v>1</v>
      </c>
      <c r="O426" s="1377">
        <f>M426*N426</f>
        <v>0</v>
      </c>
      <c r="P426" s="1375">
        <f>(M426+O426)*0.15</f>
        <v>0</v>
      </c>
      <c r="Q426" s="1378">
        <f>M426+O426+P426</f>
        <v>0</v>
      </c>
      <c r="R426" s="1375">
        <f>Q426*$R$1</f>
        <v>0</v>
      </c>
      <c r="S426" s="1375">
        <f>(Q426+R426)*$S$1</f>
        <v>0</v>
      </c>
      <c r="T426" s="1375">
        <f>Q426+R426+S426</f>
        <v>0</v>
      </c>
      <c r="U426" s="2028">
        <f t="shared" si="449"/>
        <v>0</v>
      </c>
      <c r="V426" s="1357"/>
      <c r="W426" s="1357"/>
      <c r="X426" s="1357"/>
      <c r="Y426" s="1357"/>
      <c r="AD426" s="2141">
        <f t="shared" si="424"/>
        <v>2.6</v>
      </c>
      <c r="AE426" s="2142" t="str">
        <f t="shared" si="479"/>
        <v/>
      </c>
      <c r="AG426" s="2118" t="s">
        <v>1816</v>
      </c>
    </row>
    <row r="427" spans="1:33" ht="28.5" hidden="1" customHeight="1" outlineLevel="2" x14ac:dyDescent="0.2">
      <c r="A427" s="1360">
        <f>A426+1</f>
        <v>42</v>
      </c>
      <c r="B427" s="1372" t="s">
        <v>1525</v>
      </c>
      <c r="C427" s="532" t="s">
        <v>776</v>
      </c>
      <c r="D427" s="1358">
        <v>3</v>
      </c>
      <c r="E427" s="499" t="s">
        <v>465</v>
      </c>
      <c r="F427" s="1382" t="s">
        <v>344</v>
      </c>
      <c r="G427" s="1383">
        <v>0.32600000000000001</v>
      </c>
      <c r="H427" s="1373"/>
      <c r="I427" s="1359">
        <f>IF(G427=0,0,IF(H427&gt;0,IF((G427*H427/K427)&lt;0.084,0.084,(G427*H427/K427)),0))</f>
        <v>0</v>
      </c>
      <c r="J427" s="1374" t="str">
        <f>CONCATENATE(TRUNC(I427,0),":",INT((I427-(TRUNC(I427,0)))*60),":","00")</f>
        <v>0:0:00</v>
      </c>
      <c r="K427" s="500">
        <v>1000</v>
      </c>
      <c r="L427" s="2009">
        <v>24.75</v>
      </c>
      <c r="M427" s="1375">
        <f>H427*L427/K427</f>
        <v>0</v>
      </c>
      <c r="N427" s="1376">
        <v>1</v>
      </c>
      <c r="O427" s="1377">
        <f>M427*N427</f>
        <v>0</v>
      </c>
      <c r="P427" s="1375">
        <f>(M427+O427)*0.15</f>
        <v>0</v>
      </c>
      <c r="Q427" s="1378">
        <f>M427+O427+P427</f>
        <v>0</v>
      </c>
      <c r="R427" s="1375">
        <f>Q427*$R$1</f>
        <v>0</v>
      </c>
      <c r="S427" s="1375">
        <f>(Q427+R427)*$S$1</f>
        <v>0</v>
      </c>
      <c r="T427" s="1375">
        <f>Q427+R427+S427</f>
        <v>0</v>
      </c>
      <c r="U427" s="2028">
        <f t="shared" si="449"/>
        <v>0</v>
      </c>
      <c r="V427" s="1357"/>
      <c r="W427" s="1357"/>
      <c r="X427" s="1357"/>
      <c r="Y427" s="1357"/>
      <c r="AD427" s="2141">
        <f t="shared" si="424"/>
        <v>2.6</v>
      </c>
      <c r="AE427" s="2142" t="str">
        <f t="shared" si="479"/>
        <v/>
      </c>
      <c r="AG427" s="2118" t="s">
        <v>1816</v>
      </c>
    </row>
    <row r="428" spans="1:33" ht="15" hidden="1" outlineLevel="1" x14ac:dyDescent="0.2">
      <c r="A428" s="1360"/>
      <c r="B428" s="1366" t="s">
        <v>1103</v>
      </c>
      <c r="C428" s="522"/>
      <c r="D428" s="2152"/>
      <c r="E428" s="523" t="s">
        <v>218</v>
      </c>
      <c r="F428" s="2164"/>
      <c r="G428" s="2178"/>
      <c r="H428" s="1367"/>
      <c r="I428" s="2043">
        <f>I429</f>
        <v>0</v>
      </c>
      <c r="J428" s="524"/>
      <c r="K428" s="524"/>
      <c r="L428" s="526"/>
      <c r="M428" s="1368"/>
      <c r="N428" s="524"/>
      <c r="O428" s="1369"/>
      <c r="P428" s="1368"/>
      <c r="Q428" s="1370"/>
      <c r="R428" s="1368"/>
      <c r="S428" s="1371">
        <f>SUM(T429)</f>
        <v>0</v>
      </c>
      <c r="T428" s="1370"/>
      <c r="U428" s="2028">
        <f t="shared" si="449"/>
        <v>0</v>
      </c>
      <c r="V428" s="1357"/>
      <c r="W428" s="1357"/>
      <c r="X428" s="1357"/>
      <c r="Y428" s="1357"/>
      <c r="AD428" s="2141" t="str">
        <f t="shared" si="424"/>
        <v/>
      </c>
      <c r="AE428" s="2142" t="str">
        <f t="shared" si="479"/>
        <v/>
      </c>
      <c r="AG428" s="2118" t="s">
        <v>1816</v>
      </c>
    </row>
    <row r="429" spans="1:33" ht="28.5" hidden="1" outlineLevel="2" x14ac:dyDescent="0.2">
      <c r="A429" s="1360">
        <f>A427+1</f>
        <v>43</v>
      </c>
      <c r="B429" s="1372" t="s">
        <v>1526</v>
      </c>
      <c r="C429" s="1379" t="s">
        <v>1527</v>
      </c>
      <c r="D429" s="1358">
        <v>3</v>
      </c>
      <c r="E429" s="499" t="s">
        <v>465</v>
      </c>
      <c r="F429" s="2024" t="s">
        <v>303</v>
      </c>
      <c r="G429" s="1355">
        <v>0.81799999999999995</v>
      </c>
      <c r="H429" s="1373"/>
      <c r="I429" s="1359">
        <f>IF(G429=0,0,IF(H429&gt;0,IF((G429*H429/K429)&lt;0.084,0.084,(G429*H429/K429)),0))</f>
        <v>0</v>
      </c>
      <c r="J429" s="1374" t="str">
        <f>CONCATENATE(TRUNC(I429,0),":",INT((I429-(TRUNC(I429,0)))*60),":","00")</f>
        <v>0:0:00</v>
      </c>
      <c r="K429" s="500">
        <v>1000</v>
      </c>
      <c r="L429" s="2009">
        <v>62.11</v>
      </c>
      <c r="M429" s="1375">
        <f>H429*L429/K429</f>
        <v>0</v>
      </c>
      <c r="N429" s="1376">
        <v>1</v>
      </c>
      <c r="O429" s="1377">
        <f>M429*N429</f>
        <v>0</v>
      </c>
      <c r="P429" s="1375">
        <f>(M429+O429)*0.15</f>
        <v>0</v>
      </c>
      <c r="Q429" s="1378">
        <f>M429+O429+P429</f>
        <v>0</v>
      </c>
      <c r="R429" s="1375">
        <f>Q429*$R$1</f>
        <v>0</v>
      </c>
      <c r="S429" s="1375">
        <f>(Q429+R429)*$S$1</f>
        <v>0</v>
      </c>
      <c r="T429" s="1375">
        <f>Q429+R429+S429</f>
        <v>0</v>
      </c>
      <c r="U429" s="2028">
        <f t="shared" si="449"/>
        <v>0</v>
      </c>
      <c r="V429" s="1357"/>
      <c r="W429" s="1357"/>
      <c r="X429" s="1357"/>
      <c r="Y429" s="1357"/>
      <c r="AD429" s="2141">
        <f t="shared" si="424"/>
        <v>2.6</v>
      </c>
      <c r="AE429" s="2142" t="str">
        <f t="shared" si="479"/>
        <v/>
      </c>
      <c r="AG429" s="2118" t="s">
        <v>1816</v>
      </c>
    </row>
    <row r="430" spans="1:33" ht="15" hidden="1" outlineLevel="1" x14ac:dyDescent="0.2">
      <c r="A430" s="1360"/>
      <c r="B430" s="1366" t="s">
        <v>1034</v>
      </c>
      <c r="C430" s="522"/>
      <c r="D430" s="2152"/>
      <c r="E430" s="523" t="s">
        <v>218</v>
      </c>
      <c r="F430" s="2164"/>
      <c r="G430" s="2178"/>
      <c r="H430" s="1367"/>
      <c r="I430" s="2043">
        <f>SUM(I431:I438)</f>
        <v>0</v>
      </c>
      <c r="J430" s="524"/>
      <c r="K430" s="524"/>
      <c r="L430" s="526"/>
      <c r="M430" s="1368"/>
      <c r="N430" s="524"/>
      <c r="O430" s="1369"/>
      <c r="P430" s="1368"/>
      <c r="Q430" s="1370"/>
      <c r="R430" s="1368"/>
      <c r="S430" s="1371">
        <f>SUM(T431:T438)</f>
        <v>0</v>
      </c>
      <c r="T430" s="1370"/>
      <c r="U430" s="2028">
        <f t="shared" si="449"/>
        <v>0</v>
      </c>
      <c r="V430" s="1357"/>
      <c r="W430" s="1357"/>
      <c r="X430" s="1357"/>
      <c r="Y430" s="1357"/>
      <c r="AD430" s="2141" t="str">
        <f t="shared" si="424"/>
        <v/>
      </c>
      <c r="AE430" s="2142" t="str">
        <f t="shared" si="479"/>
        <v/>
      </c>
      <c r="AG430" s="2118" t="s">
        <v>1816</v>
      </c>
    </row>
    <row r="431" spans="1:33" ht="14.25" hidden="1" outlineLevel="2" x14ac:dyDescent="0.2">
      <c r="A431" s="1360">
        <f>A429+1</f>
        <v>44</v>
      </c>
      <c r="B431" s="1372" t="s">
        <v>1528</v>
      </c>
      <c r="C431" s="1379" t="s">
        <v>1035</v>
      </c>
      <c r="D431" s="1382">
        <v>4</v>
      </c>
      <c r="E431" s="499" t="s">
        <v>462</v>
      </c>
      <c r="F431" s="1382" t="s">
        <v>344</v>
      </c>
      <c r="G431" s="1353">
        <v>2.6949999999999998</v>
      </c>
      <c r="H431" s="1373"/>
      <c r="I431" s="1359">
        <f t="shared" ref="I431:I438" si="484">IF(G431=0,0,IF(H431&gt;0,IF((G431*H431/K431)&lt;0.084,0.084,(G431*H431/K431)),0))</f>
        <v>0</v>
      </c>
      <c r="J431" s="1374" t="str">
        <f t="shared" ref="J431:J438" si="485">CONCATENATE(TRUNC(I431,0),":",INT((I431-(TRUNC(I431,0)))*60),":","00")</f>
        <v>0:0:00</v>
      </c>
      <c r="K431" s="500">
        <v>1000</v>
      </c>
      <c r="L431" s="2009">
        <v>256.47000000000003</v>
      </c>
      <c r="M431" s="1375">
        <f t="shared" ref="M431:M438" si="486">H431*L431/K431</f>
        <v>0</v>
      </c>
      <c r="N431" s="1376">
        <v>1</v>
      </c>
      <c r="O431" s="1377">
        <f t="shared" ref="O431:O438" si="487">M431*N431</f>
        <v>0</v>
      </c>
      <c r="P431" s="1375">
        <f t="shared" ref="P431:P438" si="488">(M431+O431)*0.15</f>
        <v>0</v>
      </c>
      <c r="Q431" s="1378">
        <f t="shared" ref="Q431:Q438" si="489">M431+O431+P431</f>
        <v>0</v>
      </c>
      <c r="R431" s="1375">
        <f t="shared" ref="R431:R438" si="490">Q431*$R$1</f>
        <v>0</v>
      </c>
      <c r="S431" s="1375">
        <f t="shared" ref="S431:S438" si="491">(Q431+R431)*$S$1</f>
        <v>0</v>
      </c>
      <c r="T431" s="1375">
        <f t="shared" ref="T431:T438" si="492">Q431+R431+S431</f>
        <v>0</v>
      </c>
      <c r="U431" s="2028">
        <f t="shared" si="449"/>
        <v>0</v>
      </c>
      <c r="V431" s="1357" t="str">
        <f>IF(H431&lt;&gt;"",A431,"")</f>
        <v/>
      </c>
      <c r="W431" s="1357"/>
      <c r="X431" s="1357"/>
      <c r="Y431" s="1357"/>
      <c r="AD431" s="2141">
        <f t="shared" si="424"/>
        <v>2.6</v>
      </c>
      <c r="AE431" s="2142" t="str">
        <f t="shared" si="479"/>
        <v/>
      </c>
      <c r="AG431" s="2118" t="s">
        <v>1816</v>
      </c>
    </row>
    <row r="432" spans="1:33" ht="14.25" hidden="1" outlineLevel="2" x14ac:dyDescent="0.2">
      <c r="A432" s="1360">
        <f>A431+1</f>
        <v>45</v>
      </c>
      <c r="B432" s="1372" t="s">
        <v>1529</v>
      </c>
      <c r="C432" s="1379" t="s">
        <v>1036</v>
      </c>
      <c r="D432" s="1382">
        <v>4</v>
      </c>
      <c r="E432" s="499" t="s">
        <v>462</v>
      </c>
      <c r="F432" s="1382" t="s">
        <v>344</v>
      </c>
      <c r="G432" s="1353">
        <v>2.4</v>
      </c>
      <c r="H432" s="1373"/>
      <c r="I432" s="1359">
        <f t="shared" si="484"/>
        <v>0</v>
      </c>
      <c r="J432" s="1374" t="str">
        <f t="shared" si="485"/>
        <v>0:0:00</v>
      </c>
      <c r="K432" s="500">
        <v>1000</v>
      </c>
      <c r="L432" s="2009">
        <v>228.18</v>
      </c>
      <c r="M432" s="1375">
        <f t="shared" si="486"/>
        <v>0</v>
      </c>
      <c r="N432" s="1376">
        <v>1</v>
      </c>
      <c r="O432" s="1377">
        <f t="shared" si="487"/>
        <v>0</v>
      </c>
      <c r="P432" s="1375">
        <f t="shared" si="488"/>
        <v>0</v>
      </c>
      <c r="Q432" s="1378">
        <f t="shared" si="489"/>
        <v>0</v>
      </c>
      <c r="R432" s="1375">
        <f t="shared" si="490"/>
        <v>0</v>
      </c>
      <c r="S432" s="1375">
        <f t="shared" si="491"/>
        <v>0</v>
      </c>
      <c r="T432" s="1375">
        <f t="shared" si="492"/>
        <v>0</v>
      </c>
      <c r="U432" s="2028">
        <f t="shared" si="449"/>
        <v>0</v>
      </c>
      <c r="V432" s="1357" t="str">
        <f>IF(H432&lt;&gt;"",A432,"")</f>
        <v/>
      </c>
      <c r="W432" s="1357"/>
      <c r="X432" s="1357"/>
      <c r="Y432" s="1357"/>
      <c r="AD432" s="2141">
        <f t="shared" si="424"/>
        <v>2.6</v>
      </c>
      <c r="AE432" s="2142" t="str">
        <f t="shared" si="479"/>
        <v/>
      </c>
      <c r="AG432" s="2118" t="s">
        <v>1816</v>
      </c>
    </row>
    <row r="433" spans="1:33" ht="14.25" hidden="1" outlineLevel="2" x14ac:dyDescent="0.2">
      <c r="A433" s="1360">
        <f t="shared" ref="A433:A438" si="493">A432+1</f>
        <v>46</v>
      </c>
      <c r="B433" s="1372" t="s">
        <v>1530</v>
      </c>
      <c r="C433" s="1379" t="s">
        <v>1037</v>
      </c>
      <c r="D433" s="1382">
        <v>4</v>
      </c>
      <c r="E433" s="499" t="s">
        <v>462</v>
      </c>
      <c r="F433" s="1382" t="s">
        <v>344</v>
      </c>
      <c r="G433" s="1353">
        <v>1.6850000000000001</v>
      </c>
      <c r="H433" s="1373"/>
      <c r="I433" s="1359">
        <f t="shared" si="484"/>
        <v>0</v>
      </c>
      <c r="J433" s="1374" t="str">
        <f t="shared" si="485"/>
        <v>0:0:00</v>
      </c>
      <c r="K433" s="500">
        <v>1000</v>
      </c>
      <c r="L433" s="2009">
        <v>160.46</v>
      </c>
      <c r="M433" s="1375">
        <f t="shared" si="486"/>
        <v>0</v>
      </c>
      <c r="N433" s="1376">
        <v>1</v>
      </c>
      <c r="O433" s="1377">
        <f t="shared" si="487"/>
        <v>0</v>
      </c>
      <c r="P433" s="1375">
        <f t="shared" si="488"/>
        <v>0</v>
      </c>
      <c r="Q433" s="1378">
        <f t="shared" si="489"/>
        <v>0</v>
      </c>
      <c r="R433" s="1375">
        <f t="shared" si="490"/>
        <v>0</v>
      </c>
      <c r="S433" s="1375">
        <f t="shared" si="491"/>
        <v>0</v>
      </c>
      <c r="T433" s="1375">
        <f t="shared" si="492"/>
        <v>0</v>
      </c>
      <c r="U433" s="2028">
        <f t="shared" si="449"/>
        <v>0</v>
      </c>
      <c r="V433" s="1357" t="str">
        <f>IF(H433&lt;&gt;"",A433,"")</f>
        <v/>
      </c>
      <c r="W433" s="1357"/>
      <c r="X433" s="1357"/>
      <c r="Y433" s="1357"/>
      <c r="AD433" s="2141">
        <f t="shared" ref="AD433:AD496" si="494">IF(D433&gt;0,LOOKUP(D433,$Z$30:$Z$33,$AA$30:$AA$33),"")</f>
        <v>2.6</v>
      </c>
      <c r="AE433" s="2142" t="str">
        <f t="shared" si="479"/>
        <v/>
      </c>
      <c r="AG433" s="2118" t="s">
        <v>1816</v>
      </c>
    </row>
    <row r="434" spans="1:33" ht="14.25" hidden="1" outlineLevel="2" x14ac:dyDescent="0.2">
      <c r="A434" s="1360">
        <f t="shared" si="493"/>
        <v>47</v>
      </c>
      <c r="B434" s="1372" t="s">
        <v>1531</v>
      </c>
      <c r="C434" s="1379" t="s">
        <v>1038</v>
      </c>
      <c r="D434" s="1382">
        <v>4</v>
      </c>
      <c r="E434" s="499" t="s">
        <v>462</v>
      </c>
      <c r="F434" s="1382" t="s">
        <v>344</v>
      </c>
      <c r="G434" s="1353">
        <v>1.478</v>
      </c>
      <c r="H434" s="1373"/>
      <c r="I434" s="1359">
        <f t="shared" si="484"/>
        <v>0</v>
      </c>
      <c r="J434" s="1374" t="str">
        <f t="shared" si="485"/>
        <v>0:0:00</v>
      </c>
      <c r="K434" s="500">
        <v>1000</v>
      </c>
      <c r="L434" s="2009">
        <v>140.55000000000001</v>
      </c>
      <c r="M434" s="1375">
        <f t="shared" si="486"/>
        <v>0</v>
      </c>
      <c r="N434" s="1376">
        <v>1</v>
      </c>
      <c r="O434" s="1377">
        <f t="shared" si="487"/>
        <v>0</v>
      </c>
      <c r="P434" s="1375">
        <f t="shared" si="488"/>
        <v>0</v>
      </c>
      <c r="Q434" s="1378">
        <f t="shared" si="489"/>
        <v>0</v>
      </c>
      <c r="R434" s="1375">
        <f t="shared" si="490"/>
        <v>0</v>
      </c>
      <c r="S434" s="1375">
        <f t="shared" si="491"/>
        <v>0</v>
      </c>
      <c r="T434" s="1375">
        <f t="shared" si="492"/>
        <v>0</v>
      </c>
      <c r="U434" s="2028">
        <f t="shared" si="449"/>
        <v>0</v>
      </c>
      <c r="V434" s="1357" t="str">
        <f>IF(H434&lt;&gt;"",A434,"")</f>
        <v/>
      </c>
      <c r="W434" s="1357"/>
      <c r="X434" s="1357"/>
      <c r="Y434" s="1357"/>
      <c r="AD434" s="2141">
        <f t="shared" si="494"/>
        <v>2.6</v>
      </c>
      <c r="AE434" s="2142" t="str">
        <f t="shared" si="479"/>
        <v/>
      </c>
      <c r="AG434" s="2118" t="s">
        <v>1816</v>
      </c>
    </row>
    <row r="435" spans="1:33" ht="14.25" hidden="1" outlineLevel="2" x14ac:dyDescent="0.2">
      <c r="A435" s="1360">
        <f t="shared" si="493"/>
        <v>48</v>
      </c>
      <c r="B435" s="1372" t="s">
        <v>1532</v>
      </c>
      <c r="C435" s="1379" t="s">
        <v>1035</v>
      </c>
      <c r="D435" s="1382">
        <v>4</v>
      </c>
      <c r="E435" s="499" t="s">
        <v>462</v>
      </c>
      <c r="F435" s="2024" t="s">
        <v>303</v>
      </c>
      <c r="G435" s="1353">
        <v>1.7869999999999999</v>
      </c>
      <c r="H435" s="1373"/>
      <c r="I435" s="1359">
        <f t="shared" si="484"/>
        <v>0</v>
      </c>
      <c r="J435" s="1374" t="str">
        <f t="shared" si="485"/>
        <v>0:0:00</v>
      </c>
      <c r="K435" s="500">
        <v>1</v>
      </c>
      <c r="L435" s="2009">
        <v>169.91</v>
      </c>
      <c r="M435" s="1375">
        <f t="shared" si="486"/>
        <v>0</v>
      </c>
      <c r="N435" s="1376">
        <v>1</v>
      </c>
      <c r="O435" s="1377">
        <f t="shared" si="487"/>
        <v>0</v>
      </c>
      <c r="P435" s="1375">
        <f t="shared" si="488"/>
        <v>0</v>
      </c>
      <c r="Q435" s="1378">
        <f t="shared" si="489"/>
        <v>0</v>
      </c>
      <c r="R435" s="1375">
        <f t="shared" si="490"/>
        <v>0</v>
      </c>
      <c r="S435" s="1375">
        <f t="shared" si="491"/>
        <v>0</v>
      </c>
      <c r="T435" s="1375">
        <f t="shared" si="492"/>
        <v>0</v>
      </c>
      <c r="U435" s="2028">
        <f t="shared" si="449"/>
        <v>0</v>
      </c>
      <c r="V435" s="1357"/>
      <c r="W435" s="1357"/>
      <c r="X435" s="1357"/>
      <c r="Y435" s="1357"/>
      <c r="AD435" s="2141">
        <f t="shared" si="494"/>
        <v>2.6</v>
      </c>
      <c r="AE435" s="2142" t="str">
        <f t="shared" si="479"/>
        <v/>
      </c>
      <c r="AG435" s="2118" t="s">
        <v>1816</v>
      </c>
    </row>
    <row r="436" spans="1:33" ht="14.25" hidden="1" outlineLevel="2" x14ac:dyDescent="0.2">
      <c r="A436" s="1360">
        <f t="shared" si="493"/>
        <v>49</v>
      </c>
      <c r="B436" s="1372" t="s">
        <v>1533</v>
      </c>
      <c r="C436" s="1379" t="s">
        <v>1036</v>
      </c>
      <c r="D436" s="1382">
        <v>4</v>
      </c>
      <c r="E436" s="499" t="s">
        <v>462</v>
      </c>
      <c r="F436" s="2024" t="s">
        <v>303</v>
      </c>
      <c r="G436" s="1353">
        <v>0.91</v>
      </c>
      <c r="H436" s="1373"/>
      <c r="I436" s="1359">
        <f t="shared" si="484"/>
        <v>0</v>
      </c>
      <c r="J436" s="1374" t="str">
        <f t="shared" si="485"/>
        <v>0:0:00</v>
      </c>
      <c r="K436" s="500">
        <v>1</v>
      </c>
      <c r="L436" s="2009">
        <v>86.58</v>
      </c>
      <c r="M436" s="1375">
        <f t="shared" si="486"/>
        <v>0</v>
      </c>
      <c r="N436" s="1376">
        <v>1</v>
      </c>
      <c r="O436" s="1377">
        <f t="shared" si="487"/>
        <v>0</v>
      </c>
      <c r="P436" s="1375">
        <f t="shared" si="488"/>
        <v>0</v>
      </c>
      <c r="Q436" s="1378">
        <f t="shared" si="489"/>
        <v>0</v>
      </c>
      <c r="R436" s="1375">
        <f t="shared" si="490"/>
        <v>0</v>
      </c>
      <c r="S436" s="1375">
        <f t="shared" si="491"/>
        <v>0</v>
      </c>
      <c r="T436" s="1375">
        <f t="shared" si="492"/>
        <v>0</v>
      </c>
      <c r="U436" s="2028">
        <f t="shared" si="449"/>
        <v>0</v>
      </c>
      <c r="V436" s="1357"/>
      <c r="W436" s="1357"/>
      <c r="X436" s="1357"/>
      <c r="Y436" s="1357"/>
      <c r="AD436" s="2141">
        <f t="shared" si="494"/>
        <v>2.6</v>
      </c>
      <c r="AE436" s="2142" t="str">
        <f t="shared" si="479"/>
        <v/>
      </c>
      <c r="AG436" s="2118" t="s">
        <v>1816</v>
      </c>
    </row>
    <row r="437" spans="1:33" ht="14.25" hidden="1" outlineLevel="2" x14ac:dyDescent="0.2">
      <c r="A437" s="1360">
        <f t="shared" si="493"/>
        <v>50</v>
      </c>
      <c r="B437" s="1372" t="s">
        <v>1534</v>
      </c>
      <c r="C437" s="1379" t="s">
        <v>1037</v>
      </c>
      <c r="D437" s="1382">
        <v>4</v>
      </c>
      <c r="E437" s="499" t="s">
        <v>462</v>
      </c>
      <c r="F437" s="2024" t="s">
        <v>303</v>
      </c>
      <c r="G437" s="1353">
        <v>0.86799999999999999</v>
      </c>
      <c r="H437" s="1373"/>
      <c r="I437" s="1359">
        <f t="shared" si="484"/>
        <v>0</v>
      </c>
      <c r="J437" s="1374" t="str">
        <f t="shared" si="485"/>
        <v>0:0:00</v>
      </c>
      <c r="K437" s="500">
        <v>1</v>
      </c>
      <c r="L437" s="2009">
        <v>82.6</v>
      </c>
      <c r="M437" s="1375">
        <f t="shared" si="486"/>
        <v>0</v>
      </c>
      <c r="N437" s="1376">
        <v>1</v>
      </c>
      <c r="O437" s="1377">
        <f t="shared" si="487"/>
        <v>0</v>
      </c>
      <c r="P437" s="1375">
        <f t="shared" si="488"/>
        <v>0</v>
      </c>
      <c r="Q437" s="1378">
        <f t="shared" si="489"/>
        <v>0</v>
      </c>
      <c r="R437" s="1375">
        <f t="shared" si="490"/>
        <v>0</v>
      </c>
      <c r="S437" s="1375">
        <f t="shared" si="491"/>
        <v>0</v>
      </c>
      <c r="T437" s="1375">
        <f t="shared" si="492"/>
        <v>0</v>
      </c>
      <c r="U437" s="2028">
        <f t="shared" si="449"/>
        <v>0</v>
      </c>
      <c r="V437" s="1357"/>
      <c r="W437" s="1357"/>
      <c r="X437" s="1357"/>
      <c r="Y437" s="1357"/>
      <c r="AD437" s="2141">
        <f t="shared" si="494"/>
        <v>2.6</v>
      </c>
      <c r="AE437" s="2142" t="str">
        <f t="shared" si="479"/>
        <v/>
      </c>
      <c r="AG437" s="2118" t="s">
        <v>1816</v>
      </c>
    </row>
    <row r="438" spans="1:33" ht="14.25" hidden="1" outlineLevel="2" x14ac:dyDescent="0.2">
      <c r="A438" s="1360">
        <f t="shared" si="493"/>
        <v>51</v>
      </c>
      <c r="B438" s="1372" t="s">
        <v>1535</v>
      </c>
      <c r="C438" s="1379" t="s">
        <v>1038</v>
      </c>
      <c r="D438" s="1382">
        <v>4</v>
      </c>
      <c r="E438" s="499" t="s">
        <v>462</v>
      </c>
      <c r="F438" s="2024" t="s">
        <v>303</v>
      </c>
      <c r="G438" s="1353">
        <v>0.42499999999999999</v>
      </c>
      <c r="H438" s="1373"/>
      <c r="I438" s="1359">
        <f t="shared" si="484"/>
        <v>0</v>
      </c>
      <c r="J438" s="1374" t="str">
        <f t="shared" si="485"/>
        <v>0:0:00</v>
      </c>
      <c r="K438" s="500">
        <v>1</v>
      </c>
      <c r="L438" s="2009">
        <v>40.44</v>
      </c>
      <c r="M438" s="1375">
        <f t="shared" si="486"/>
        <v>0</v>
      </c>
      <c r="N438" s="1376">
        <v>1</v>
      </c>
      <c r="O438" s="1377">
        <f t="shared" si="487"/>
        <v>0</v>
      </c>
      <c r="P438" s="1375">
        <f t="shared" si="488"/>
        <v>0</v>
      </c>
      <c r="Q438" s="1378">
        <f t="shared" si="489"/>
        <v>0</v>
      </c>
      <c r="R438" s="1375">
        <f t="shared" si="490"/>
        <v>0</v>
      </c>
      <c r="S438" s="1375">
        <f t="shared" si="491"/>
        <v>0</v>
      </c>
      <c r="T438" s="1375">
        <f t="shared" si="492"/>
        <v>0</v>
      </c>
      <c r="U438" s="2028">
        <f t="shared" si="449"/>
        <v>0</v>
      </c>
      <c r="V438" s="1357"/>
      <c r="W438" s="1357"/>
      <c r="X438" s="1357"/>
      <c r="Y438" s="1357"/>
      <c r="AD438" s="2141">
        <f t="shared" si="494"/>
        <v>2.6</v>
      </c>
      <c r="AE438" s="2142" t="str">
        <f t="shared" si="479"/>
        <v/>
      </c>
      <c r="AG438" s="2118" t="s">
        <v>1816</v>
      </c>
    </row>
    <row r="439" spans="1:33" ht="15" hidden="1" outlineLevel="1" x14ac:dyDescent="0.2">
      <c r="A439" s="1360"/>
      <c r="B439" s="1366" t="s">
        <v>1039</v>
      </c>
      <c r="C439" s="522"/>
      <c r="D439" s="2152"/>
      <c r="E439" s="523" t="s">
        <v>218</v>
      </c>
      <c r="F439" s="2164"/>
      <c r="G439" s="2178"/>
      <c r="H439" s="1367"/>
      <c r="I439" s="2043">
        <f>SUM(I440:I442)</f>
        <v>0</v>
      </c>
      <c r="J439" s="524"/>
      <c r="K439" s="524"/>
      <c r="L439" s="526"/>
      <c r="M439" s="1368"/>
      <c r="N439" s="524"/>
      <c r="O439" s="1369"/>
      <c r="P439" s="1368"/>
      <c r="Q439" s="1370"/>
      <c r="R439" s="1368"/>
      <c r="S439" s="1371">
        <f>SUM(T440:T442)</f>
        <v>0</v>
      </c>
      <c r="T439" s="1370"/>
      <c r="U439" s="2028">
        <f t="shared" si="449"/>
        <v>0</v>
      </c>
      <c r="V439" s="1357"/>
      <c r="W439" s="1357"/>
      <c r="X439" s="1357"/>
      <c r="Y439" s="1357"/>
      <c r="AD439" s="2141" t="str">
        <f t="shared" si="494"/>
        <v/>
      </c>
      <c r="AE439" s="2142" t="str">
        <f t="shared" si="479"/>
        <v/>
      </c>
      <c r="AG439" s="2118" t="s">
        <v>1816</v>
      </c>
    </row>
    <row r="440" spans="1:33" ht="14.25" hidden="1" outlineLevel="2" x14ac:dyDescent="0.2">
      <c r="A440" s="1360">
        <f>A438+1</f>
        <v>52</v>
      </c>
      <c r="B440" s="1372" t="s">
        <v>1536</v>
      </c>
      <c r="C440" s="1379" t="s">
        <v>427</v>
      </c>
      <c r="D440" s="1382">
        <v>4</v>
      </c>
      <c r="E440" s="499" t="s">
        <v>462</v>
      </c>
      <c r="F440" s="1382" t="s">
        <v>344</v>
      </c>
      <c r="G440" s="1354">
        <v>1.1859999999999999</v>
      </c>
      <c r="H440" s="1373"/>
      <c r="I440" s="1359">
        <f>IF(G440=0,0,IF(H440&gt;0,IF((G440*H440/K440)&lt;0.084,0.084,(G440*H440/K440)),0))</f>
        <v>0</v>
      </c>
      <c r="J440" s="1374" t="str">
        <f t="shared" ref="J440:J442" si="495">CONCATENATE(TRUNC(I440,0),":",INT((I440-(TRUNC(I440,0)))*60),":","00")</f>
        <v>0:0:00</v>
      </c>
      <c r="K440" s="500">
        <v>1000</v>
      </c>
      <c r="L440" s="2009">
        <v>112.87</v>
      </c>
      <c r="M440" s="1375">
        <f t="shared" ref="M440:M442" si="496">H440*L440/K440</f>
        <v>0</v>
      </c>
      <c r="N440" s="1376">
        <v>1</v>
      </c>
      <c r="O440" s="1377">
        <f t="shared" ref="O440:O442" si="497">M440*N440</f>
        <v>0</v>
      </c>
      <c r="P440" s="1375">
        <f t="shared" ref="P440:P442" si="498">(M440+O440)*0.15</f>
        <v>0</v>
      </c>
      <c r="Q440" s="1378">
        <f t="shared" ref="Q440:Q442" si="499">M440+O440+P440</f>
        <v>0</v>
      </c>
      <c r="R440" s="1375">
        <f t="shared" ref="R440:R442" si="500">Q440*$R$1</f>
        <v>0</v>
      </c>
      <c r="S440" s="1375">
        <f t="shared" ref="S440:S442" si="501">(Q440+R440)*$S$1</f>
        <v>0</v>
      </c>
      <c r="T440" s="1375">
        <f t="shared" ref="T440:T442" si="502">Q440+R440+S440</f>
        <v>0</v>
      </c>
      <c r="U440" s="2028">
        <f t="shared" si="449"/>
        <v>0</v>
      </c>
      <c r="V440" s="1357"/>
      <c r="W440" s="1357"/>
      <c r="X440" s="1357"/>
      <c r="Y440" s="1357"/>
      <c r="AD440" s="2141">
        <f t="shared" si="494"/>
        <v>2.6</v>
      </c>
      <c r="AE440" s="2142" t="str">
        <f t="shared" si="479"/>
        <v/>
      </c>
      <c r="AG440" s="2118" t="s">
        <v>1816</v>
      </c>
    </row>
    <row r="441" spans="1:33" ht="14.25" hidden="1" outlineLevel="2" x14ac:dyDescent="0.2">
      <c r="A441" s="1360">
        <f>A440+1</f>
        <v>53</v>
      </c>
      <c r="B441" s="1372" t="s">
        <v>1537</v>
      </c>
      <c r="C441" s="1379" t="s">
        <v>428</v>
      </c>
      <c r="D441" s="1382">
        <v>4</v>
      </c>
      <c r="E441" s="499" t="s">
        <v>462</v>
      </c>
      <c r="F441" s="2024" t="s">
        <v>303</v>
      </c>
      <c r="G441" s="1354">
        <v>0.41299999999999998</v>
      </c>
      <c r="H441" s="1373"/>
      <c r="I441" s="1359">
        <f>IF(G441=0,0,IF(H441&gt;0,IF((G441*H441/K441)&lt;0.084,0.084,(G441*H441/K441)),0))</f>
        <v>0</v>
      </c>
      <c r="J441" s="1374" t="str">
        <f t="shared" si="495"/>
        <v>0:0:00</v>
      </c>
      <c r="K441" s="500">
        <v>1</v>
      </c>
      <c r="L441" s="2009">
        <v>39.299999999999997</v>
      </c>
      <c r="M441" s="1375">
        <f t="shared" si="496"/>
        <v>0</v>
      </c>
      <c r="N441" s="1376">
        <v>1</v>
      </c>
      <c r="O441" s="1377">
        <f t="shared" si="497"/>
        <v>0</v>
      </c>
      <c r="P441" s="1375">
        <f t="shared" si="498"/>
        <v>0</v>
      </c>
      <c r="Q441" s="1378">
        <f t="shared" si="499"/>
        <v>0</v>
      </c>
      <c r="R441" s="1375">
        <f t="shared" si="500"/>
        <v>0</v>
      </c>
      <c r="S441" s="1375">
        <f t="shared" si="501"/>
        <v>0</v>
      </c>
      <c r="T441" s="1375">
        <f t="shared" si="502"/>
        <v>0</v>
      </c>
      <c r="U441" s="2028">
        <f t="shared" si="449"/>
        <v>0</v>
      </c>
      <c r="V441" s="1357"/>
      <c r="W441" s="1357"/>
      <c r="X441" s="1357"/>
      <c r="Y441" s="1357"/>
      <c r="AD441" s="2141">
        <f t="shared" si="494"/>
        <v>2.6</v>
      </c>
      <c r="AE441" s="2142" t="str">
        <f t="shared" si="479"/>
        <v/>
      </c>
      <c r="AG441" s="2118" t="s">
        <v>1816</v>
      </c>
    </row>
    <row r="442" spans="1:33" ht="14.25" hidden="1" outlineLevel="2" x14ac:dyDescent="0.2">
      <c r="A442" s="1360">
        <f>A441+1</f>
        <v>54</v>
      </c>
      <c r="B442" s="1372" t="s">
        <v>1538</v>
      </c>
      <c r="C442" s="1379" t="s">
        <v>429</v>
      </c>
      <c r="D442" s="1382">
        <v>4</v>
      </c>
      <c r="E442" s="499" t="s">
        <v>462</v>
      </c>
      <c r="F442" s="2024" t="s">
        <v>303</v>
      </c>
      <c r="G442" s="1354">
        <v>0.54700000000000004</v>
      </c>
      <c r="H442" s="1373"/>
      <c r="I442" s="1359">
        <f>IF(G442=0,0,IF(H442&gt;0,IF((G442*H442/K442)&lt;0.084,0.084,(G442*H442/K442)),0))</f>
        <v>0</v>
      </c>
      <c r="J442" s="1374" t="str">
        <f t="shared" si="495"/>
        <v>0:0:00</v>
      </c>
      <c r="K442" s="500">
        <v>1</v>
      </c>
      <c r="L442" s="2009">
        <v>52.05</v>
      </c>
      <c r="M442" s="1375">
        <f t="shared" si="496"/>
        <v>0</v>
      </c>
      <c r="N442" s="1376">
        <v>1</v>
      </c>
      <c r="O442" s="1377">
        <f t="shared" si="497"/>
        <v>0</v>
      </c>
      <c r="P442" s="1375">
        <f t="shared" si="498"/>
        <v>0</v>
      </c>
      <c r="Q442" s="1378">
        <f t="shared" si="499"/>
        <v>0</v>
      </c>
      <c r="R442" s="1375">
        <f t="shared" si="500"/>
        <v>0</v>
      </c>
      <c r="S442" s="1375">
        <f t="shared" si="501"/>
        <v>0</v>
      </c>
      <c r="T442" s="1375">
        <f t="shared" si="502"/>
        <v>0</v>
      </c>
      <c r="U442" s="2028">
        <f t="shared" si="449"/>
        <v>0</v>
      </c>
      <c r="V442" s="1357"/>
      <c r="W442" s="1357"/>
      <c r="X442" s="1357"/>
      <c r="Y442" s="1357"/>
      <c r="AD442" s="2141">
        <f t="shared" si="494"/>
        <v>2.6</v>
      </c>
      <c r="AE442" s="2142" t="str">
        <f t="shared" si="479"/>
        <v/>
      </c>
      <c r="AG442" s="2118" t="s">
        <v>1816</v>
      </c>
    </row>
    <row r="443" spans="1:33" ht="15" hidden="1" outlineLevel="1" x14ac:dyDescent="0.2">
      <c r="A443" s="1360"/>
      <c r="B443" s="2121" t="s">
        <v>1822</v>
      </c>
      <c r="C443" s="522"/>
      <c r="D443" s="2152"/>
      <c r="E443" s="523" t="s">
        <v>218</v>
      </c>
      <c r="F443" s="2164"/>
      <c r="G443" s="2178"/>
      <c r="H443" s="1367"/>
      <c r="I443" s="2043">
        <f>SUM(I444:I445)</f>
        <v>0</v>
      </c>
      <c r="J443" s="524"/>
      <c r="K443" s="524"/>
      <c r="L443" s="526"/>
      <c r="M443" s="1368"/>
      <c r="N443" s="524"/>
      <c r="O443" s="1369"/>
      <c r="P443" s="1368"/>
      <c r="Q443" s="1370"/>
      <c r="R443" s="1368"/>
      <c r="S443" s="1371">
        <f>SUM(T444:T449)</f>
        <v>0</v>
      </c>
      <c r="T443" s="1370"/>
      <c r="U443" s="2028">
        <f t="shared" ref="U443:U445" si="503">IF(T443&gt;0,1,0)</f>
        <v>0</v>
      </c>
      <c r="V443" s="1357"/>
      <c r="W443" s="1357"/>
      <c r="X443" s="1357"/>
      <c r="Y443" s="1357"/>
      <c r="AD443" s="2141" t="str">
        <f t="shared" si="494"/>
        <v/>
      </c>
      <c r="AE443" s="2142" t="str">
        <f t="shared" si="479"/>
        <v/>
      </c>
      <c r="AG443" s="2118" t="s">
        <v>1816</v>
      </c>
    </row>
    <row r="444" spans="1:33" ht="14.25" hidden="1" outlineLevel="2" x14ac:dyDescent="0.2">
      <c r="A444" s="1360">
        <f>A442+1</f>
        <v>55</v>
      </c>
      <c r="B444" s="1372" t="s">
        <v>1823</v>
      </c>
      <c r="C444" s="1379" t="s">
        <v>1824</v>
      </c>
      <c r="D444" s="1382">
        <v>4</v>
      </c>
      <c r="E444" s="499" t="s">
        <v>462</v>
      </c>
      <c r="F444" s="1382" t="s">
        <v>1492</v>
      </c>
      <c r="G444" s="1354">
        <v>1</v>
      </c>
      <c r="H444" s="1373"/>
      <c r="I444" s="1359">
        <f>IF(G444=0,0,IF(H444&gt;0,IF((G444*H444/K444)&lt;0.084,0.084,(G444*H444/K444)),0))</f>
        <v>0</v>
      </c>
      <c r="J444" s="1374" t="str">
        <f t="shared" ref="J444:J445" si="504">CONCATENATE(TRUNC(I444,0),":",INT((I444-(TRUNC(I444,0)))*60),":","00")</f>
        <v>0:0:00</v>
      </c>
      <c r="K444" s="500">
        <v>1</v>
      </c>
      <c r="L444" s="2009">
        <v>95.15</v>
      </c>
      <c r="M444" s="1375">
        <f t="shared" ref="M444:M445" si="505">H444*L444/K444</f>
        <v>0</v>
      </c>
      <c r="N444" s="1376">
        <v>1</v>
      </c>
      <c r="O444" s="1377">
        <f t="shared" ref="O444:O445" si="506">M444*N444</f>
        <v>0</v>
      </c>
      <c r="P444" s="1375">
        <f t="shared" ref="P444:P445" si="507">(M444+O444)*0.15</f>
        <v>0</v>
      </c>
      <c r="Q444" s="1378">
        <f t="shared" ref="Q444:Q445" si="508">M444+O444+P444</f>
        <v>0</v>
      </c>
      <c r="R444" s="1375">
        <f t="shared" ref="R444:R445" si="509">Q444*$R$1</f>
        <v>0</v>
      </c>
      <c r="S444" s="1375">
        <f t="shared" ref="S444:S445" si="510">(Q444+R444)*$S$1</f>
        <v>0</v>
      </c>
      <c r="T444" s="1375">
        <f t="shared" ref="T444:T445" si="511">Q444+R444+S444</f>
        <v>0</v>
      </c>
      <c r="U444" s="2028">
        <f t="shared" si="503"/>
        <v>0</v>
      </c>
      <c r="V444" s="1357"/>
      <c r="W444" s="1357"/>
      <c r="X444" s="1357"/>
      <c r="Y444" s="1357"/>
      <c r="AD444" s="2141">
        <f t="shared" si="494"/>
        <v>2.6</v>
      </c>
      <c r="AE444" s="2142" t="str">
        <f t="shared" si="479"/>
        <v/>
      </c>
      <c r="AG444" s="2118" t="s">
        <v>1816</v>
      </c>
    </row>
    <row r="445" spans="1:33" ht="28.5" hidden="1" outlineLevel="2" x14ac:dyDescent="0.2">
      <c r="A445" s="1360">
        <f>A444+1</f>
        <v>56</v>
      </c>
      <c r="B445" s="1372" t="s">
        <v>1825</v>
      </c>
      <c r="C445" s="1379" t="s">
        <v>1824</v>
      </c>
      <c r="D445" s="1382">
        <v>4</v>
      </c>
      <c r="E445" s="499" t="s">
        <v>462</v>
      </c>
      <c r="F445" s="2024" t="s">
        <v>1492</v>
      </c>
      <c r="G445" s="1354">
        <v>1</v>
      </c>
      <c r="H445" s="1373">
        <f>IF(H444&gt;0,1,0)</f>
        <v>0</v>
      </c>
      <c r="I445" s="1359">
        <f>IF(G445=0,0,IF(H445&gt;0,IF((G445*H445/K445)&lt;0.084,0.084,(G445*H445/K445)),0))</f>
        <v>0</v>
      </c>
      <c r="J445" s="1374" t="str">
        <f t="shared" si="504"/>
        <v>0:0:00</v>
      </c>
      <c r="K445" s="500">
        <v>1</v>
      </c>
      <c r="L445" s="2009">
        <v>95.15</v>
      </c>
      <c r="M445" s="1375">
        <f t="shared" si="505"/>
        <v>0</v>
      </c>
      <c r="N445" s="1376">
        <v>1</v>
      </c>
      <c r="O445" s="1377">
        <f t="shared" si="506"/>
        <v>0</v>
      </c>
      <c r="P445" s="1375">
        <f t="shared" si="507"/>
        <v>0</v>
      </c>
      <c r="Q445" s="1378">
        <f t="shared" si="508"/>
        <v>0</v>
      </c>
      <c r="R445" s="1375">
        <f t="shared" si="509"/>
        <v>0</v>
      </c>
      <c r="S445" s="1375">
        <f t="shared" si="510"/>
        <v>0</v>
      </c>
      <c r="T445" s="1375">
        <f t="shared" si="511"/>
        <v>0</v>
      </c>
      <c r="U445" s="2028">
        <f t="shared" si="503"/>
        <v>0</v>
      </c>
      <c r="V445" s="1357"/>
      <c r="W445" s="1357"/>
      <c r="X445" s="1357"/>
      <c r="Y445" s="1357"/>
      <c r="AD445" s="2141">
        <f t="shared" si="494"/>
        <v>2.6</v>
      </c>
      <c r="AE445" s="2142" t="str">
        <f t="shared" si="479"/>
        <v/>
      </c>
      <c r="AG445" s="2118" t="s">
        <v>1816</v>
      </c>
    </row>
    <row r="446" spans="1:33" ht="15" hidden="1" outlineLevel="1" x14ac:dyDescent="0.2">
      <c r="A446" s="1360"/>
      <c r="B446" s="1366" t="s">
        <v>1826</v>
      </c>
      <c r="C446" s="522"/>
      <c r="D446" s="2152"/>
      <c r="E446" s="523" t="s">
        <v>218</v>
      </c>
      <c r="F446" s="2164"/>
      <c r="G446" s="2178"/>
      <c r="H446" s="1367"/>
      <c r="I446" s="2043">
        <f>SUM(I447:I448)</f>
        <v>0</v>
      </c>
      <c r="J446" s="524"/>
      <c r="K446" s="524"/>
      <c r="L446" s="526"/>
      <c r="M446" s="1368"/>
      <c r="N446" s="524"/>
      <c r="O446" s="1369"/>
      <c r="P446" s="1368"/>
      <c r="Q446" s="1370"/>
      <c r="R446" s="1368"/>
      <c r="S446" s="1371">
        <f>SUM(T447:T448)</f>
        <v>0</v>
      </c>
      <c r="T446" s="1370"/>
      <c r="U446" s="2028">
        <f t="shared" ref="U446:U448" si="512">IF(T446&gt;0,1,0)</f>
        <v>0</v>
      </c>
      <c r="V446" s="1357"/>
      <c r="W446" s="1357"/>
      <c r="X446" s="1357"/>
      <c r="Y446" s="1357"/>
      <c r="AD446" s="2141" t="str">
        <f t="shared" si="494"/>
        <v/>
      </c>
      <c r="AE446" s="2142" t="str">
        <f t="shared" si="479"/>
        <v/>
      </c>
      <c r="AG446" s="2118" t="s">
        <v>1816</v>
      </c>
    </row>
    <row r="447" spans="1:33" ht="14.25" hidden="1" outlineLevel="2" x14ac:dyDescent="0.2">
      <c r="A447" s="1360">
        <f>A445+1</f>
        <v>57</v>
      </c>
      <c r="B447" s="1372" t="s">
        <v>1827</v>
      </c>
      <c r="C447" s="1379" t="s">
        <v>1828</v>
      </c>
      <c r="D447" s="1382">
        <v>3</v>
      </c>
      <c r="E447" s="499" t="s">
        <v>462</v>
      </c>
      <c r="F447" s="2120" t="s">
        <v>303</v>
      </c>
      <c r="G447" s="1354">
        <v>0.85699999999999998</v>
      </c>
      <c r="H447" s="1373"/>
      <c r="I447" s="1359">
        <f>IF(G447=0,0,IF(H447&gt;0,IF((G447*H447/K447)&lt;0.084,0.084,(G447*H447/K447)),0))</f>
        <v>0</v>
      </c>
      <c r="J447" s="1374" t="str">
        <f t="shared" ref="J447:J448" si="513">CONCATENATE(TRUNC(I447,0),":",INT((I447-(TRUNC(I447,0)))*60),":","00")</f>
        <v>0:0:00</v>
      </c>
      <c r="K447" s="500">
        <v>1000</v>
      </c>
      <c r="L447" s="2009">
        <v>65.040000000000006</v>
      </c>
      <c r="M447" s="1375">
        <f t="shared" ref="M447:M448" si="514">H447*L447/K447</f>
        <v>0</v>
      </c>
      <c r="N447" s="1376">
        <v>1</v>
      </c>
      <c r="O447" s="1377">
        <f t="shared" ref="O447:O448" si="515">M447*N447</f>
        <v>0</v>
      </c>
      <c r="P447" s="1375">
        <f t="shared" ref="P447:P448" si="516">(M447+O447)*0.15</f>
        <v>0</v>
      </c>
      <c r="Q447" s="1378">
        <f t="shared" ref="Q447:Q448" si="517">M447+O447+P447</f>
        <v>0</v>
      </c>
      <c r="R447" s="1375">
        <f t="shared" ref="R447:R448" si="518">Q447*$R$1</f>
        <v>0</v>
      </c>
      <c r="S447" s="1375">
        <f t="shared" ref="S447:S448" si="519">(Q447+R447)*$S$1</f>
        <v>0</v>
      </c>
      <c r="T447" s="1375">
        <f t="shared" ref="T447:T448" si="520">Q447+R447+S447</f>
        <v>0</v>
      </c>
      <c r="U447" s="2028">
        <f t="shared" si="512"/>
        <v>0</v>
      </c>
      <c r="V447" s="1357"/>
      <c r="W447" s="1357"/>
      <c r="X447" s="1357"/>
      <c r="Y447" s="1357"/>
      <c r="AD447" s="2141">
        <f t="shared" si="494"/>
        <v>2.6</v>
      </c>
      <c r="AE447" s="2142" t="str">
        <f t="shared" si="479"/>
        <v/>
      </c>
      <c r="AG447" s="2118" t="s">
        <v>1816</v>
      </c>
    </row>
    <row r="448" spans="1:33" ht="14.25" hidden="1" outlineLevel="2" x14ac:dyDescent="0.2">
      <c r="A448" s="1360">
        <f>A447+1</f>
        <v>58</v>
      </c>
      <c r="B448" s="1372" t="s">
        <v>1829</v>
      </c>
      <c r="C448" s="1379" t="s">
        <v>1828</v>
      </c>
      <c r="D448" s="1382">
        <v>3</v>
      </c>
      <c r="E448" s="499" t="s">
        <v>462</v>
      </c>
      <c r="F448" s="2120" t="s">
        <v>303</v>
      </c>
      <c r="G448" s="1354">
        <v>0.5</v>
      </c>
      <c r="H448" s="1373">
        <f>IF(H447&gt;0,1,0)</f>
        <v>0</v>
      </c>
      <c r="I448" s="1359">
        <f>IF(G448=0,0,IF(H448&gt;0,IF((G448*H448/K448)&lt;0.084,0.084,(G448*H448/K448)),0))</f>
        <v>0</v>
      </c>
      <c r="J448" s="1374" t="str">
        <f t="shared" si="513"/>
        <v>0:0:00</v>
      </c>
      <c r="K448" s="500">
        <v>1</v>
      </c>
      <c r="L448" s="2009">
        <v>37.950000000000003</v>
      </c>
      <c r="M448" s="1375">
        <f t="shared" si="514"/>
        <v>0</v>
      </c>
      <c r="N448" s="1376">
        <v>1</v>
      </c>
      <c r="O448" s="1377">
        <f t="shared" si="515"/>
        <v>0</v>
      </c>
      <c r="P448" s="1375">
        <f t="shared" si="516"/>
        <v>0</v>
      </c>
      <c r="Q448" s="1378">
        <f t="shared" si="517"/>
        <v>0</v>
      </c>
      <c r="R448" s="1375">
        <f t="shared" si="518"/>
        <v>0</v>
      </c>
      <c r="S448" s="1375">
        <f t="shared" si="519"/>
        <v>0</v>
      </c>
      <c r="T448" s="1375">
        <f t="shared" si="520"/>
        <v>0</v>
      </c>
      <c r="U448" s="2028">
        <f t="shared" si="512"/>
        <v>0</v>
      </c>
      <c r="V448" s="1357"/>
      <c r="W448" s="1357"/>
      <c r="X448" s="1357"/>
      <c r="Y448" s="1357"/>
      <c r="AD448" s="2141">
        <f t="shared" si="494"/>
        <v>2.6</v>
      </c>
      <c r="AE448" s="2142" t="str">
        <f t="shared" si="479"/>
        <v/>
      </c>
      <c r="AG448" s="2118" t="s">
        <v>1816</v>
      </c>
    </row>
    <row r="449" spans="1:33" ht="15" hidden="1" outlineLevel="1" x14ac:dyDescent="0.2">
      <c r="A449" s="1360"/>
      <c r="B449" s="1366" t="s">
        <v>1040</v>
      </c>
      <c r="C449" s="522"/>
      <c r="D449" s="2152"/>
      <c r="E449" s="523" t="s">
        <v>218</v>
      </c>
      <c r="F449" s="2164"/>
      <c r="G449" s="2178"/>
      <c r="H449" s="1367"/>
      <c r="I449" s="2043">
        <f>SUM(I450:I453)</f>
        <v>0</v>
      </c>
      <c r="J449" s="524"/>
      <c r="K449" s="524"/>
      <c r="L449" s="526"/>
      <c r="M449" s="1368"/>
      <c r="N449" s="524"/>
      <c r="O449" s="1369"/>
      <c r="P449" s="1368"/>
      <c r="Q449" s="1370"/>
      <c r="R449" s="1368"/>
      <c r="S449" s="1371">
        <f>SUM(T450:T453)</f>
        <v>0</v>
      </c>
      <c r="T449" s="1370"/>
      <c r="U449" s="2028">
        <f t="shared" si="449"/>
        <v>0</v>
      </c>
      <c r="V449" s="1357"/>
      <c r="W449" s="1357"/>
      <c r="X449" s="1357"/>
      <c r="Y449" s="1357"/>
      <c r="AD449" s="2141" t="str">
        <f t="shared" si="494"/>
        <v/>
      </c>
      <c r="AE449" s="2142" t="str">
        <f t="shared" si="479"/>
        <v/>
      </c>
      <c r="AG449" s="2118" t="s">
        <v>500</v>
      </c>
    </row>
    <row r="450" spans="1:33" ht="14.25" hidden="1" outlineLevel="2" x14ac:dyDescent="0.2">
      <c r="A450" s="1360">
        <f>A448+1</f>
        <v>59</v>
      </c>
      <c r="B450" s="1372" t="s">
        <v>1539</v>
      </c>
      <c r="C450" s="532" t="s">
        <v>1040</v>
      </c>
      <c r="D450" s="1358">
        <v>4</v>
      </c>
      <c r="E450" s="499" t="s">
        <v>462</v>
      </c>
      <c r="F450" s="2024" t="s">
        <v>303</v>
      </c>
      <c r="G450" s="1355">
        <v>0.33400000000000002</v>
      </c>
      <c r="H450" s="1373"/>
      <c r="I450" s="1359">
        <f>IF(G450=0,0,IF(H450&gt;0,IF((G450*H450/K450)&lt;0.084,0.084,(G450*H450/K450)),0))</f>
        <v>0</v>
      </c>
      <c r="J450" s="1374" t="str">
        <f>CONCATENATE(TRUNC(I450,0),":",INT((I450-(TRUNC(I450,0)))*60),":","00")</f>
        <v>0:0:00</v>
      </c>
      <c r="K450" s="500">
        <v>1000</v>
      </c>
      <c r="L450" s="2009">
        <v>31.78</v>
      </c>
      <c r="M450" s="1375">
        <f>H450*L450/K450</f>
        <v>0</v>
      </c>
      <c r="N450" s="1376">
        <v>1</v>
      </c>
      <c r="O450" s="1377">
        <f>M450*N450</f>
        <v>0</v>
      </c>
      <c r="P450" s="1375">
        <f>(M450+O450)*0.15</f>
        <v>0</v>
      </c>
      <c r="Q450" s="1378">
        <f>M450+O450+P450</f>
        <v>0</v>
      </c>
      <c r="R450" s="1375">
        <f>Q450*$R$1</f>
        <v>0</v>
      </c>
      <c r="S450" s="1375">
        <f>(Q450+R450)*$S$1</f>
        <v>0</v>
      </c>
      <c r="T450" s="1375">
        <f>Q450+R450+S450</f>
        <v>0</v>
      </c>
      <c r="U450" s="2028">
        <f t="shared" si="449"/>
        <v>0</v>
      </c>
      <c r="V450" s="1357"/>
      <c r="W450" s="1357"/>
      <c r="X450" s="1357"/>
      <c r="Y450" s="1357"/>
      <c r="AD450" s="2141">
        <f t="shared" si="494"/>
        <v>2.6</v>
      </c>
      <c r="AE450" s="2142" t="str">
        <f t="shared" si="479"/>
        <v/>
      </c>
      <c r="AG450" s="2118" t="s">
        <v>500</v>
      </c>
    </row>
    <row r="451" spans="1:33" ht="14.25" hidden="1" outlineLevel="2" x14ac:dyDescent="0.2">
      <c r="A451" s="1360">
        <f>A450+1</f>
        <v>60</v>
      </c>
      <c r="B451" s="1372" t="s">
        <v>1794</v>
      </c>
      <c r="C451" s="532" t="s">
        <v>1040</v>
      </c>
      <c r="D451" s="1358">
        <v>4</v>
      </c>
      <c r="E451" s="499" t="s">
        <v>462</v>
      </c>
      <c r="F451" s="2024" t="s">
        <v>303</v>
      </c>
      <c r="G451" s="1355">
        <v>1.2190000000000001</v>
      </c>
      <c r="H451" s="1373"/>
      <c r="I451" s="1359">
        <f>IF(G451=0,0,IF(H451&gt;0,IF((G451*H451/K451)&lt;0.084,0.084,(G451*H451/K451)),0))</f>
        <v>0</v>
      </c>
      <c r="J451" s="1374" t="str">
        <f t="shared" ref="J451" si="521">CONCATENATE(TRUNC(I451,0),":",INT((I451-(TRUNC(I451,0)))*60),":","00")</f>
        <v>0:0:00</v>
      </c>
      <c r="K451" s="500">
        <v>1000</v>
      </c>
      <c r="L451" s="2009">
        <v>116.04</v>
      </c>
      <c r="M451" s="1375">
        <f>H451*L451/K451</f>
        <v>0</v>
      </c>
      <c r="N451" s="1376">
        <v>1</v>
      </c>
      <c r="O451" s="1377">
        <f>M451*N451</f>
        <v>0</v>
      </c>
      <c r="P451" s="1375">
        <f>(M451+O451)*0.15</f>
        <v>0</v>
      </c>
      <c r="Q451" s="1378">
        <f>M451+O451+P451</f>
        <v>0</v>
      </c>
      <c r="R451" s="1375">
        <f>Q451*$R$1</f>
        <v>0</v>
      </c>
      <c r="S451" s="1375">
        <f>(Q451+R451)*$S$1</f>
        <v>0</v>
      </c>
      <c r="T451" s="1375">
        <f>Q451+R451+S451</f>
        <v>0</v>
      </c>
      <c r="U451" s="2028">
        <f t="shared" si="449"/>
        <v>0</v>
      </c>
      <c r="V451" s="1357"/>
      <c r="W451" s="1357"/>
      <c r="X451" s="1357"/>
      <c r="Y451" s="1357"/>
      <c r="AD451" s="2141">
        <f t="shared" si="494"/>
        <v>2.6</v>
      </c>
      <c r="AE451" s="2142" t="str">
        <f t="shared" si="479"/>
        <v/>
      </c>
      <c r="AG451" s="2118" t="s">
        <v>500</v>
      </c>
    </row>
    <row r="452" spans="1:33" ht="15" hidden="1" outlineLevel="2" x14ac:dyDescent="0.2">
      <c r="A452" s="1360">
        <f t="shared" ref="A452:A453" si="522">A451+1</f>
        <v>61</v>
      </c>
      <c r="B452" s="1372" t="s">
        <v>1540</v>
      </c>
      <c r="C452" s="532" t="s">
        <v>1040</v>
      </c>
      <c r="D452" s="1358">
        <v>4</v>
      </c>
      <c r="E452" s="499" t="s">
        <v>462</v>
      </c>
      <c r="F452" s="1382" t="s">
        <v>1541</v>
      </c>
      <c r="G452" s="1354">
        <v>0.25</v>
      </c>
      <c r="H452" s="1373"/>
      <c r="I452" s="1359">
        <f>IF(G452=0,0,IF(H452&gt;0,IF((G452*H452/K452)&lt;0.084,0.084,(G452*H452/K452)),0))</f>
        <v>0</v>
      </c>
      <c r="J452" s="1374" t="str">
        <f t="shared" ref="J452" si="523">CONCATENATE(TRUNC(I452,0),":",INT((I452-(TRUNC(I452,0)))*60),":","00")</f>
        <v>0:0:00</v>
      </c>
      <c r="K452" s="500">
        <v>1000</v>
      </c>
      <c r="L452" s="2009">
        <v>23.79</v>
      </c>
      <c r="M452" s="1375">
        <f>H452*L452/K452</f>
        <v>0</v>
      </c>
      <c r="N452" s="1376">
        <v>1</v>
      </c>
      <c r="O452" s="1377">
        <f>M452*N452</f>
        <v>0</v>
      </c>
      <c r="P452" s="1375">
        <f>(M452+O452)*0.15</f>
        <v>0</v>
      </c>
      <c r="Q452" s="1378">
        <f>M452+O452+P452</f>
        <v>0</v>
      </c>
      <c r="R452" s="1375">
        <f>Q452*$R$1</f>
        <v>0</v>
      </c>
      <c r="S452" s="1375">
        <f>(Q452+R452)*$S$1</f>
        <v>0</v>
      </c>
      <c r="T452" s="1375">
        <f>Q452+R452+S452</f>
        <v>0</v>
      </c>
      <c r="U452" s="2028">
        <f t="shared" ref="U452" si="524">IF(T452&gt;0,1,0)</f>
        <v>0</v>
      </c>
      <c r="V452" s="1357"/>
      <c r="W452" s="1357"/>
      <c r="X452" s="1357"/>
      <c r="Y452" s="1357"/>
      <c r="AD452" s="2141">
        <f t="shared" si="494"/>
        <v>2.6</v>
      </c>
      <c r="AE452" s="2142" t="str">
        <f t="shared" si="479"/>
        <v/>
      </c>
      <c r="AG452" s="2118" t="s">
        <v>500</v>
      </c>
    </row>
    <row r="453" spans="1:33" ht="29.25" hidden="1" outlineLevel="2" x14ac:dyDescent="0.2">
      <c r="A453" s="1360">
        <f t="shared" si="522"/>
        <v>62</v>
      </c>
      <c r="B453" s="1372" t="s">
        <v>1542</v>
      </c>
      <c r="C453" s="532" t="s">
        <v>1040</v>
      </c>
      <c r="D453" s="1358">
        <v>4</v>
      </c>
      <c r="E453" s="499" t="s">
        <v>462</v>
      </c>
      <c r="F453" s="1382" t="s">
        <v>1541</v>
      </c>
      <c r="G453" s="1354">
        <v>0.16700000000000001</v>
      </c>
      <c r="H453" s="1373"/>
      <c r="I453" s="1359">
        <f>IF(G453=0,0,IF(H453&gt;0,IF((G453*H453/K453)&lt;0.084,0.084,(G453*H453/K453)),0))</f>
        <v>0</v>
      </c>
      <c r="J453" s="1374" t="str">
        <f t="shared" ref="J453" si="525">CONCATENATE(TRUNC(I453,0),":",INT((I453-(TRUNC(I453,0)))*60),":","00")</f>
        <v>0:0:00</v>
      </c>
      <c r="K453" s="500">
        <v>1000</v>
      </c>
      <c r="L453" s="2009">
        <v>15.89</v>
      </c>
      <c r="M453" s="1375">
        <f>H453*L453/K453</f>
        <v>0</v>
      </c>
      <c r="N453" s="1376">
        <v>1</v>
      </c>
      <c r="O453" s="1377">
        <f>M453*N453</f>
        <v>0</v>
      </c>
      <c r="P453" s="1375">
        <f>(M453+O453)*0.15</f>
        <v>0</v>
      </c>
      <c r="Q453" s="1378">
        <f>M453+O453+P453</f>
        <v>0</v>
      </c>
      <c r="R453" s="1375">
        <f>Q453*$R$1</f>
        <v>0</v>
      </c>
      <c r="S453" s="1375">
        <f>(Q453+R453)*$S$1</f>
        <v>0</v>
      </c>
      <c r="T453" s="1375">
        <f>Q453+R453+S453</f>
        <v>0</v>
      </c>
      <c r="U453" s="2028">
        <f t="shared" si="449"/>
        <v>0</v>
      </c>
      <c r="V453" s="1357"/>
      <c r="W453" s="1357"/>
      <c r="X453" s="1357"/>
      <c r="Y453" s="1357"/>
      <c r="AD453" s="2141">
        <f t="shared" si="494"/>
        <v>2.6</v>
      </c>
      <c r="AE453" s="2142" t="str">
        <f t="shared" si="479"/>
        <v/>
      </c>
      <c r="AG453" s="2118" t="s">
        <v>500</v>
      </c>
    </row>
    <row r="454" spans="1:33" ht="15" hidden="1" outlineLevel="1" x14ac:dyDescent="0.2">
      <c r="A454" s="1360"/>
      <c r="B454" s="1366" t="s">
        <v>1543</v>
      </c>
      <c r="C454" s="522"/>
      <c r="D454" s="2152"/>
      <c r="E454" s="523" t="s">
        <v>218</v>
      </c>
      <c r="F454" s="2164"/>
      <c r="G454" s="2178"/>
      <c r="H454" s="1367"/>
      <c r="I454" s="2043">
        <f>I456+I459+I462+I466+I469+I472+I475+I476</f>
        <v>0</v>
      </c>
      <c r="J454" s="524"/>
      <c r="K454" s="524"/>
      <c r="L454" s="526"/>
      <c r="M454" s="1368"/>
      <c r="N454" s="524"/>
      <c r="O454" s="1369"/>
      <c r="P454" s="1368"/>
      <c r="Q454" s="1370"/>
      <c r="R454" s="1368"/>
      <c r="S454" s="1371">
        <f>SUM(T455:T476)</f>
        <v>0</v>
      </c>
      <c r="T454" s="1370"/>
      <c r="U454" s="2028">
        <f t="shared" ref="U454:U476" si="526">IF(T454&gt;0,1,0)</f>
        <v>0</v>
      </c>
      <c r="V454" s="1357"/>
      <c r="W454" s="1357"/>
      <c r="X454" s="1357"/>
      <c r="Y454" s="1357"/>
      <c r="AD454" s="2141" t="str">
        <f t="shared" si="494"/>
        <v/>
      </c>
      <c r="AE454" s="2142" t="str">
        <f t="shared" si="479"/>
        <v/>
      </c>
      <c r="AG454" s="2118" t="s">
        <v>500</v>
      </c>
    </row>
    <row r="455" spans="1:33" ht="15" hidden="1" outlineLevel="2" x14ac:dyDescent="0.2">
      <c r="A455" s="1360"/>
      <c r="B455" s="1384" t="s">
        <v>1849</v>
      </c>
      <c r="C455" s="528"/>
      <c r="D455" s="2155"/>
      <c r="E455" s="529" t="s">
        <v>218</v>
      </c>
      <c r="F455" s="2166"/>
      <c r="G455" s="2184"/>
      <c r="H455" s="1385"/>
      <c r="I455" s="530"/>
      <c r="J455" s="530"/>
      <c r="K455" s="530"/>
      <c r="L455" s="531"/>
      <c r="M455" s="1386"/>
      <c r="N455" s="530"/>
      <c r="O455" s="1387"/>
      <c r="P455" s="1386"/>
      <c r="Q455" s="1388"/>
      <c r="R455" s="1386"/>
      <c r="S455" s="1386"/>
      <c r="T455" s="1388"/>
      <c r="U455" s="2028">
        <f t="shared" si="526"/>
        <v>0</v>
      </c>
      <c r="V455" s="1357"/>
      <c r="W455" s="1357"/>
      <c r="X455" s="1357"/>
      <c r="Y455" s="1357"/>
      <c r="AD455" s="2141" t="str">
        <f t="shared" si="494"/>
        <v/>
      </c>
      <c r="AE455" s="2142" t="str">
        <f t="shared" si="479"/>
        <v/>
      </c>
      <c r="AG455" s="2118" t="s">
        <v>500</v>
      </c>
    </row>
    <row r="456" spans="1:33" ht="38.25" hidden="1" outlineLevel="3" x14ac:dyDescent="0.2">
      <c r="A456" s="1360">
        <f>A453+1</f>
        <v>63</v>
      </c>
      <c r="B456" s="1389" t="s">
        <v>1830</v>
      </c>
      <c r="C456" s="585" t="s">
        <v>1831</v>
      </c>
      <c r="D456" s="1390">
        <v>3</v>
      </c>
      <c r="E456" s="499" t="s">
        <v>462</v>
      </c>
      <c r="F456" s="2046" t="s">
        <v>303</v>
      </c>
      <c r="G456" s="1355">
        <v>1.8180000000000001</v>
      </c>
      <c r="H456" s="1373"/>
      <c r="I456" s="1359">
        <f t="shared" ref="I456:I464" si="527">IF(G456=0,0,IF(H456&gt;0,IF((G456*H456/K456)&lt;0.084,0.084,(G456*H456/K456)),0))</f>
        <v>0</v>
      </c>
      <c r="J456" s="1374" t="str">
        <f t="shared" ref="J456:J464" si="528">CONCATENATE(TRUNC(I456,0),":",INT((I456-(TRUNC(I456,0)))*60),":","00")</f>
        <v>0:0:00</v>
      </c>
      <c r="K456" s="500">
        <v>1000</v>
      </c>
      <c r="L456" s="2009">
        <v>138</v>
      </c>
      <c r="M456" s="1375">
        <f t="shared" ref="M456:M464" si="529">H456*L456/K456</f>
        <v>0</v>
      </c>
      <c r="N456" s="1376">
        <v>1</v>
      </c>
      <c r="O456" s="1377">
        <f t="shared" ref="O456:O464" si="530">M456*N456</f>
        <v>0</v>
      </c>
      <c r="P456" s="1375">
        <f t="shared" ref="P456:P464" si="531">(M456+O456)*0.15</f>
        <v>0</v>
      </c>
      <c r="Q456" s="1378">
        <f t="shared" ref="Q456:Q464" si="532">M456+O456+P456</f>
        <v>0</v>
      </c>
      <c r="R456" s="1375">
        <f t="shared" ref="R456:R464" si="533">Q456*$R$1</f>
        <v>0</v>
      </c>
      <c r="S456" s="1375">
        <f t="shared" ref="S456:S464" si="534">(Q456+R456)*$S$1</f>
        <v>0</v>
      </c>
      <c r="T456" s="1375">
        <f t="shared" ref="T456:T464" si="535">Q456+R456+S456</f>
        <v>0</v>
      </c>
      <c r="U456" s="2028">
        <f t="shared" si="526"/>
        <v>0</v>
      </c>
      <c r="V456" s="1357"/>
      <c r="W456" s="1357"/>
      <c r="X456" s="1357"/>
      <c r="Y456" s="1357"/>
      <c r="AD456" s="2141">
        <f t="shared" si="494"/>
        <v>2.6</v>
      </c>
      <c r="AE456" s="2142" t="str">
        <f t="shared" si="479"/>
        <v/>
      </c>
      <c r="AG456" s="2118" t="s">
        <v>500</v>
      </c>
    </row>
    <row r="457" spans="1:33" ht="38.25" hidden="1" outlineLevel="3" x14ac:dyDescent="0.2">
      <c r="A457" s="1360">
        <f>A456+1</f>
        <v>64</v>
      </c>
      <c r="B457" s="1389" t="s">
        <v>1832</v>
      </c>
      <c r="C457" s="585" t="s">
        <v>1831</v>
      </c>
      <c r="D457" s="1390">
        <v>2</v>
      </c>
      <c r="E457" s="499" t="s">
        <v>462</v>
      </c>
      <c r="F457" s="2046" t="s">
        <v>303</v>
      </c>
      <c r="G457" s="1355">
        <v>1.8180000000000001</v>
      </c>
      <c r="H457" s="1373">
        <f>H456</f>
        <v>0</v>
      </c>
      <c r="I457" s="1359">
        <f t="shared" si="527"/>
        <v>0</v>
      </c>
      <c r="J457" s="1374" t="str">
        <f t="shared" si="528"/>
        <v>0:0:00</v>
      </c>
      <c r="K457" s="500">
        <v>1000</v>
      </c>
      <c r="L457" s="2009">
        <v>115</v>
      </c>
      <c r="M457" s="1375">
        <f t="shared" si="529"/>
        <v>0</v>
      </c>
      <c r="N457" s="1376">
        <v>1</v>
      </c>
      <c r="O457" s="1377">
        <f t="shared" si="530"/>
        <v>0</v>
      </c>
      <c r="P457" s="1375">
        <f t="shared" si="531"/>
        <v>0</v>
      </c>
      <c r="Q457" s="1378">
        <f t="shared" si="532"/>
        <v>0</v>
      </c>
      <c r="R457" s="1375">
        <f t="shared" si="533"/>
        <v>0</v>
      </c>
      <c r="S457" s="1375">
        <f t="shared" si="534"/>
        <v>0</v>
      </c>
      <c r="T457" s="1375">
        <f t="shared" si="535"/>
        <v>0</v>
      </c>
      <c r="U457" s="2028">
        <f t="shared" si="526"/>
        <v>0</v>
      </c>
      <c r="V457" s="1357"/>
      <c r="W457" s="1357"/>
      <c r="X457" s="1357"/>
      <c r="Y457" s="1357"/>
      <c r="AD457" s="2141">
        <f t="shared" si="494"/>
        <v>1.5</v>
      </c>
      <c r="AE457" s="2142" t="str">
        <f t="shared" si="479"/>
        <v/>
      </c>
      <c r="AG457" s="2118" t="s">
        <v>500</v>
      </c>
    </row>
    <row r="458" spans="1:33" ht="38.25" hidden="1" outlineLevel="3" x14ac:dyDescent="0.2">
      <c r="A458" s="1360">
        <f t="shared" ref="A458:A464" si="536">A457+1</f>
        <v>65</v>
      </c>
      <c r="B458" s="1389" t="s">
        <v>1832</v>
      </c>
      <c r="C458" s="585" t="s">
        <v>1831</v>
      </c>
      <c r="D458" s="1390">
        <v>2</v>
      </c>
      <c r="E458" s="499" t="s">
        <v>462</v>
      </c>
      <c r="F458" s="2046" t="s">
        <v>303</v>
      </c>
      <c r="G458" s="1355">
        <v>1.8180000000000001</v>
      </c>
      <c r="H458" s="1373">
        <f>H456</f>
        <v>0</v>
      </c>
      <c r="I458" s="1359">
        <f t="shared" si="527"/>
        <v>0</v>
      </c>
      <c r="J458" s="1374" t="str">
        <f t="shared" si="528"/>
        <v>0:0:00</v>
      </c>
      <c r="K458" s="500">
        <v>1000</v>
      </c>
      <c r="L458" s="2009">
        <v>115</v>
      </c>
      <c r="M458" s="1375">
        <f t="shared" si="529"/>
        <v>0</v>
      </c>
      <c r="N458" s="1376">
        <v>1</v>
      </c>
      <c r="O458" s="1377">
        <f t="shared" si="530"/>
        <v>0</v>
      </c>
      <c r="P458" s="1375">
        <f t="shared" si="531"/>
        <v>0</v>
      </c>
      <c r="Q458" s="1378">
        <f t="shared" si="532"/>
        <v>0</v>
      </c>
      <c r="R458" s="1375">
        <f t="shared" si="533"/>
        <v>0</v>
      </c>
      <c r="S458" s="1375">
        <f t="shared" si="534"/>
        <v>0</v>
      </c>
      <c r="T458" s="1375">
        <f t="shared" si="535"/>
        <v>0</v>
      </c>
      <c r="U458" s="2028">
        <f t="shared" si="526"/>
        <v>0</v>
      </c>
      <c r="V458" s="1357"/>
      <c r="W458" s="1357"/>
      <c r="X458" s="1357"/>
      <c r="Y458" s="1357"/>
      <c r="AD458" s="2141">
        <f t="shared" si="494"/>
        <v>1.5</v>
      </c>
      <c r="AE458" s="2142" t="str">
        <f t="shared" si="479"/>
        <v/>
      </c>
      <c r="AG458" s="2118" t="s">
        <v>500</v>
      </c>
    </row>
    <row r="459" spans="1:33" ht="38.25" hidden="1" outlineLevel="3" x14ac:dyDescent="0.2">
      <c r="A459" s="1360">
        <f t="shared" si="536"/>
        <v>66</v>
      </c>
      <c r="B459" s="1389" t="s">
        <v>1833</v>
      </c>
      <c r="C459" s="585" t="s">
        <v>1834</v>
      </c>
      <c r="D459" s="1390">
        <v>3</v>
      </c>
      <c r="E459" s="499" t="s">
        <v>462</v>
      </c>
      <c r="F459" s="2046" t="s">
        <v>303</v>
      </c>
      <c r="G459" s="1355">
        <v>2</v>
      </c>
      <c r="H459" s="1373"/>
      <c r="I459" s="1359">
        <f t="shared" si="527"/>
        <v>0</v>
      </c>
      <c r="J459" s="1374" t="str">
        <f t="shared" si="528"/>
        <v>0:0:00</v>
      </c>
      <c r="K459" s="500">
        <v>1000</v>
      </c>
      <c r="L459" s="2009">
        <v>151.80000000000001</v>
      </c>
      <c r="M459" s="1375">
        <f t="shared" si="529"/>
        <v>0</v>
      </c>
      <c r="N459" s="1376">
        <v>1</v>
      </c>
      <c r="O459" s="1377">
        <f t="shared" si="530"/>
        <v>0</v>
      </c>
      <c r="P459" s="1375">
        <f t="shared" si="531"/>
        <v>0</v>
      </c>
      <c r="Q459" s="1378">
        <f t="shared" si="532"/>
        <v>0</v>
      </c>
      <c r="R459" s="1375">
        <f t="shared" si="533"/>
        <v>0</v>
      </c>
      <c r="S459" s="1375">
        <f t="shared" si="534"/>
        <v>0</v>
      </c>
      <c r="T459" s="1375">
        <f t="shared" si="535"/>
        <v>0</v>
      </c>
      <c r="U459" s="2028">
        <f t="shared" si="526"/>
        <v>0</v>
      </c>
      <c r="V459" s="1357"/>
      <c r="W459" s="1357"/>
      <c r="X459" s="1357"/>
      <c r="Y459" s="1357"/>
      <c r="AD459" s="2141">
        <f t="shared" si="494"/>
        <v>2.6</v>
      </c>
      <c r="AE459" s="2142" t="str">
        <f t="shared" si="479"/>
        <v/>
      </c>
      <c r="AG459" s="2118" t="s">
        <v>500</v>
      </c>
    </row>
    <row r="460" spans="1:33" ht="38.25" hidden="1" outlineLevel="3" x14ac:dyDescent="0.2">
      <c r="A460" s="1360">
        <f t="shared" si="536"/>
        <v>67</v>
      </c>
      <c r="B460" s="1389" t="s">
        <v>1835</v>
      </c>
      <c r="C460" s="585" t="s">
        <v>1834</v>
      </c>
      <c r="D460" s="1390">
        <v>2</v>
      </c>
      <c r="E460" s="499" t="s">
        <v>462</v>
      </c>
      <c r="F460" s="2046" t="s">
        <v>303</v>
      </c>
      <c r="G460" s="1355">
        <v>2</v>
      </c>
      <c r="H460" s="1373">
        <f>H459</f>
        <v>0</v>
      </c>
      <c r="I460" s="1359">
        <f t="shared" ref="I460:I461" si="537">IF(G460=0,0,IF(H460&gt;0,IF((G460*H460/K460)&lt;0.084,0.084,(G460*H460/K460)),0))</f>
        <v>0</v>
      </c>
      <c r="J460" s="1374" t="str">
        <f t="shared" ref="J460:J461" si="538">CONCATENATE(TRUNC(I460,0),":",INT((I460-(TRUNC(I460,0)))*60),":","00")</f>
        <v>0:0:00</v>
      </c>
      <c r="K460" s="500">
        <v>1000</v>
      </c>
      <c r="L460" s="2009">
        <v>126.5</v>
      </c>
      <c r="M460" s="1375">
        <f t="shared" ref="M460:M461" si="539">H460*L460/K460</f>
        <v>0</v>
      </c>
      <c r="N460" s="1376">
        <v>1</v>
      </c>
      <c r="O460" s="1377">
        <f t="shared" ref="O460:O461" si="540">M460*N460</f>
        <v>0</v>
      </c>
      <c r="P460" s="1375">
        <f t="shared" ref="P460:P461" si="541">(M460+O460)*0.15</f>
        <v>0</v>
      </c>
      <c r="Q460" s="1378">
        <f t="shared" ref="Q460:Q461" si="542">M460+O460+P460</f>
        <v>0</v>
      </c>
      <c r="R460" s="1375">
        <f t="shared" ref="R460:R461" si="543">Q460*$R$1</f>
        <v>0</v>
      </c>
      <c r="S460" s="1375">
        <f t="shared" ref="S460:S461" si="544">(Q460+R460)*$S$1</f>
        <v>0</v>
      </c>
      <c r="T460" s="1375">
        <f t="shared" ref="T460:T461" si="545">Q460+R460+S460</f>
        <v>0</v>
      </c>
      <c r="U460" s="2028">
        <f t="shared" ref="U460:U461" si="546">IF(T460&gt;0,1,0)</f>
        <v>0</v>
      </c>
      <c r="V460" s="1357"/>
      <c r="W460" s="1357"/>
      <c r="X460" s="1357"/>
      <c r="Y460" s="1357"/>
      <c r="AD460" s="2141">
        <f t="shared" si="494"/>
        <v>1.5</v>
      </c>
      <c r="AE460" s="2142" t="str">
        <f t="shared" si="479"/>
        <v/>
      </c>
      <c r="AG460" s="2118" t="s">
        <v>500</v>
      </c>
    </row>
    <row r="461" spans="1:33" ht="38.25" hidden="1" outlineLevel="3" x14ac:dyDescent="0.2">
      <c r="A461" s="1360">
        <f t="shared" si="536"/>
        <v>68</v>
      </c>
      <c r="B461" s="1389" t="s">
        <v>1835</v>
      </c>
      <c r="C461" s="585" t="s">
        <v>1834</v>
      </c>
      <c r="D461" s="1390">
        <v>2</v>
      </c>
      <c r="E461" s="499" t="s">
        <v>462</v>
      </c>
      <c r="F461" s="2046" t="s">
        <v>303</v>
      </c>
      <c r="G461" s="1355">
        <v>2</v>
      </c>
      <c r="H461" s="1373">
        <f>H459</f>
        <v>0</v>
      </c>
      <c r="I461" s="1359">
        <f t="shared" si="537"/>
        <v>0</v>
      </c>
      <c r="J461" s="1374" t="str">
        <f t="shared" si="538"/>
        <v>0:0:00</v>
      </c>
      <c r="K461" s="500">
        <v>1000</v>
      </c>
      <c r="L461" s="2009">
        <v>126.5</v>
      </c>
      <c r="M461" s="1375">
        <f t="shared" si="539"/>
        <v>0</v>
      </c>
      <c r="N461" s="1376">
        <v>1</v>
      </c>
      <c r="O461" s="1377">
        <f t="shared" si="540"/>
        <v>0</v>
      </c>
      <c r="P461" s="1375">
        <f t="shared" si="541"/>
        <v>0</v>
      </c>
      <c r="Q461" s="1378">
        <f t="shared" si="542"/>
        <v>0</v>
      </c>
      <c r="R461" s="1375">
        <f t="shared" si="543"/>
        <v>0</v>
      </c>
      <c r="S461" s="1375">
        <f t="shared" si="544"/>
        <v>0</v>
      </c>
      <c r="T461" s="1375">
        <f t="shared" si="545"/>
        <v>0</v>
      </c>
      <c r="U461" s="2028">
        <f t="shared" si="546"/>
        <v>0</v>
      </c>
      <c r="V461" s="1357"/>
      <c r="W461" s="1357"/>
      <c r="X461" s="1357"/>
      <c r="Y461" s="1357"/>
      <c r="AD461" s="2141">
        <f t="shared" si="494"/>
        <v>1.5</v>
      </c>
      <c r="AE461" s="2142" t="str">
        <f t="shared" si="479"/>
        <v/>
      </c>
      <c r="AG461" s="2118" t="s">
        <v>500</v>
      </c>
    </row>
    <row r="462" spans="1:33" ht="38.25" hidden="1" outlineLevel="3" x14ac:dyDescent="0.2">
      <c r="A462" s="1360">
        <f t="shared" si="536"/>
        <v>69</v>
      </c>
      <c r="B462" s="1389" t="s">
        <v>1836</v>
      </c>
      <c r="C462" s="585" t="s">
        <v>1837</v>
      </c>
      <c r="D462" s="1390">
        <v>3</v>
      </c>
      <c r="E462" s="499" t="s">
        <v>462</v>
      </c>
      <c r="F462" s="2046" t="s">
        <v>303</v>
      </c>
      <c r="G462" s="1355">
        <v>2.222</v>
      </c>
      <c r="H462" s="1373"/>
      <c r="I462" s="1359">
        <f t="shared" si="527"/>
        <v>0</v>
      </c>
      <c r="J462" s="1374" t="str">
        <f t="shared" si="528"/>
        <v>0:0:00</v>
      </c>
      <c r="K462" s="500">
        <v>1000</v>
      </c>
      <c r="L462" s="2009">
        <v>168.67</v>
      </c>
      <c r="M462" s="1375">
        <f t="shared" si="529"/>
        <v>0</v>
      </c>
      <c r="N462" s="1376">
        <v>1</v>
      </c>
      <c r="O462" s="1377">
        <f t="shared" si="530"/>
        <v>0</v>
      </c>
      <c r="P462" s="1375">
        <f t="shared" si="531"/>
        <v>0</v>
      </c>
      <c r="Q462" s="1378">
        <f t="shared" si="532"/>
        <v>0</v>
      </c>
      <c r="R462" s="1375">
        <f t="shared" si="533"/>
        <v>0</v>
      </c>
      <c r="S462" s="1375">
        <f t="shared" si="534"/>
        <v>0</v>
      </c>
      <c r="T462" s="1375">
        <f t="shared" si="535"/>
        <v>0</v>
      </c>
      <c r="U462" s="2028">
        <f t="shared" si="526"/>
        <v>0</v>
      </c>
      <c r="V462" s="1357"/>
      <c r="W462" s="1357"/>
      <c r="X462" s="1357"/>
      <c r="Y462" s="1357"/>
      <c r="AD462" s="2141">
        <f t="shared" si="494"/>
        <v>2.6</v>
      </c>
      <c r="AE462" s="2142" t="str">
        <f t="shared" si="479"/>
        <v/>
      </c>
      <c r="AG462" s="2118" t="s">
        <v>500</v>
      </c>
    </row>
    <row r="463" spans="1:33" ht="38.25" hidden="1" outlineLevel="3" x14ac:dyDescent="0.2">
      <c r="A463" s="1360">
        <f t="shared" si="536"/>
        <v>70</v>
      </c>
      <c r="B463" s="1389" t="s">
        <v>1838</v>
      </c>
      <c r="C463" s="585" t="s">
        <v>1837</v>
      </c>
      <c r="D463" s="1390">
        <v>2</v>
      </c>
      <c r="E463" s="499" t="s">
        <v>462</v>
      </c>
      <c r="F463" s="2046" t="s">
        <v>303</v>
      </c>
      <c r="G463" s="1355">
        <v>2.222</v>
      </c>
      <c r="H463" s="1373">
        <f>H462</f>
        <v>0</v>
      </c>
      <c r="I463" s="1359">
        <f t="shared" si="527"/>
        <v>0</v>
      </c>
      <c r="J463" s="1374" t="str">
        <f t="shared" si="528"/>
        <v>0:0:00</v>
      </c>
      <c r="K463" s="500">
        <v>1000</v>
      </c>
      <c r="L463" s="2009">
        <v>140.56</v>
      </c>
      <c r="M463" s="1375">
        <f t="shared" si="529"/>
        <v>0</v>
      </c>
      <c r="N463" s="1376">
        <v>1</v>
      </c>
      <c r="O463" s="1377">
        <f t="shared" si="530"/>
        <v>0</v>
      </c>
      <c r="P463" s="1375">
        <f t="shared" si="531"/>
        <v>0</v>
      </c>
      <c r="Q463" s="1378">
        <f t="shared" si="532"/>
        <v>0</v>
      </c>
      <c r="R463" s="1375">
        <f t="shared" si="533"/>
        <v>0</v>
      </c>
      <c r="S463" s="1375">
        <f t="shared" si="534"/>
        <v>0</v>
      </c>
      <c r="T463" s="1375">
        <f t="shared" si="535"/>
        <v>0</v>
      </c>
      <c r="U463" s="2028">
        <f t="shared" si="526"/>
        <v>0</v>
      </c>
      <c r="V463" s="1357"/>
      <c r="W463" s="1357"/>
      <c r="X463" s="1357"/>
      <c r="Y463" s="1357"/>
      <c r="AD463" s="2141">
        <f t="shared" si="494"/>
        <v>1.5</v>
      </c>
      <c r="AE463" s="2142" t="str">
        <f t="shared" si="479"/>
        <v/>
      </c>
      <c r="AG463" s="2118" t="s">
        <v>500</v>
      </c>
    </row>
    <row r="464" spans="1:33" ht="38.25" hidden="1" outlineLevel="3" x14ac:dyDescent="0.2">
      <c r="A464" s="1360">
        <f t="shared" si="536"/>
        <v>71</v>
      </c>
      <c r="B464" s="1389" t="s">
        <v>1838</v>
      </c>
      <c r="C464" s="585" t="s">
        <v>1837</v>
      </c>
      <c r="D464" s="1390">
        <v>2</v>
      </c>
      <c r="E464" s="499" t="s">
        <v>462</v>
      </c>
      <c r="F464" s="2046" t="s">
        <v>303</v>
      </c>
      <c r="G464" s="1355">
        <v>2.222</v>
      </c>
      <c r="H464" s="1373">
        <f>H462</f>
        <v>0</v>
      </c>
      <c r="I464" s="1359">
        <f t="shared" si="527"/>
        <v>0</v>
      </c>
      <c r="J464" s="1374" t="str">
        <f t="shared" si="528"/>
        <v>0:0:00</v>
      </c>
      <c r="K464" s="500">
        <v>1000</v>
      </c>
      <c r="L464" s="2009">
        <v>140.56</v>
      </c>
      <c r="M464" s="1375">
        <f t="shared" si="529"/>
        <v>0</v>
      </c>
      <c r="N464" s="1376">
        <v>1</v>
      </c>
      <c r="O464" s="1377">
        <f t="shared" si="530"/>
        <v>0</v>
      </c>
      <c r="P464" s="1375">
        <f t="shared" si="531"/>
        <v>0</v>
      </c>
      <c r="Q464" s="1378">
        <f t="shared" si="532"/>
        <v>0</v>
      </c>
      <c r="R464" s="1375">
        <f t="shared" si="533"/>
        <v>0</v>
      </c>
      <c r="S464" s="1375">
        <f t="shared" si="534"/>
        <v>0</v>
      </c>
      <c r="T464" s="1375">
        <f t="shared" si="535"/>
        <v>0</v>
      </c>
      <c r="U464" s="2028">
        <f t="shared" si="526"/>
        <v>0</v>
      </c>
      <c r="V464" s="1357"/>
      <c r="W464" s="1357"/>
      <c r="X464" s="1357"/>
      <c r="Y464" s="1357"/>
      <c r="AD464" s="2141">
        <f t="shared" si="494"/>
        <v>1.5</v>
      </c>
      <c r="AE464" s="2142" t="str">
        <f t="shared" si="479"/>
        <v/>
      </c>
      <c r="AG464" s="2118" t="s">
        <v>500</v>
      </c>
    </row>
    <row r="465" spans="1:33" ht="15" hidden="1" outlineLevel="2" x14ac:dyDescent="0.2">
      <c r="A465" s="1360"/>
      <c r="B465" s="1384" t="s">
        <v>1850</v>
      </c>
      <c r="C465" s="528"/>
      <c r="D465" s="2155"/>
      <c r="E465" s="529" t="s">
        <v>218</v>
      </c>
      <c r="F465" s="2166"/>
      <c r="G465" s="2184"/>
      <c r="H465" s="1385"/>
      <c r="I465" s="1436"/>
      <c r="J465" s="530"/>
      <c r="K465" s="530"/>
      <c r="L465" s="533"/>
      <c r="M465" s="1386"/>
      <c r="N465" s="530"/>
      <c r="O465" s="1387"/>
      <c r="P465" s="1386"/>
      <c r="Q465" s="1388"/>
      <c r="R465" s="1386"/>
      <c r="S465" s="1386"/>
      <c r="T465" s="1388"/>
      <c r="U465" s="2028">
        <f t="shared" si="526"/>
        <v>0</v>
      </c>
      <c r="V465" s="1357"/>
      <c r="W465" s="1357"/>
      <c r="X465" s="1357"/>
      <c r="Y465" s="1357"/>
      <c r="AD465" s="2141" t="str">
        <f t="shared" si="494"/>
        <v/>
      </c>
      <c r="AE465" s="2142" t="str">
        <f t="shared" si="479"/>
        <v/>
      </c>
      <c r="AG465" s="2118" t="s">
        <v>500</v>
      </c>
    </row>
    <row r="466" spans="1:33" ht="38.25" hidden="1" outlineLevel="3" x14ac:dyDescent="0.2">
      <c r="A466" s="1360">
        <f>A464+1</f>
        <v>72</v>
      </c>
      <c r="B466" s="1389" t="s">
        <v>1839</v>
      </c>
      <c r="C466" s="585" t="s">
        <v>1840</v>
      </c>
      <c r="D466" s="1358">
        <v>3</v>
      </c>
      <c r="E466" s="499" t="s">
        <v>462</v>
      </c>
      <c r="F466" s="2046" t="s">
        <v>303</v>
      </c>
      <c r="G466" s="1355">
        <v>1.6659999999999999</v>
      </c>
      <c r="H466" s="1373"/>
      <c r="I466" s="1359">
        <f t="shared" ref="I466:I476" si="547">IF(G466=0,0,IF(H466&gt;0,IF((G466*H466/K466)&lt;0.084,0.084,(G466*H466/K466)),0))</f>
        <v>0</v>
      </c>
      <c r="J466" s="1374" t="str">
        <f t="shared" ref="J466:J476" si="548">CONCATENATE(TRUNC(I466,0),":",INT((I466-(TRUNC(I466,0)))*60),":","00")</f>
        <v>0:0:00</v>
      </c>
      <c r="K466" s="500">
        <v>1000</v>
      </c>
      <c r="L466" s="2009">
        <v>126.5</v>
      </c>
      <c r="M466" s="1375">
        <f t="shared" ref="M466:M476" si="549">H466*L466/K466</f>
        <v>0</v>
      </c>
      <c r="N466" s="1376">
        <v>1</v>
      </c>
      <c r="O466" s="1377">
        <f t="shared" ref="O466:O476" si="550">M466*N466</f>
        <v>0</v>
      </c>
      <c r="P466" s="1375">
        <f t="shared" ref="P466:P476" si="551">(M466+O466)*0.15</f>
        <v>0</v>
      </c>
      <c r="Q466" s="1378">
        <f t="shared" ref="Q466:Q476" si="552">M466+O466+P466</f>
        <v>0</v>
      </c>
      <c r="R466" s="1375">
        <f t="shared" ref="R466:R476" si="553">Q466*$R$1</f>
        <v>0</v>
      </c>
      <c r="S466" s="1375">
        <f t="shared" ref="S466:S476" si="554">(Q466+R466)*$S$1</f>
        <v>0</v>
      </c>
      <c r="T466" s="1375">
        <f t="shared" ref="T466:T476" si="555">Q466+R466+S466</f>
        <v>0</v>
      </c>
      <c r="U466" s="2028">
        <f t="shared" si="526"/>
        <v>0</v>
      </c>
      <c r="V466" s="1357"/>
      <c r="W466" s="1357"/>
      <c r="X466" s="1357"/>
      <c r="Y466" s="1357"/>
      <c r="AD466" s="2141">
        <f t="shared" si="494"/>
        <v>2.6</v>
      </c>
      <c r="AE466" s="2142" t="str">
        <f t="shared" si="479"/>
        <v/>
      </c>
      <c r="AG466" s="2118" t="s">
        <v>500</v>
      </c>
    </row>
    <row r="467" spans="1:33" ht="38.25" hidden="1" outlineLevel="3" x14ac:dyDescent="0.2">
      <c r="A467" s="1360">
        <f>A466+1</f>
        <v>73</v>
      </c>
      <c r="B467" s="1389" t="s">
        <v>1841</v>
      </c>
      <c r="C467" s="585" t="s">
        <v>1840</v>
      </c>
      <c r="D467" s="1358">
        <v>2</v>
      </c>
      <c r="E467" s="499" t="s">
        <v>462</v>
      </c>
      <c r="F467" s="2046" t="s">
        <v>303</v>
      </c>
      <c r="G467" s="1355">
        <v>1.6659999999999999</v>
      </c>
      <c r="H467" s="1373">
        <f>H466</f>
        <v>0</v>
      </c>
      <c r="I467" s="1359">
        <f t="shared" si="547"/>
        <v>0</v>
      </c>
      <c r="J467" s="1374" t="str">
        <f t="shared" si="548"/>
        <v>0:0:00</v>
      </c>
      <c r="K467" s="500">
        <v>1000</v>
      </c>
      <c r="L467" s="2009">
        <v>105.42</v>
      </c>
      <c r="M467" s="1375">
        <f t="shared" si="549"/>
        <v>0</v>
      </c>
      <c r="N467" s="1376">
        <v>1</v>
      </c>
      <c r="O467" s="1377">
        <f t="shared" si="550"/>
        <v>0</v>
      </c>
      <c r="P467" s="1375">
        <f t="shared" si="551"/>
        <v>0</v>
      </c>
      <c r="Q467" s="1378">
        <f t="shared" si="552"/>
        <v>0</v>
      </c>
      <c r="R467" s="1375">
        <f t="shared" si="553"/>
        <v>0</v>
      </c>
      <c r="S467" s="1375">
        <f t="shared" si="554"/>
        <v>0</v>
      </c>
      <c r="T467" s="1375">
        <f t="shared" si="555"/>
        <v>0</v>
      </c>
      <c r="U467" s="2028">
        <f t="shared" si="526"/>
        <v>0</v>
      </c>
      <c r="V467" s="1357"/>
      <c r="W467" s="1357"/>
      <c r="X467" s="1357"/>
      <c r="Y467" s="1357"/>
      <c r="AD467" s="2141">
        <f t="shared" si="494"/>
        <v>1.5</v>
      </c>
      <c r="AE467" s="2142" t="str">
        <f t="shared" si="479"/>
        <v/>
      </c>
      <c r="AG467" s="2118" t="s">
        <v>500</v>
      </c>
    </row>
    <row r="468" spans="1:33" ht="38.25" hidden="1" outlineLevel="3" x14ac:dyDescent="0.2">
      <c r="A468" s="1360">
        <f t="shared" ref="A468:A476" si="556">A467+1</f>
        <v>74</v>
      </c>
      <c r="B468" s="1389" t="s">
        <v>1841</v>
      </c>
      <c r="C468" s="585" t="s">
        <v>1840</v>
      </c>
      <c r="D468" s="1358">
        <v>2</v>
      </c>
      <c r="E468" s="499" t="s">
        <v>462</v>
      </c>
      <c r="F468" s="2046" t="s">
        <v>303</v>
      </c>
      <c r="G468" s="1355">
        <v>1.6659999999999999</v>
      </c>
      <c r="H468" s="1373">
        <f>H466</f>
        <v>0</v>
      </c>
      <c r="I468" s="1359">
        <f t="shared" si="547"/>
        <v>0</v>
      </c>
      <c r="J468" s="1374" t="str">
        <f t="shared" si="548"/>
        <v>0:0:00</v>
      </c>
      <c r="K468" s="500">
        <v>1000</v>
      </c>
      <c r="L468" s="2009">
        <v>105.42</v>
      </c>
      <c r="M468" s="1375">
        <f t="shared" si="549"/>
        <v>0</v>
      </c>
      <c r="N468" s="1376">
        <v>1</v>
      </c>
      <c r="O468" s="1377">
        <f t="shared" si="550"/>
        <v>0</v>
      </c>
      <c r="P468" s="1375">
        <f t="shared" si="551"/>
        <v>0</v>
      </c>
      <c r="Q468" s="1378">
        <f t="shared" si="552"/>
        <v>0</v>
      </c>
      <c r="R468" s="1375">
        <f t="shared" si="553"/>
        <v>0</v>
      </c>
      <c r="S468" s="1375">
        <f t="shared" si="554"/>
        <v>0</v>
      </c>
      <c r="T468" s="1375">
        <f t="shared" si="555"/>
        <v>0</v>
      </c>
      <c r="U468" s="2028">
        <f t="shared" si="526"/>
        <v>0</v>
      </c>
      <c r="V468" s="1357"/>
      <c r="W468" s="1357"/>
      <c r="X468" s="1357"/>
      <c r="Y468" s="1357"/>
      <c r="AD468" s="2141">
        <f t="shared" si="494"/>
        <v>1.5</v>
      </c>
      <c r="AE468" s="2142" t="str">
        <f t="shared" si="479"/>
        <v/>
      </c>
      <c r="AG468" s="2118" t="s">
        <v>500</v>
      </c>
    </row>
    <row r="469" spans="1:33" ht="38.25" hidden="1" outlineLevel="3" x14ac:dyDescent="0.2">
      <c r="A469" s="1360">
        <f t="shared" si="556"/>
        <v>75</v>
      </c>
      <c r="B469" s="1389" t="s">
        <v>1842</v>
      </c>
      <c r="C469" s="585" t="s">
        <v>1843</v>
      </c>
      <c r="D469" s="1358">
        <v>3</v>
      </c>
      <c r="E469" s="499" t="s">
        <v>462</v>
      </c>
      <c r="F469" s="2046" t="s">
        <v>303</v>
      </c>
      <c r="G469" s="1355">
        <v>1.8180000000000001</v>
      </c>
      <c r="H469" s="1373"/>
      <c r="I469" s="1359">
        <f t="shared" si="547"/>
        <v>0</v>
      </c>
      <c r="J469" s="1374" t="str">
        <f t="shared" si="548"/>
        <v>0:0:00</v>
      </c>
      <c r="K469" s="500">
        <v>1000</v>
      </c>
      <c r="L469" s="2009">
        <v>138</v>
      </c>
      <c r="M469" s="1375">
        <f t="shared" si="549"/>
        <v>0</v>
      </c>
      <c r="N469" s="1376">
        <v>1</v>
      </c>
      <c r="O469" s="1377">
        <f t="shared" si="550"/>
        <v>0</v>
      </c>
      <c r="P469" s="1375">
        <f t="shared" si="551"/>
        <v>0</v>
      </c>
      <c r="Q469" s="1378">
        <f t="shared" si="552"/>
        <v>0</v>
      </c>
      <c r="R469" s="1375">
        <f t="shared" si="553"/>
        <v>0</v>
      </c>
      <c r="S469" s="1375">
        <f t="shared" si="554"/>
        <v>0</v>
      </c>
      <c r="T469" s="1375">
        <f t="shared" si="555"/>
        <v>0</v>
      </c>
      <c r="U469" s="2028">
        <f t="shared" si="526"/>
        <v>0</v>
      </c>
      <c r="V469" s="1357"/>
      <c r="W469" s="1357"/>
      <c r="X469" s="1357"/>
      <c r="Y469" s="1357"/>
      <c r="AD469" s="2141">
        <f t="shared" si="494"/>
        <v>2.6</v>
      </c>
      <c r="AE469" s="2142" t="str">
        <f t="shared" si="479"/>
        <v/>
      </c>
      <c r="AG469" s="2118" t="s">
        <v>500</v>
      </c>
    </row>
    <row r="470" spans="1:33" ht="38.25" hidden="1" outlineLevel="3" x14ac:dyDescent="0.2">
      <c r="A470" s="1360">
        <f t="shared" si="556"/>
        <v>76</v>
      </c>
      <c r="B470" s="1389" t="s">
        <v>1844</v>
      </c>
      <c r="C470" s="585" t="s">
        <v>1843</v>
      </c>
      <c r="D470" s="1358">
        <v>2</v>
      </c>
      <c r="E470" s="499" t="s">
        <v>462</v>
      </c>
      <c r="F470" s="2046" t="s">
        <v>303</v>
      </c>
      <c r="G470" s="1355">
        <v>1.8180000000000001</v>
      </c>
      <c r="H470" s="1373">
        <f>H469</f>
        <v>0</v>
      </c>
      <c r="I470" s="1359">
        <f t="shared" ref="I470:I472" si="557">IF(G470=0,0,IF(H470&gt;0,IF((G470*H470/K470)&lt;0.084,0.084,(G470*H470/K470)),0))</f>
        <v>0</v>
      </c>
      <c r="J470" s="1374" t="str">
        <f t="shared" ref="J470:J472" si="558">CONCATENATE(TRUNC(I470,0),":",INT((I470-(TRUNC(I470,0)))*60),":","00")</f>
        <v>0:0:00</v>
      </c>
      <c r="K470" s="500">
        <v>1000</v>
      </c>
      <c r="L470" s="2009">
        <v>115</v>
      </c>
      <c r="M470" s="1375">
        <f t="shared" ref="M470:M472" si="559">H470*L470/K470</f>
        <v>0</v>
      </c>
      <c r="N470" s="1376">
        <v>1</v>
      </c>
      <c r="O470" s="1377">
        <f t="shared" ref="O470:O472" si="560">M470*N470</f>
        <v>0</v>
      </c>
      <c r="P470" s="1375">
        <f t="shared" ref="P470:P472" si="561">(M470+O470)*0.15</f>
        <v>0</v>
      </c>
      <c r="Q470" s="1378">
        <f t="shared" ref="Q470:Q472" si="562">M470+O470+P470</f>
        <v>0</v>
      </c>
      <c r="R470" s="1375">
        <f t="shared" ref="R470:R472" si="563">Q470*$R$1</f>
        <v>0</v>
      </c>
      <c r="S470" s="1375">
        <f t="shared" ref="S470:S472" si="564">(Q470+R470)*$S$1</f>
        <v>0</v>
      </c>
      <c r="T470" s="1375">
        <f t="shared" ref="T470:T472" si="565">Q470+R470+S470</f>
        <v>0</v>
      </c>
      <c r="U470" s="2028">
        <f t="shared" ref="U470:U472" si="566">IF(T470&gt;0,1,0)</f>
        <v>0</v>
      </c>
      <c r="V470" s="1357"/>
      <c r="W470" s="1357"/>
      <c r="X470" s="1357"/>
      <c r="Y470" s="1357"/>
      <c r="AD470" s="2141">
        <f t="shared" si="494"/>
        <v>1.5</v>
      </c>
      <c r="AE470" s="2142" t="str">
        <f t="shared" si="479"/>
        <v/>
      </c>
      <c r="AG470" s="2118" t="s">
        <v>500</v>
      </c>
    </row>
    <row r="471" spans="1:33" ht="38.25" hidden="1" outlineLevel="3" x14ac:dyDescent="0.2">
      <c r="A471" s="1360">
        <f t="shared" si="556"/>
        <v>77</v>
      </c>
      <c r="B471" s="1389" t="s">
        <v>1844</v>
      </c>
      <c r="C471" s="585" t="s">
        <v>1843</v>
      </c>
      <c r="D471" s="1358">
        <v>2</v>
      </c>
      <c r="E471" s="499" t="s">
        <v>462</v>
      </c>
      <c r="F471" s="2046" t="s">
        <v>303</v>
      </c>
      <c r="G471" s="1355">
        <v>1.8180000000000001</v>
      </c>
      <c r="H471" s="1373">
        <f>H469</f>
        <v>0</v>
      </c>
      <c r="I471" s="1359">
        <f t="shared" si="557"/>
        <v>0</v>
      </c>
      <c r="J471" s="1374" t="str">
        <f t="shared" si="558"/>
        <v>0:0:00</v>
      </c>
      <c r="K471" s="500">
        <v>1000</v>
      </c>
      <c r="L471" s="2009">
        <v>115</v>
      </c>
      <c r="M471" s="1375">
        <f t="shared" si="559"/>
        <v>0</v>
      </c>
      <c r="N471" s="1376">
        <v>1</v>
      </c>
      <c r="O471" s="1377">
        <f t="shared" si="560"/>
        <v>0</v>
      </c>
      <c r="P471" s="1375">
        <f t="shared" si="561"/>
        <v>0</v>
      </c>
      <c r="Q471" s="1378">
        <f t="shared" si="562"/>
        <v>0</v>
      </c>
      <c r="R471" s="1375">
        <f t="shared" si="563"/>
        <v>0</v>
      </c>
      <c r="S471" s="1375">
        <f t="shared" si="564"/>
        <v>0</v>
      </c>
      <c r="T471" s="1375">
        <f t="shared" si="565"/>
        <v>0</v>
      </c>
      <c r="U471" s="2028">
        <f t="shared" si="566"/>
        <v>0</v>
      </c>
      <c r="V471" s="1357"/>
      <c r="W471" s="1357"/>
      <c r="X471" s="1357"/>
      <c r="Y471" s="1357"/>
      <c r="AD471" s="2141">
        <f t="shared" si="494"/>
        <v>1.5</v>
      </c>
      <c r="AE471" s="2142" t="str">
        <f t="shared" si="479"/>
        <v/>
      </c>
      <c r="AG471" s="2118" t="s">
        <v>500</v>
      </c>
    </row>
    <row r="472" spans="1:33" ht="38.25" hidden="1" outlineLevel="3" x14ac:dyDescent="0.2">
      <c r="A472" s="1360">
        <f t="shared" si="556"/>
        <v>78</v>
      </c>
      <c r="B472" s="1372" t="s">
        <v>1845</v>
      </c>
      <c r="C472" s="532" t="s">
        <v>1846</v>
      </c>
      <c r="D472" s="1358">
        <v>3</v>
      </c>
      <c r="E472" s="499" t="s">
        <v>462</v>
      </c>
      <c r="F472" s="2046" t="s">
        <v>303</v>
      </c>
      <c r="G472" s="1383">
        <v>1.9610000000000001</v>
      </c>
      <c r="H472" s="1373"/>
      <c r="I472" s="1359">
        <f t="shared" si="557"/>
        <v>0</v>
      </c>
      <c r="J472" s="503" t="str">
        <f t="shared" si="558"/>
        <v>0:0:00</v>
      </c>
      <c r="K472" s="500">
        <v>1000</v>
      </c>
      <c r="L472" s="2009">
        <v>148.84</v>
      </c>
      <c r="M472" s="1375">
        <f t="shared" si="559"/>
        <v>0</v>
      </c>
      <c r="N472" s="1376">
        <v>1</v>
      </c>
      <c r="O472" s="1377">
        <f t="shared" si="560"/>
        <v>0</v>
      </c>
      <c r="P472" s="1375">
        <f t="shared" si="561"/>
        <v>0</v>
      </c>
      <c r="Q472" s="1378">
        <f t="shared" si="562"/>
        <v>0</v>
      </c>
      <c r="R472" s="1375">
        <f t="shared" si="563"/>
        <v>0</v>
      </c>
      <c r="S472" s="1375">
        <f t="shared" si="564"/>
        <v>0</v>
      </c>
      <c r="T472" s="1375">
        <f t="shared" si="565"/>
        <v>0</v>
      </c>
      <c r="U472" s="2028">
        <f t="shared" si="566"/>
        <v>0</v>
      </c>
      <c r="V472" s="1357"/>
      <c r="W472" s="1357"/>
      <c r="X472" s="1357"/>
      <c r="Y472" s="1357"/>
      <c r="AD472" s="2141">
        <f t="shared" si="494"/>
        <v>2.6</v>
      </c>
      <c r="AE472" s="2142" t="str">
        <f t="shared" si="479"/>
        <v/>
      </c>
      <c r="AG472" s="2118" t="s">
        <v>500</v>
      </c>
    </row>
    <row r="473" spans="1:33" ht="38.25" hidden="1" outlineLevel="3" x14ac:dyDescent="0.2">
      <c r="A473" s="1360">
        <f t="shared" si="556"/>
        <v>79</v>
      </c>
      <c r="B473" s="1389" t="s">
        <v>1847</v>
      </c>
      <c r="C473" s="585" t="s">
        <v>1846</v>
      </c>
      <c r="D473" s="1358">
        <v>2</v>
      </c>
      <c r="E473" s="499" t="s">
        <v>462</v>
      </c>
      <c r="F473" s="2046" t="s">
        <v>303</v>
      </c>
      <c r="G473" s="1355">
        <v>1.9610000000000001</v>
      </c>
      <c r="H473" s="1373">
        <f>H472</f>
        <v>0</v>
      </c>
      <c r="I473" s="1359">
        <f t="shared" si="547"/>
        <v>0</v>
      </c>
      <c r="J473" s="1374" t="str">
        <f t="shared" si="548"/>
        <v>0:0:00</v>
      </c>
      <c r="K473" s="500">
        <v>1000</v>
      </c>
      <c r="L473" s="2009">
        <v>124.02</v>
      </c>
      <c r="M473" s="1375">
        <f t="shared" si="549"/>
        <v>0</v>
      </c>
      <c r="N473" s="1376">
        <v>1</v>
      </c>
      <c r="O473" s="1377">
        <f t="shared" si="550"/>
        <v>0</v>
      </c>
      <c r="P473" s="1375">
        <f t="shared" si="551"/>
        <v>0</v>
      </c>
      <c r="Q473" s="1378">
        <f t="shared" si="552"/>
        <v>0</v>
      </c>
      <c r="R473" s="1375">
        <f t="shared" si="553"/>
        <v>0</v>
      </c>
      <c r="S473" s="1375">
        <f t="shared" si="554"/>
        <v>0</v>
      </c>
      <c r="T473" s="1375">
        <f t="shared" si="555"/>
        <v>0</v>
      </c>
      <c r="U473" s="2028">
        <f t="shared" si="526"/>
        <v>0</v>
      </c>
      <c r="V473" s="1357"/>
      <c r="W473" s="1357"/>
      <c r="X473" s="1357"/>
      <c r="Y473" s="1357"/>
      <c r="AD473" s="2141">
        <f t="shared" si="494"/>
        <v>1.5</v>
      </c>
      <c r="AE473" s="2142" t="str">
        <f t="shared" si="479"/>
        <v/>
      </c>
      <c r="AG473" s="2118" t="s">
        <v>500</v>
      </c>
    </row>
    <row r="474" spans="1:33" ht="38.25" hidden="1" outlineLevel="3" x14ac:dyDescent="0.2">
      <c r="A474" s="1360">
        <f t="shared" si="556"/>
        <v>80</v>
      </c>
      <c r="B474" s="1389" t="s">
        <v>1847</v>
      </c>
      <c r="C474" s="585" t="s">
        <v>1846</v>
      </c>
      <c r="D474" s="1358">
        <v>2</v>
      </c>
      <c r="E474" s="499" t="s">
        <v>462</v>
      </c>
      <c r="F474" s="2046" t="s">
        <v>303</v>
      </c>
      <c r="G474" s="1355">
        <v>1.9610000000000001</v>
      </c>
      <c r="H474" s="1373">
        <f>H472</f>
        <v>0</v>
      </c>
      <c r="I474" s="1359">
        <f t="shared" si="547"/>
        <v>0</v>
      </c>
      <c r="J474" s="1374" t="str">
        <f t="shared" si="548"/>
        <v>0:0:00</v>
      </c>
      <c r="K474" s="500">
        <v>1000</v>
      </c>
      <c r="L474" s="2009">
        <v>124.02</v>
      </c>
      <c r="M474" s="1375">
        <f t="shared" si="549"/>
        <v>0</v>
      </c>
      <c r="N474" s="1376">
        <v>1</v>
      </c>
      <c r="O474" s="1377">
        <f t="shared" si="550"/>
        <v>0</v>
      </c>
      <c r="P474" s="1375">
        <f t="shared" si="551"/>
        <v>0</v>
      </c>
      <c r="Q474" s="1378">
        <f t="shared" si="552"/>
        <v>0</v>
      </c>
      <c r="R474" s="1375">
        <f t="shared" si="553"/>
        <v>0</v>
      </c>
      <c r="S474" s="1375">
        <f t="shared" si="554"/>
        <v>0</v>
      </c>
      <c r="T474" s="1375">
        <f t="shared" si="555"/>
        <v>0</v>
      </c>
      <c r="U474" s="2028">
        <f t="shared" si="526"/>
        <v>0</v>
      </c>
      <c r="V474" s="1357"/>
      <c r="W474" s="1357"/>
      <c r="X474" s="1357"/>
      <c r="Y474" s="1357"/>
      <c r="AD474" s="2141">
        <f t="shared" si="494"/>
        <v>1.5</v>
      </c>
      <c r="AE474" s="2142" t="str">
        <f t="shared" ref="AE474:AE537" si="567">IF(T474&gt;0,T474*AD474,"")</f>
        <v/>
      </c>
      <c r="AG474" s="2118" t="s">
        <v>500</v>
      </c>
    </row>
    <row r="475" spans="1:33" ht="28.5" hidden="1" outlineLevel="3" x14ac:dyDescent="0.2">
      <c r="A475" s="1360">
        <f t="shared" si="556"/>
        <v>81</v>
      </c>
      <c r="B475" s="1389" t="s">
        <v>1544</v>
      </c>
      <c r="C475" s="585" t="s">
        <v>1543</v>
      </c>
      <c r="D475" s="1358">
        <v>3</v>
      </c>
      <c r="E475" s="499" t="s">
        <v>462</v>
      </c>
      <c r="F475" s="2046" t="s">
        <v>303</v>
      </c>
      <c r="G475" s="1355">
        <v>0.5</v>
      </c>
      <c r="H475" s="1373">
        <f>H469</f>
        <v>0</v>
      </c>
      <c r="I475" s="1359">
        <f t="shared" si="547"/>
        <v>0</v>
      </c>
      <c r="J475" s="1374" t="str">
        <f t="shared" si="548"/>
        <v>0:0:00</v>
      </c>
      <c r="K475" s="500">
        <v>1</v>
      </c>
      <c r="L475" s="2009">
        <v>37.950000000000003</v>
      </c>
      <c r="M475" s="1375">
        <f t="shared" si="549"/>
        <v>0</v>
      </c>
      <c r="N475" s="1376">
        <v>1</v>
      </c>
      <c r="O475" s="1377">
        <f t="shared" si="550"/>
        <v>0</v>
      </c>
      <c r="P475" s="1375">
        <f t="shared" si="551"/>
        <v>0</v>
      </c>
      <c r="Q475" s="1378">
        <f t="shared" si="552"/>
        <v>0</v>
      </c>
      <c r="R475" s="1375">
        <f t="shared" si="553"/>
        <v>0</v>
      </c>
      <c r="S475" s="1375">
        <f t="shared" si="554"/>
        <v>0</v>
      </c>
      <c r="T475" s="1375">
        <f t="shared" si="555"/>
        <v>0</v>
      </c>
      <c r="U475" s="2028">
        <f t="shared" si="526"/>
        <v>0</v>
      </c>
      <c r="V475" s="1357"/>
      <c r="W475" s="1357"/>
      <c r="X475" s="1357"/>
      <c r="Y475" s="1357"/>
      <c r="AD475" s="2141">
        <f t="shared" si="494"/>
        <v>2.6</v>
      </c>
      <c r="AE475" s="2142" t="str">
        <f t="shared" si="567"/>
        <v/>
      </c>
      <c r="AG475" s="2118" t="s">
        <v>500</v>
      </c>
    </row>
    <row r="476" spans="1:33" ht="25.5" hidden="1" outlineLevel="3" x14ac:dyDescent="0.2">
      <c r="A476" s="1360">
        <f t="shared" si="556"/>
        <v>82</v>
      </c>
      <c r="B476" s="1372" t="s">
        <v>1848</v>
      </c>
      <c r="C476" s="532" t="s">
        <v>1543</v>
      </c>
      <c r="D476" s="1358">
        <v>3</v>
      </c>
      <c r="E476" s="499" t="s">
        <v>462</v>
      </c>
      <c r="F476" s="2046" t="s">
        <v>303</v>
      </c>
      <c r="G476" s="1383">
        <v>0.5</v>
      </c>
      <c r="H476" s="501">
        <f>IF((H456+H459+H462+H466+H469+H472)&gt;0,1,0)</f>
        <v>0</v>
      </c>
      <c r="I476" s="1359">
        <f t="shared" si="547"/>
        <v>0</v>
      </c>
      <c r="J476" s="503" t="str">
        <f t="shared" si="548"/>
        <v>0:0:00</v>
      </c>
      <c r="K476" s="500">
        <v>1</v>
      </c>
      <c r="L476" s="2009">
        <v>37.950000000000003</v>
      </c>
      <c r="M476" s="1375">
        <f t="shared" si="549"/>
        <v>0</v>
      </c>
      <c r="N476" s="1376">
        <v>1</v>
      </c>
      <c r="O476" s="1377">
        <f t="shared" si="550"/>
        <v>0</v>
      </c>
      <c r="P476" s="1375">
        <f t="shared" si="551"/>
        <v>0</v>
      </c>
      <c r="Q476" s="1378">
        <f t="shared" si="552"/>
        <v>0</v>
      </c>
      <c r="R476" s="1375">
        <f t="shared" si="553"/>
        <v>0</v>
      </c>
      <c r="S476" s="1375">
        <f t="shared" si="554"/>
        <v>0</v>
      </c>
      <c r="T476" s="1375">
        <f t="shared" si="555"/>
        <v>0</v>
      </c>
      <c r="U476" s="2028">
        <f t="shared" si="526"/>
        <v>0</v>
      </c>
      <c r="V476" s="1357"/>
      <c r="W476" s="1357"/>
      <c r="X476" s="1357"/>
      <c r="Y476" s="1357"/>
      <c r="AD476" s="2141">
        <f t="shared" si="494"/>
        <v>2.6</v>
      </c>
      <c r="AE476" s="2142" t="str">
        <f t="shared" si="567"/>
        <v/>
      </c>
      <c r="AG476" s="2118" t="s">
        <v>500</v>
      </c>
    </row>
    <row r="477" spans="1:33" ht="15" hidden="1" outlineLevel="1" x14ac:dyDescent="0.2">
      <c r="A477" s="1360"/>
      <c r="B477" s="1366" t="s">
        <v>1041</v>
      </c>
      <c r="C477" s="522"/>
      <c r="D477" s="2152"/>
      <c r="E477" s="523" t="s">
        <v>218</v>
      </c>
      <c r="F477" s="2164"/>
      <c r="G477" s="2178"/>
      <c r="H477" s="1367"/>
      <c r="I477" s="2043">
        <f>I478+I481+I482+I485+I486+I489+I490</f>
        <v>0</v>
      </c>
      <c r="J477" s="524"/>
      <c r="K477" s="524"/>
      <c r="L477" s="526"/>
      <c r="M477" s="1368"/>
      <c r="N477" s="524"/>
      <c r="O477" s="1369"/>
      <c r="P477" s="1368"/>
      <c r="Q477" s="1370"/>
      <c r="R477" s="1368"/>
      <c r="S477" s="1371">
        <f>SUM(T478:T490)</f>
        <v>0</v>
      </c>
      <c r="T477" s="1370"/>
      <c r="U477" s="2028">
        <f t="shared" si="449"/>
        <v>0</v>
      </c>
      <c r="V477" s="1357"/>
      <c r="W477" s="1357"/>
      <c r="X477" s="1357"/>
      <c r="Y477" s="1357"/>
      <c r="AD477" s="2141" t="str">
        <f t="shared" si="494"/>
        <v/>
      </c>
      <c r="AE477" s="2142" t="str">
        <f t="shared" si="567"/>
        <v/>
      </c>
      <c r="AG477" s="2118" t="s">
        <v>500</v>
      </c>
    </row>
    <row r="478" spans="1:33" ht="14.25" hidden="1" outlineLevel="3" x14ac:dyDescent="0.2">
      <c r="A478" s="1360">
        <f>A476+1</f>
        <v>83</v>
      </c>
      <c r="B478" s="1389" t="s">
        <v>1545</v>
      </c>
      <c r="C478" s="532" t="s">
        <v>1042</v>
      </c>
      <c r="D478" s="1358">
        <v>4</v>
      </c>
      <c r="E478" s="499" t="s">
        <v>462</v>
      </c>
      <c r="F478" s="2046" t="s">
        <v>1546</v>
      </c>
      <c r="G478" s="1383">
        <v>0.84399999999999997</v>
      </c>
      <c r="H478" s="1373"/>
      <c r="I478" s="1359">
        <f t="shared" ref="I478:I490" si="568">IF(G478=0,0,IF(H478&gt;0,IF((G478*H478/K478)&lt;0.084,0.084,(G478*H478/K478)),0))</f>
        <v>0</v>
      </c>
      <c r="J478" s="1374" t="str">
        <f>CONCATENATE(TRUNC(I478,0),":",INT((I478-(TRUNC(I478,0)))*60),":","00")</f>
        <v>0:0:00</v>
      </c>
      <c r="K478" s="500">
        <v>1000</v>
      </c>
      <c r="L478" s="2009">
        <v>80.3</v>
      </c>
      <c r="M478" s="1375">
        <f t="shared" ref="M478:M490" si="569">H478*L478/K478</f>
        <v>0</v>
      </c>
      <c r="N478" s="1376">
        <v>1</v>
      </c>
      <c r="O478" s="1377">
        <f t="shared" ref="O478:O490" si="570">M478*N478</f>
        <v>0</v>
      </c>
      <c r="P478" s="1375">
        <f t="shared" ref="P478:P490" si="571">(M478+O478)*0.15</f>
        <v>0</v>
      </c>
      <c r="Q478" s="1378">
        <f t="shared" ref="Q478:Q490" si="572">M478+O478+P478</f>
        <v>0</v>
      </c>
      <c r="R478" s="1375">
        <f t="shared" ref="R478:R490" si="573">Q478*$R$1</f>
        <v>0</v>
      </c>
      <c r="S478" s="1375">
        <f t="shared" ref="S478:S490" si="574">(Q478+R478)*$S$1</f>
        <v>0</v>
      </c>
      <c r="T478" s="1375">
        <f t="shared" ref="T478:T490" si="575">Q478+R478+S478</f>
        <v>0</v>
      </c>
      <c r="U478" s="2028">
        <f t="shared" si="449"/>
        <v>0</v>
      </c>
      <c r="V478" s="1357"/>
      <c r="W478" s="1357"/>
      <c r="X478" s="1357"/>
      <c r="Y478" s="1357"/>
      <c r="AD478" s="2141">
        <f t="shared" si="494"/>
        <v>2.6</v>
      </c>
      <c r="AE478" s="2142" t="str">
        <f t="shared" si="567"/>
        <v/>
      </c>
      <c r="AG478" s="2118" t="s">
        <v>500</v>
      </c>
    </row>
    <row r="479" spans="1:33" ht="14.25" hidden="1" outlineLevel="3" x14ac:dyDescent="0.2">
      <c r="A479" s="1360">
        <f>A478+1</f>
        <v>84</v>
      </c>
      <c r="B479" s="1389" t="s">
        <v>1547</v>
      </c>
      <c r="C479" s="532" t="s">
        <v>1042</v>
      </c>
      <c r="D479" s="1358">
        <v>2</v>
      </c>
      <c r="E479" s="499" t="s">
        <v>462</v>
      </c>
      <c r="F479" s="2046" t="s">
        <v>1546</v>
      </c>
      <c r="G479" s="1383">
        <v>0.84399999999999997</v>
      </c>
      <c r="H479" s="1373">
        <f>H478</f>
        <v>0</v>
      </c>
      <c r="I479" s="1359">
        <f t="shared" si="568"/>
        <v>0</v>
      </c>
      <c r="J479" s="1374" t="str">
        <f>CONCATENATE(TRUNC(I479,0),":",INT((I479-(TRUNC(I479,0)))*60),":","00")</f>
        <v>0:0:00</v>
      </c>
      <c r="K479" s="500">
        <v>1000</v>
      </c>
      <c r="L479" s="2009">
        <v>53.38</v>
      </c>
      <c r="M479" s="1375">
        <f t="shared" si="569"/>
        <v>0</v>
      </c>
      <c r="N479" s="1376">
        <v>1</v>
      </c>
      <c r="O479" s="1377">
        <f t="shared" si="570"/>
        <v>0</v>
      </c>
      <c r="P479" s="1375">
        <f t="shared" si="571"/>
        <v>0</v>
      </c>
      <c r="Q479" s="1378">
        <f t="shared" si="572"/>
        <v>0</v>
      </c>
      <c r="R479" s="1375">
        <f t="shared" si="573"/>
        <v>0</v>
      </c>
      <c r="S479" s="1375">
        <f t="shared" si="574"/>
        <v>0</v>
      </c>
      <c r="T479" s="1375">
        <f t="shared" si="575"/>
        <v>0</v>
      </c>
      <c r="U479" s="2028">
        <f t="shared" si="449"/>
        <v>0</v>
      </c>
      <c r="V479" s="1357"/>
      <c r="W479" s="1357"/>
      <c r="X479" s="1357"/>
      <c r="Y479" s="1357"/>
      <c r="AD479" s="2141">
        <f t="shared" si="494"/>
        <v>1.5</v>
      </c>
      <c r="AE479" s="2142" t="str">
        <f t="shared" si="567"/>
        <v/>
      </c>
      <c r="AG479" s="2118" t="s">
        <v>500</v>
      </c>
    </row>
    <row r="480" spans="1:33" ht="14.25" hidden="1" outlineLevel="3" x14ac:dyDescent="0.2">
      <c r="A480" s="1360">
        <f t="shared" ref="A480:A490" si="576">A479+1</f>
        <v>85</v>
      </c>
      <c r="B480" s="1389" t="s">
        <v>1547</v>
      </c>
      <c r="C480" s="532" t="s">
        <v>1042</v>
      </c>
      <c r="D480" s="1358">
        <v>2</v>
      </c>
      <c r="E480" s="499" t="s">
        <v>462</v>
      </c>
      <c r="F480" s="2046" t="s">
        <v>1546</v>
      </c>
      <c r="G480" s="1383">
        <v>0.84399999999999997</v>
      </c>
      <c r="H480" s="1373">
        <f>H478</f>
        <v>0</v>
      </c>
      <c r="I480" s="1359">
        <f t="shared" si="568"/>
        <v>0</v>
      </c>
      <c r="J480" s="1374" t="str">
        <f>CONCATENATE(TRUNC(I480,0),":",INT((I480-(TRUNC(I480,0)))*60),":","00")</f>
        <v>0:0:00</v>
      </c>
      <c r="K480" s="500">
        <v>1000</v>
      </c>
      <c r="L480" s="2009">
        <v>53.38</v>
      </c>
      <c r="M480" s="1375">
        <f t="shared" si="569"/>
        <v>0</v>
      </c>
      <c r="N480" s="1376">
        <v>1</v>
      </c>
      <c r="O480" s="1377">
        <f t="shared" si="570"/>
        <v>0</v>
      </c>
      <c r="P480" s="1375">
        <f t="shared" si="571"/>
        <v>0</v>
      </c>
      <c r="Q480" s="1378">
        <f t="shared" si="572"/>
        <v>0</v>
      </c>
      <c r="R480" s="1375">
        <f t="shared" si="573"/>
        <v>0</v>
      </c>
      <c r="S480" s="1375">
        <f t="shared" si="574"/>
        <v>0</v>
      </c>
      <c r="T480" s="1375">
        <f t="shared" si="575"/>
        <v>0</v>
      </c>
      <c r="U480" s="2028">
        <f t="shared" si="449"/>
        <v>0</v>
      </c>
      <c r="V480" s="1357"/>
      <c r="W480" s="1357"/>
      <c r="X480" s="1357"/>
      <c r="Y480" s="1357"/>
      <c r="AD480" s="2141">
        <f t="shared" si="494"/>
        <v>1.5</v>
      </c>
      <c r="AE480" s="2142" t="str">
        <f t="shared" si="567"/>
        <v/>
      </c>
      <c r="AG480" s="2118" t="s">
        <v>500</v>
      </c>
    </row>
    <row r="481" spans="1:33" ht="14.25" hidden="1" outlineLevel="3" x14ac:dyDescent="0.2">
      <c r="A481" s="1360">
        <f t="shared" si="576"/>
        <v>86</v>
      </c>
      <c r="B481" s="1389" t="s">
        <v>1548</v>
      </c>
      <c r="C481" s="532" t="s">
        <v>1042</v>
      </c>
      <c r="D481" s="1382">
        <v>4</v>
      </c>
      <c r="E481" s="499" t="s">
        <v>462</v>
      </c>
      <c r="F481" s="2167" t="s">
        <v>303</v>
      </c>
      <c r="G481" s="1354">
        <v>1.25</v>
      </c>
      <c r="H481" s="1373">
        <f>IF(H478&gt;0,1,0)</f>
        <v>0</v>
      </c>
      <c r="I481" s="1359">
        <f t="shared" si="568"/>
        <v>0</v>
      </c>
      <c r="J481" s="1374" t="str">
        <f t="shared" ref="J481" si="577">CONCATENATE(TRUNC(I481,0),":",INT((I481-(TRUNC(I481,0)))*60),":","00")</f>
        <v>0:0:00</v>
      </c>
      <c r="K481" s="500">
        <v>1</v>
      </c>
      <c r="L481" s="2009">
        <v>118.94</v>
      </c>
      <c r="M481" s="1375">
        <f t="shared" si="569"/>
        <v>0</v>
      </c>
      <c r="N481" s="1376">
        <v>1</v>
      </c>
      <c r="O481" s="1377">
        <f t="shared" si="570"/>
        <v>0</v>
      </c>
      <c r="P481" s="1375">
        <f t="shared" si="571"/>
        <v>0</v>
      </c>
      <c r="Q481" s="1378">
        <f t="shared" si="572"/>
        <v>0</v>
      </c>
      <c r="R481" s="1375">
        <f t="shared" si="573"/>
        <v>0</v>
      </c>
      <c r="S481" s="1375">
        <f t="shared" si="574"/>
        <v>0</v>
      </c>
      <c r="T481" s="1375">
        <f t="shared" si="575"/>
        <v>0</v>
      </c>
      <c r="U481" s="2028">
        <f t="shared" si="449"/>
        <v>0</v>
      </c>
      <c r="V481" s="1357"/>
      <c r="W481" s="1357"/>
      <c r="X481" s="1357"/>
      <c r="Y481" s="1357"/>
      <c r="AD481" s="2141">
        <f t="shared" si="494"/>
        <v>2.6</v>
      </c>
      <c r="AE481" s="2142" t="str">
        <f t="shared" si="567"/>
        <v/>
      </c>
      <c r="AG481" s="2118" t="s">
        <v>500</v>
      </c>
    </row>
    <row r="482" spans="1:33" ht="14.25" hidden="1" outlineLevel="3" x14ac:dyDescent="0.2">
      <c r="A482" s="1360">
        <f t="shared" si="576"/>
        <v>87</v>
      </c>
      <c r="B482" s="2044" t="s">
        <v>1549</v>
      </c>
      <c r="C482" s="532" t="s">
        <v>1042</v>
      </c>
      <c r="D482" s="1358">
        <v>4</v>
      </c>
      <c r="E482" s="499" t="s">
        <v>462</v>
      </c>
      <c r="F482" s="2046" t="s">
        <v>1546</v>
      </c>
      <c r="G482" s="1383">
        <v>0.84399999999999997</v>
      </c>
      <c r="H482" s="1373"/>
      <c r="I482" s="1359">
        <f t="shared" si="568"/>
        <v>0</v>
      </c>
      <c r="J482" s="1374" t="str">
        <f>CONCATENATE(TRUNC(I482,0),":",INT((I482-(TRUNC(I482,0)))*60),":","00")</f>
        <v>0:0:00</v>
      </c>
      <c r="K482" s="500">
        <v>1000</v>
      </c>
      <c r="L482" s="2009">
        <v>80.3</v>
      </c>
      <c r="M482" s="1375">
        <f t="shared" si="569"/>
        <v>0</v>
      </c>
      <c r="N482" s="1376">
        <v>1</v>
      </c>
      <c r="O482" s="1377">
        <f t="shared" si="570"/>
        <v>0</v>
      </c>
      <c r="P482" s="1375">
        <f t="shared" si="571"/>
        <v>0</v>
      </c>
      <c r="Q482" s="1378">
        <f t="shared" si="572"/>
        <v>0</v>
      </c>
      <c r="R482" s="1375">
        <f t="shared" si="573"/>
        <v>0</v>
      </c>
      <c r="S482" s="1375">
        <f t="shared" si="574"/>
        <v>0</v>
      </c>
      <c r="T482" s="1375">
        <f t="shared" si="575"/>
        <v>0</v>
      </c>
      <c r="U482" s="2028">
        <f t="shared" ref="U482:U484" si="578">IF(T482&gt;0,1,0)</f>
        <v>0</v>
      </c>
      <c r="V482" s="1357"/>
      <c r="W482" s="1357"/>
      <c r="X482" s="1357"/>
      <c r="Y482" s="1357"/>
      <c r="AD482" s="2141">
        <f t="shared" si="494"/>
        <v>2.6</v>
      </c>
      <c r="AE482" s="2142" t="str">
        <f t="shared" si="567"/>
        <v/>
      </c>
      <c r="AG482" s="2118" t="s">
        <v>500</v>
      </c>
    </row>
    <row r="483" spans="1:33" ht="14.25" hidden="1" outlineLevel="3" x14ac:dyDescent="0.2">
      <c r="A483" s="1360">
        <f t="shared" si="576"/>
        <v>88</v>
      </c>
      <c r="B483" s="2044" t="s">
        <v>1550</v>
      </c>
      <c r="C483" s="532" t="s">
        <v>1042</v>
      </c>
      <c r="D483" s="1358">
        <v>2</v>
      </c>
      <c r="E483" s="499" t="s">
        <v>462</v>
      </c>
      <c r="F483" s="2046" t="s">
        <v>1546</v>
      </c>
      <c r="G483" s="1383">
        <v>0.84399999999999997</v>
      </c>
      <c r="H483" s="1373">
        <f>H482</f>
        <v>0</v>
      </c>
      <c r="I483" s="1359">
        <f t="shared" si="568"/>
        <v>0</v>
      </c>
      <c r="J483" s="1374" t="str">
        <f>CONCATENATE(TRUNC(I483,0),":",INT((I483-(TRUNC(I483,0)))*60),":","00")</f>
        <v>0:0:00</v>
      </c>
      <c r="K483" s="500">
        <v>1000</v>
      </c>
      <c r="L483" s="2009">
        <v>53.38</v>
      </c>
      <c r="M483" s="1375">
        <f t="shared" si="569"/>
        <v>0</v>
      </c>
      <c r="N483" s="1376">
        <v>1</v>
      </c>
      <c r="O483" s="1377">
        <f t="shared" si="570"/>
        <v>0</v>
      </c>
      <c r="P483" s="1375">
        <f t="shared" si="571"/>
        <v>0</v>
      </c>
      <c r="Q483" s="1378">
        <f t="shared" si="572"/>
        <v>0</v>
      </c>
      <c r="R483" s="1375">
        <f t="shared" si="573"/>
        <v>0</v>
      </c>
      <c r="S483" s="1375">
        <f t="shared" si="574"/>
        <v>0</v>
      </c>
      <c r="T483" s="1375">
        <f t="shared" si="575"/>
        <v>0</v>
      </c>
      <c r="U483" s="2028">
        <f t="shared" si="578"/>
        <v>0</v>
      </c>
      <c r="V483" s="1357"/>
      <c r="W483" s="1357"/>
      <c r="X483" s="1357"/>
      <c r="Y483" s="1357"/>
      <c r="AD483" s="2141">
        <f t="shared" si="494"/>
        <v>1.5</v>
      </c>
      <c r="AE483" s="2142" t="str">
        <f t="shared" si="567"/>
        <v/>
      </c>
      <c r="AG483" s="2118" t="s">
        <v>500</v>
      </c>
    </row>
    <row r="484" spans="1:33" ht="14.25" hidden="1" outlineLevel="3" x14ac:dyDescent="0.2">
      <c r="A484" s="1360">
        <f t="shared" si="576"/>
        <v>89</v>
      </c>
      <c r="B484" s="2044" t="s">
        <v>1550</v>
      </c>
      <c r="C484" s="532" t="s">
        <v>1042</v>
      </c>
      <c r="D484" s="1358">
        <v>2</v>
      </c>
      <c r="E484" s="499" t="s">
        <v>462</v>
      </c>
      <c r="F484" s="2046" t="s">
        <v>1546</v>
      </c>
      <c r="G484" s="1383">
        <v>0.84399999999999997</v>
      </c>
      <c r="H484" s="1373">
        <f>H482</f>
        <v>0</v>
      </c>
      <c r="I484" s="1359">
        <f t="shared" si="568"/>
        <v>0</v>
      </c>
      <c r="J484" s="1374" t="str">
        <f t="shared" ref="J484" si="579">CONCATENATE(TRUNC(I484,0),":",INT((I484-(TRUNC(I484,0)))*60),":","00")</f>
        <v>0:0:00</v>
      </c>
      <c r="K484" s="500">
        <v>1000</v>
      </c>
      <c r="L484" s="2009">
        <v>53.38</v>
      </c>
      <c r="M484" s="1375">
        <f t="shared" si="569"/>
        <v>0</v>
      </c>
      <c r="N484" s="1376">
        <v>1</v>
      </c>
      <c r="O484" s="1377">
        <f t="shared" si="570"/>
        <v>0</v>
      </c>
      <c r="P484" s="1375">
        <f t="shared" si="571"/>
        <v>0</v>
      </c>
      <c r="Q484" s="1378">
        <f t="shared" si="572"/>
        <v>0</v>
      </c>
      <c r="R484" s="1375">
        <f t="shared" si="573"/>
        <v>0</v>
      </c>
      <c r="S484" s="1375">
        <f t="shared" si="574"/>
        <v>0</v>
      </c>
      <c r="T484" s="1375">
        <f t="shared" si="575"/>
        <v>0</v>
      </c>
      <c r="U484" s="2028">
        <f t="shared" si="578"/>
        <v>0</v>
      </c>
      <c r="V484" s="1357"/>
      <c r="W484" s="1357"/>
      <c r="X484" s="1357"/>
      <c r="Y484" s="1357"/>
      <c r="AD484" s="2141">
        <f t="shared" si="494"/>
        <v>1.5</v>
      </c>
      <c r="AE484" s="2142" t="str">
        <f t="shared" si="567"/>
        <v/>
      </c>
      <c r="AG484" s="2118" t="s">
        <v>500</v>
      </c>
    </row>
    <row r="485" spans="1:33" ht="14.25" hidden="1" outlineLevel="3" x14ac:dyDescent="0.2">
      <c r="A485" s="1360">
        <f t="shared" si="576"/>
        <v>90</v>
      </c>
      <c r="B485" s="2044" t="s">
        <v>1551</v>
      </c>
      <c r="C485" s="532" t="s">
        <v>1042</v>
      </c>
      <c r="D485" s="1382">
        <v>4</v>
      </c>
      <c r="E485" s="499" t="s">
        <v>462</v>
      </c>
      <c r="F485" s="2167" t="s">
        <v>303</v>
      </c>
      <c r="G485" s="1354">
        <v>1.25</v>
      </c>
      <c r="H485" s="1373">
        <f>IF(H482&gt;0,1,0)</f>
        <v>0</v>
      </c>
      <c r="I485" s="1359">
        <f t="shared" si="568"/>
        <v>0</v>
      </c>
      <c r="J485" s="1374" t="str">
        <f>CONCATENATE(TRUNC(I485,0),":",INT((I485-(TRUNC(I485,0)))*60),":","00")</f>
        <v>0:0:00</v>
      </c>
      <c r="K485" s="500">
        <v>1</v>
      </c>
      <c r="L485" s="2009">
        <v>118.94</v>
      </c>
      <c r="M485" s="1375">
        <f t="shared" si="569"/>
        <v>0</v>
      </c>
      <c r="N485" s="1376">
        <v>1</v>
      </c>
      <c r="O485" s="1377">
        <f t="shared" si="570"/>
        <v>0</v>
      </c>
      <c r="P485" s="1375">
        <f t="shared" si="571"/>
        <v>0</v>
      </c>
      <c r="Q485" s="1378">
        <f t="shared" si="572"/>
        <v>0</v>
      </c>
      <c r="R485" s="1375">
        <f t="shared" si="573"/>
        <v>0</v>
      </c>
      <c r="S485" s="1375">
        <f t="shared" si="574"/>
        <v>0</v>
      </c>
      <c r="T485" s="1375">
        <f t="shared" si="575"/>
        <v>0</v>
      </c>
      <c r="U485" s="2028">
        <f t="shared" ref="U485:U487" si="580">IF(T485&gt;0,1,0)</f>
        <v>0</v>
      </c>
      <c r="V485" s="1357"/>
      <c r="W485" s="1357"/>
      <c r="X485" s="1357"/>
      <c r="Y485" s="1357"/>
      <c r="AD485" s="2141">
        <f t="shared" si="494"/>
        <v>2.6</v>
      </c>
      <c r="AE485" s="2142" t="str">
        <f t="shared" si="567"/>
        <v/>
      </c>
      <c r="AG485" s="2118" t="s">
        <v>500</v>
      </c>
    </row>
    <row r="486" spans="1:33" ht="14.25" hidden="1" outlineLevel="3" x14ac:dyDescent="0.2">
      <c r="A486" s="1360">
        <f t="shared" si="576"/>
        <v>91</v>
      </c>
      <c r="B486" s="2045" t="s">
        <v>1552</v>
      </c>
      <c r="C486" s="532" t="s">
        <v>1042</v>
      </c>
      <c r="D486" s="1358">
        <v>4</v>
      </c>
      <c r="E486" s="499" t="s">
        <v>462</v>
      </c>
      <c r="F486" s="2046" t="s">
        <v>1546</v>
      </c>
      <c r="G486" s="1383">
        <v>0.84399999999999997</v>
      </c>
      <c r="H486" s="1373"/>
      <c r="I486" s="1359">
        <f t="shared" si="568"/>
        <v>0</v>
      </c>
      <c r="J486" s="1374" t="str">
        <f>CONCATENATE(TRUNC(I486,0),":",INT((I486-(TRUNC(I486,0)))*60),":","00")</f>
        <v>0:0:00</v>
      </c>
      <c r="K486" s="500">
        <v>1000</v>
      </c>
      <c r="L486" s="2009">
        <v>80.3</v>
      </c>
      <c r="M486" s="1375">
        <f t="shared" si="569"/>
        <v>0</v>
      </c>
      <c r="N486" s="1376">
        <v>1</v>
      </c>
      <c r="O486" s="1377">
        <f t="shared" si="570"/>
        <v>0</v>
      </c>
      <c r="P486" s="1375">
        <f t="shared" si="571"/>
        <v>0</v>
      </c>
      <c r="Q486" s="1378">
        <f t="shared" si="572"/>
        <v>0</v>
      </c>
      <c r="R486" s="1375">
        <f t="shared" si="573"/>
        <v>0</v>
      </c>
      <c r="S486" s="1375">
        <f t="shared" si="574"/>
        <v>0</v>
      </c>
      <c r="T486" s="1375">
        <f t="shared" si="575"/>
        <v>0</v>
      </c>
      <c r="U486" s="2028">
        <f t="shared" si="580"/>
        <v>0</v>
      </c>
      <c r="V486" s="1357"/>
      <c r="W486" s="1357"/>
      <c r="X486" s="1357"/>
      <c r="Y486" s="1357"/>
      <c r="AD486" s="2141">
        <f t="shared" si="494"/>
        <v>2.6</v>
      </c>
      <c r="AE486" s="2142" t="str">
        <f t="shared" si="567"/>
        <v/>
      </c>
      <c r="AG486" s="2118" t="s">
        <v>500</v>
      </c>
    </row>
    <row r="487" spans="1:33" ht="14.25" hidden="1" outlineLevel="3" x14ac:dyDescent="0.2">
      <c r="A487" s="1360">
        <f t="shared" si="576"/>
        <v>92</v>
      </c>
      <c r="B487" s="2045" t="s">
        <v>1553</v>
      </c>
      <c r="C487" s="532" t="s">
        <v>1042</v>
      </c>
      <c r="D487" s="1358">
        <v>2</v>
      </c>
      <c r="E487" s="499" t="s">
        <v>462</v>
      </c>
      <c r="F487" s="2046" t="s">
        <v>1546</v>
      </c>
      <c r="G487" s="1383">
        <v>0.84399999999999997</v>
      </c>
      <c r="H487" s="1373">
        <f>H486</f>
        <v>0</v>
      </c>
      <c r="I487" s="1359">
        <f t="shared" si="568"/>
        <v>0</v>
      </c>
      <c r="J487" s="1374" t="str">
        <f t="shared" ref="J487" si="581">CONCATENATE(TRUNC(I487,0),":",INT((I487-(TRUNC(I487,0)))*60),":","00")</f>
        <v>0:0:00</v>
      </c>
      <c r="K487" s="500">
        <v>1000</v>
      </c>
      <c r="L487" s="2009">
        <v>53.38</v>
      </c>
      <c r="M487" s="1375">
        <f t="shared" si="569"/>
        <v>0</v>
      </c>
      <c r="N487" s="1376">
        <v>1</v>
      </c>
      <c r="O487" s="1377">
        <f t="shared" si="570"/>
        <v>0</v>
      </c>
      <c r="P487" s="1375">
        <f t="shared" si="571"/>
        <v>0</v>
      </c>
      <c r="Q487" s="1378">
        <f t="shared" si="572"/>
        <v>0</v>
      </c>
      <c r="R487" s="1375">
        <f t="shared" si="573"/>
        <v>0</v>
      </c>
      <c r="S487" s="1375">
        <f t="shared" si="574"/>
        <v>0</v>
      </c>
      <c r="T487" s="1375">
        <f t="shared" si="575"/>
        <v>0</v>
      </c>
      <c r="U487" s="2028">
        <f t="shared" si="580"/>
        <v>0</v>
      </c>
      <c r="V487" s="1357"/>
      <c r="W487" s="1357"/>
      <c r="X487" s="1357"/>
      <c r="Y487" s="1357"/>
      <c r="AD487" s="2141">
        <f t="shared" si="494"/>
        <v>1.5</v>
      </c>
      <c r="AE487" s="2142" t="str">
        <f t="shared" si="567"/>
        <v/>
      </c>
      <c r="AG487" s="2118" t="s">
        <v>500</v>
      </c>
    </row>
    <row r="488" spans="1:33" ht="14.25" hidden="1" outlineLevel="3" x14ac:dyDescent="0.2">
      <c r="A488" s="1360">
        <f t="shared" si="576"/>
        <v>93</v>
      </c>
      <c r="B488" s="2045" t="s">
        <v>1553</v>
      </c>
      <c r="C488" s="532" t="s">
        <v>1042</v>
      </c>
      <c r="D488" s="1358">
        <v>2</v>
      </c>
      <c r="E488" s="499" t="s">
        <v>462</v>
      </c>
      <c r="F488" s="2046" t="s">
        <v>1546</v>
      </c>
      <c r="G488" s="1383">
        <v>0.84399999999999997</v>
      </c>
      <c r="H488" s="1373">
        <f>H486</f>
        <v>0</v>
      </c>
      <c r="I488" s="1359">
        <f t="shared" si="568"/>
        <v>0</v>
      </c>
      <c r="J488" s="1374" t="str">
        <f>CONCATENATE(TRUNC(I488,0),":",INT((I488-(TRUNC(I488,0)))*60),":","00")</f>
        <v>0:0:00</v>
      </c>
      <c r="K488" s="500">
        <v>1000</v>
      </c>
      <c r="L488" s="2009">
        <v>53.38</v>
      </c>
      <c r="M488" s="1375">
        <f t="shared" si="569"/>
        <v>0</v>
      </c>
      <c r="N488" s="1376">
        <v>1</v>
      </c>
      <c r="O488" s="1377">
        <f t="shared" si="570"/>
        <v>0</v>
      </c>
      <c r="P488" s="1375">
        <f t="shared" si="571"/>
        <v>0</v>
      </c>
      <c r="Q488" s="1378">
        <f t="shared" si="572"/>
        <v>0</v>
      </c>
      <c r="R488" s="1375">
        <f t="shared" si="573"/>
        <v>0</v>
      </c>
      <c r="S488" s="1375">
        <f t="shared" si="574"/>
        <v>0</v>
      </c>
      <c r="T488" s="1375">
        <f t="shared" si="575"/>
        <v>0</v>
      </c>
      <c r="U488" s="2028">
        <f t="shared" si="449"/>
        <v>0</v>
      </c>
      <c r="V488" s="1357"/>
      <c r="W488" s="1357"/>
      <c r="X488" s="1357"/>
      <c r="Y488" s="1357"/>
      <c r="AD488" s="2141">
        <f t="shared" si="494"/>
        <v>1.5</v>
      </c>
      <c r="AE488" s="2142" t="str">
        <f t="shared" si="567"/>
        <v/>
      </c>
      <c r="AG488" s="2118" t="s">
        <v>500</v>
      </c>
    </row>
    <row r="489" spans="1:33" ht="14.25" hidden="1" outlineLevel="3" x14ac:dyDescent="0.2">
      <c r="A489" s="1360">
        <f t="shared" si="576"/>
        <v>94</v>
      </c>
      <c r="B489" s="2045" t="s">
        <v>1554</v>
      </c>
      <c r="C489" s="532" t="s">
        <v>1042</v>
      </c>
      <c r="D489" s="1382">
        <v>4</v>
      </c>
      <c r="E489" s="499" t="s">
        <v>462</v>
      </c>
      <c r="F489" s="2167" t="s">
        <v>303</v>
      </c>
      <c r="G489" s="1354">
        <v>1.25</v>
      </c>
      <c r="H489" s="1373">
        <f>IF(H486&gt;0,1,0)</f>
        <v>0</v>
      </c>
      <c r="I489" s="1359">
        <f t="shared" si="568"/>
        <v>0</v>
      </c>
      <c r="J489" s="1374" t="str">
        <f>CONCATENATE(TRUNC(I489,0),":",INT((I489-(TRUNC(I489,0)))*60),":","00")</f>
        <v>0:0:00</v>
      </c>
      <c r="K489" s="500">
        <v>1</v>
      </c>
      <c r="L489" s="2009">
        <v>118.94</v>
      </c>
      <c r="M489" s="1375">
        <f t="shared" si="569"/>
        <v>0</v>
      </c>
      <c r="N489" s="1376">
        <v>1</v>
      </c>
      <c r="O489" s="1377">
        <f t="shared" si="570"/>
        <v>0</v>
      </c>
      <c r="P489" s="1375">
        <f t="shared" si="571"/>
        <v>0</v>
      </c>
      <c r="Q489" s="1378">
        <f t="shared" si="572"/>
        <v>0</v>
      </c>
      <c r="R489" s="1375">
        <f t="shared" si="573"/>
        <v>0</v>
      </c>
      <c r="S489" s="1375">
        <f t="shared" si="574"/>
        <v>0</v>
      </c>
      <c r="T489" s="1375">
        <f t="shared" si="575"/>
        <v>0</v>
      </c>
      <c r="U489" s="2028">
        <f t="shared" si="449"/>
        <v>0</v>
      </c>
      <c r="V489" s="1357"/>
      <c r="W489" s="1357"/>
      <c r="X489" s="1357"/>
      <c r="Y489" s="1357"/>
      <c r="AD489" s="2141">
        <f t="shared" si="494"/>
        <v>2.6</v>
      </c>
      <c r="AE489" s="2142" t="str">
        <f t="shared" si="567"/>
        <v/>
      </c>
      <c r="AG489" s="2118" t="s">
        <v>500</v>
      </c>
    </row>
    <row r="490" spans="1:33" ht="14.25" hidden="1" outlineLevel="3" x14ac:dyDescent="0.2">
      <c r="A490" s="1360">
        <f t="shared" si="576"/>
        <v>95</v>
      </c>
      <c r="B490" s="1389" t="s">
        <v>1555</v>
      </c>
      <c r="C490" s="532" t="s">
        <v>1042</v>
      </c>
      <c r="D490" s="1382">
        <v>4</v>
      </c>
      <c r="E490" s="499" t="s">
        <v>462</v>
      </c>
      <c r="F490" s="1382" t="s">
        <v>303</v>
      </c>
      <c r="G490" s="1354">
        <v>0.5</v>
      </c>
      <c r="H490" s="1373">
        <f>IF((H478+H482+H486)&gt;0,1,0)</f>
        <v>0</v>
      </c>
      <c r="I490" s="1359">
        <f t="shared" si="568"/>
        <v>0</v>
      </c>
      <c r="J490" s="1374" t="str">
        <f t="shared" ref="J490" si="582">CONCATENATE(TRUNC(I490,0),":",INT((I490-(TRUNC(I490,0)))*60),":","00")</f>
        <v>0:0:00</v>
      </c>
      <c r="K490" s="500">
        <v>1</v>
      </c>
      <c r="L490" s="2009">
        <v>47.58</v>
      </c>
      <c r="M490" s="1375">
        <f t="shared" si="569"/>
        <v>0</v>
      </c>
      <c r="N490" s="1376">
        <v>1</v>
      </c>
      <c r="O490" s="1377">
        <f t="shared" si="570"/>
        <v>0</v>
      </c>
      <c r="P490" s="1375">
        <f t="shared" si="571"/>
        <v>0</v>
      </c>
      <c r="Q490" s="1378">
        <f t="shared" si="572"/>
        <v>0</v>
      </c>
      <c r="R490" s="1375">
        <f t="shared" si="573"/>
        <v>0</v>
      </c>
      <c r="S490" s="1375">
        <f t="shared" si="574"/>
        <v>0</v>
      </c>
      <c r="T490" s="1375">
        <f t="shared" si="575"/>
        <v>0</v>
      </c>
      <c r="U490" s="2028">
        <f t="shared" si="449"/>
        <v>0</v>
      </c>
      <c r="V490" s="1357"/>
      <c r="W490" s="1357"/>
      <c r="X490" s="1357"/>
      <c r="Y490" s="1357"/>
      <c r="AD490" s="2141">
        <f t="shared" si="494"/>
        <v>2.6</v>
      </c>
      <c r="AE490" s="2142" t="str">
        <f t="shared" si="567"/>
        <v/>
      </c>
      <c r="AG490" s="2118" t="s">
        <v>500</v>
      </c>
    </row>
    <row r="491" spans="1:33" ht="15" hidden="1" outlineLevel="1" x14ac:dyDescent="0.2">
      <c r="A491" s="1360"/>
      <c r="B491" s="1366" t="s">
        <v>1851</v>
      </c>
      <c r="C491" s="522"/>
      <c r="D491" s="2152"/>
      <c r="E491" s="523" t="s">
        <v>218</v>
      </c>
      <c r="F491" s="2164"/>
      <c r="G491" s="2178"/>
      <c r="H491" s="1367"/>
      <c r="I491" s="2043">
        <f>SUM(I492:I495)</f>
        <v>0</v>
      </c>
      <c r="J491" s="524"/>
      <c r="K491" s="524"/>
      <c r="L491" s="526"/>
      <c r="M491" s="1368"/>
      <c r="N491" s="524"/>
      <c r="O491" s="1369"/>
      <c r="P491" s="1368"/>
      <c r="Q491" s="1370"/>
      <c r="R491" s="1368"/>
      <c r="S491" s="1371">
        <f>SUM(T492:T495)</f>
        <v>0</v>
      </c>
      <c r="T491" s="1370"/>
      <c r="U491" s="2028">
        <f t="shared" ref="U491:U495" si="583">IF(T491&gt;0,1,0)</f>
        <v>0</v>
      </c>
      <c r="V491" s="1357"/>
      <c r="W491" s="1357"/>
      <c r="X491" s="1357"/>
      <c r="Y491" s="1357"/>
      <c r="AD491" s="2141" t="str">
        <f t="shared" si="494"/>
        <v/>
      </c>
      <c r="AE491" s="2142" t="str">
        <f t="shared" si="567"/>
        <v/>
      </c>
      <c r="AG491" s="2118" t="s">
        <v>500</v>
      </c>
    </row>
    <row r="492" spans="1:33" ht="28.5" hidden="1" outlineLevel="3" x14ac:dyDescent="0.2">
      <c r="A492" s="1360">
        <f>A490+1</f>
        <v>96</v>
      </c>
      <c r="B492" s="1389" t="s">
        <v>1852</v>
      </c>
      <c r="C492" s="532" t="s">
        <v>1853</v>
      </c>
      <c r="D492" s="1358">
        <v>2</v>
      </c>
      <c r="E492" s="499" t="s">
        <v>465</v>
      </c>
      <c r="F492" s="2046" t="s">
        <v>303</v>
      </c>
      <c r="G492" s="1383">
        <v>4.0000000000000001E-3</v>
      </c>
      <c r="H492" s="1373"/>
      <c r="I492" s="1359">
        <f t="shared" ref="I492:I493" si="584">IF(G492=0,0,IF(H492&gt;0,IF((G492*H492/K492)&lt;0.084,0.084,(G492*H492/K492)),0))</f>
        <v>0</v>
      </c>
      <c r="J492" s="1374" t="str">
        <f>CONCATENATE(TRUNC(I492,0),":",INT((I492-(TRUNC(I492,0)))*60),":","00")</f>
        <v>0:0:00</v>
      </c>
      <c r="K492" s="500">
        <v>1</v>
      </c>
      <c r="L492" s="2009">
        <v>0.25</v>
      </c>
      <c r="M492" s="1375">
        <f t="shared" ref="M492:M493" si="585">H492*L492/K492</f>
        <v>0</v>
      </c>
      <c r="N492" s="1376">
        <v>1</v>
      </c>
      <c r="O492" s="1377">
        <f t="shared" ref="O492:O493" si="586">M492*N492</f>
        <v>0</v>
      </c>
      <c r="P492" s="1375">
        <f t="shared" ref="P492:P493" si="587">(M492+O492)*0.15</f>
        <v>0</v>
      </c>
      <c r="Q492" s="1378">
        <f t="shared" ref="Q492:Q493" si="588">M492+O492+P492</f>
        <v>0</v>
      </c>
      <c r="R492" s="1375">
        <f t="shared" ref="R492:R493" si="589">Q492*$R$1</f>
        <v>0</v>
      </c>
      <c r="S492" s="1375">
        <f t="shared" ref="S492:S493" si="590">(Q492+R492)*$S$1</f>
        <v>0</v>
      </c>
      <c r="T492" s="1375">
        <f t="shared" ref="T492:T493" si="591">Q492+R492+S492</f>
        <v>0</v>
      </c>
      <c r="U492" s="2028">
        <f t="shared" ref="U492:U493" si="592">IF(T492&gt;0,1,0)</f>
        <v>0</v>
      </c>
      <c r="V492" s="1357"/>
      <c r="W492" s="1357"/>
      <c r="X492" s="1357"/>
      <c r="Y492" s="1357"/>
      <c r="AD492" s="2141">
        <f t="shared" si="494"/>
        <v>1.5</v>
      </c>
      <c r="AE492" s="2142" t="str">
        <f t="shared" si="567"/>
        <v/>
      </c>
      <c r="AG492" s="2118" t="s">
        <v>500</v>
      </c>
    </row>
    <row r="493" spans="1:33" ht="28.5" hidden="1" outlineLevel="3" x14ac:dyDescent="0.2">
      <c r="A493" s="1360">
        <f>A492+1</f>
        <v>97</v>
      </c>
      <c r="B493" s="1389" t="s">
        <v>1854</v>
      </c>
      <c r="C493" s="532" t="s">
        <v>1855</v>
      </c>
      <c r="D493" s="1358">
        <v>2</v>
      </c>
      <c r="E493" s="499" t="s">
        <v>465</v>
      </c>
      <c r="F493" s="2046" t="s">
        <v>303</v>
      </c>
      <c r="G493" s="1383">
        <v>5.0000000000000001E-3</v>
      </c>
      <c r="H493" s="1373"/>
      <c r="I493" s="1359">
        <f t="shared" si="584"/>
        <v>0</v>
      </c>
      <c r="J493" s="1374" t="str">
        <f>CONCATENATE(TRUNC(I493,0),":",INT((I493-(TRUNC(I493,0)))*60),":","00")</f>
        <v>0:0:00</v>
      </c>
      <c r="K493" s="500">
        <v>1</v>
      </c>
      <c r="L493" s="2009">
        <v>0.32</v>
      </c>
      <c r="M493" s="1375">
        <f t="shared" si="585"/>
        <v>0</v>
      </c>
      <c r="N493" s="1376">
        <v>1</v>
      </c>
      <c r="O493" s="1377">
        <f t="shared" si="586"/>
        <v>0</v>
      </c>
      <c r="P493" s="1375">
        <f t="shared" si="587"/>
        <v>0</v>
      </c>
      <c r="Q493" s="1378">
        <f t="shared" si="588"/>
        <v>0</v>
      </c>
      <c r="R493" s="1375">
        <f t="shared" si="589"/>
        <v>0</v>
      </c>
      <c r="S493" s="1375">
        <f t="shared" si="590"/>
        <v>0</v>
      </c>
      <c r="T493" s="1375">
        <f t="shared" si="591"/>
        <v>0</v>
      </c>
      <c r="U493" s="2028">
        <f t="shared" si="592"/>
        <v>0</v>
      </c>
      <c r="V493" s="1357"/>
      <c r="W493" s="1357"/>
      <c r="X493" s="1357"/>
      <c r="Y493" s="1357"/>
      <c r="AD493" s="2141">
        <f t="shared" si="494"/>
        <v>1.5</v>
      </c>
      <c r="AE493" s="2142" t="str">
        <f t="shared" si="567"/>
        <v/>
      </c>
      <c r="AG493" s="2118" t="s">
        <v>500</v>
      </c>
    </row>
    <row r="494" spans="1:33" ht="28.5" hidden="1" outlineLevel="3" x14ac:dyDescent="0.2">
      <c r="A494" s="1360">
        <f t="shared" ref="A494:A495" si="593">A493+1</f>
        <v>98</v>
      </c>
      <c r="B494" s="1389" t="s">
        <v>1856</v>
      </c>
      <c r="C494" s="532" t="s">
        <v>1857</v>
      </c>
      <c r="D494" s="1358">
        <v>2</v>
      </c>
      <c r="E494" s="499" t="s">
        <v>465</v>
      </c>
      <c r="F494" s="2046" t="s">
        <v>303</v>
      </c>
      <c r="G494" s="1383">
        <v>8.9999999999999993E-3</v>
      </c>
      <c r="H494" s="1373"/>
      <c r="I494" s="1359">
        <f t="shared" ref="I494:I495" si="594">IF(G494=0,0,IF(H494&gt;0,IF((G494*H494/K494)&lt;0.084,0.084,(G494*H494/K494)),0))</f>
        <v>0</v>
      </c>
      <c r="J494" s="1374" t="str">
        <f>CONCATENATE(TRUNC(I494,0),":",INT((I494-(TRUNC(I494,0)))*60),":","00")</f>
        <v>0:0:00</v>
      </c>
      <c r="K494" s="500">
        <v>1</v>
      </c>
      <c r="L494" s="2009">
        <v>0.56999999999999995</v>
      </c>
      <c r="M494" s="1375">
        <f t="shared" ref="M494:M495" si="595">H494*L494/K494</f>
        <v>0</v>
      </c>
      <c r="N494" s="1376">
        <v>1</v>
      </c>
      <c r="O494" s="1377">
        <f t="shared" ref="O494:O495" si="596">M494*N494</f>
        <v>0</v>
      </c>
      <c r="P494" s="1375">
        <f t="shared" ref="P494:P495" si="597">(M494+O494)*0.15</f>
        <v>0</v>
      </c>
      <c r="Q494" s="1378">
        <f t="shared" ref="Q494:Q495" si="598">M494+O494+P494</f>
        <v>0</v>
      </c>
      <c r="R494" s="1375">
        <f t="shared" ref="R494:R495" si="599">Q494*$R$1</f>
        <v>0</v>
      </c>
      <c r="S494" s="1375">
        <f t="shared" ref="S494:S495" si="600">(Q494+R494)*$S$1</f>
        <v>0</v>
      </c>
      <c r="T494" s="1375">
        <f t="shared" ref="T494:T495" si="601">Q494+R494+S494</f>
        <v>0</v>
      </c>
      <c r="U494" s="2028">
        <f t="shared" si="583"/>
        <v>0</v>
      </c>
      <c r="V494" s="1357"/>
      <c r="W494" s="1357"/>
      <c r="X494" s="1357"/>
      <c r="Y494" s="1357"/>
      <c r="AD494" s="2141">
        <f t="shared" si="494"/>
        <v>1.5</v>
      </c>
      <c r="AE494" s="2142" t="str">
        <f t="shared" si="567"/>
        <v/>
      </c>
      <c r="AG494" s="2118" t="s">
        <v>500</v>
      </c>
    </row>
    <row r="495" spans="1:33" ht="28.5" hidden="1" outlineLevel="3" x14ac:dyDescent="0.2">
      <c r="A495" s="1360">
        <f t="shared" si="593"/>
        <v>99</v>
      </c>
      <c r="B495" s="1389" t="s">
        <v>1858</v>
      </c>
      <c r="C495" s="532" t="s">
        <v>1859</v>
      </c>
      <c r="D495" s="1358">
        <v>2</v>
      </c>
      <c r="E495" s="499" t="s">
        <v>465</v>
      </c>
      <c r="F495" s="2046" t="s">
        <v>303</v>
      </c>
      <c r="G495" s="1383">
        <v>1.0999999999999999E-2</v>
      </c>
      <c r="H495" s="1373"/>
      <c r="I495" s="1359">
        <f t="shared" si="594"/>
        <v>0</v>
      </c>
      <c r="J495" s="1374" t="str">
        <f>CONCATENATE(TRUNC(I495,0),":",INT((I495-(TRUNC(I495,0)))*60),":","00")</f>
        <v>0:0:00</v>
      </c>
      <c r="K495" s="500">
        <v>1</v>
      </c>
      <c r="L495" s="2009">
        <v>0.7</v>
      </c>
      <c r="M495" s="1375">
        <f t="shared" si="595"/>
        <v>0</v>
      </c>
      <c r="N495" s="1376">
        <v>1</v>
      </c>
      <c r="O495" s="1377">
        <f t="shared" si="596"/>
        <v>0</v>
      </c>
      <c r="P495" s="1375">
        <f t="shared" si="597"/>
        <v>0</v>
      </c>
      <c r="Q495" s="1378">
        <f t="shared" si="598"/>
        <v>0</v>
      </c>
      <c r="R495" s="1375">
        <f t="shared" si="599"/>
        <v>0</v>
      </c>
      <c r="S495" s="1375">
        <f t="shared" si="600"/>
        <v>0</v>
      </c>
      <c r="T495" s="1375">
        <f t="shared" si="601"/>
        <v>0</v>
      </c>
      <c r="U495" s="2028">
        <f t="shared" si="583"/>
        <v>0</v>
      </c>
      <c r="V495" s="1357"/>
      <c r="W495" s="1357"/>
      <c r="X495" s="1357"/>
      <c r="Y495" s="1357"/>
      <c r="AD495" s="2141">
        <f t="shared" si="494"/>
        <v>1.5</v>
      </c>
      <c r="AE495" s="2142" t="str">
        <f t="shared" si="567"/>
        <v/>
      </c>
      <c r="AG495" s="2118" t="s">
        <v>500</v>
      </c>
    </row>
    <row r="496" spans="1:33" ht="15" hidden="1" outlineLevel="1" x14ac:dyDescent="0.2">
      <c r="A496" s="1360"/>
      <c r="B496" s="1366" t="s">
        <v>706</v>
      </c>
      <c r="C496" s="522"/>
      <c r="D496" s="2152"/>
      <c r="E496" s="523" t="s">
        <v>218</v>
      </c>
      <c r="F496" s="2164"/>
      <c r="G496" s="2178"/>
      <c r="H496" s="1367"/>
      <c r="I496" s="2043">
        <f>SUM(I497:I502)</f>
        <v>0</v>
      </c>
      <c r="J496" s="524"/>
      <c r="K496" s="524"/>
      <c r="L496" s="526"/>
      <c r="M496" s="1368"/>
      <c r="N496" s="524"/>
      <c r="O496" s="1369"/>
      <c r="P496" s="1368"/>
      <c r="Q496" s="1370"/>
      <c r="R496" s="1368"/>
      <c r="S496" s="1371">
        <f>SUM(T497:T502)</f>
        <v>0</v>
      </c>
      <c r="T496" s="1370"/>
      <c r="U496" s="2028">
        <f t="shared" si="449"/>
        <v>0</v>
      </c>
      <c r="V496" s="1357"/>
      <c r="W496" s="1357"/>
      <c r="X496" s="1357"/>
      <c r="Y496" s="1357"/>
      <c r="AD496" s="2141" t="str">
        <f t="shared" si="494"/>
        <v/>
      </c>
      <c r="AE496" s="2142" t="str">
        <f t="shared" si="567"/>
        <v/>
      </c>
      <c r="AG496" s="2118" t="s">
        <v>1816</v>
      </c>
    </row>
    <row r="497" spans="1:33" ht="28.5" hidden="1" customHeight="1" outlineLevel="2" x14ac:dyDescent="0.2">
      <c r="A497" s="1360">
        <f>A495+1</f>
        <v>100</v>
      </c>
      <c r="B497" s="1389" t="s">
        <v>1556</v>
      </c>
      <c r="C497" s="585" t="s">
        <v>706</v>
      </c>
      <c r="D497" s="1358">
        <v>4</v>
      </c>
      <c r="E497" s="499" t="s">
        <v>462</v>
      </c>
      <c r="F497" s="2046" t="s">
        <v>344</v>
      </c>
      <c r="G497" s="1383">
        <v>0.16</v>
      </c>
      <c r="H497" s="1373"/>
      <c r="I497" s="1359">
        <f t="shared" ref="I497:I502" si="602">IF(G497=0,0,IF(H497&gt;0,IF((G497*H497/K497)&lt;0.084,0.084,(G497*H497/K497)),0))</f>
        <v>0</v>
      </c>
      <c r="J497" s="1374" t="str">
        <f t="shared" ref="J497:J502" si="603">CONCATENATE(TRUNC(I497,0),":",INT((I497-(TRUNC(I497,0)))*60),":","00")</f>
        <v>0:0:00</v>
      </c>
      <c r="K497" s="500">
        <v>1000</v>
      </c>
      <c r="L497" s="2009">
        <v>15.22</v>
      </c>
      <c r="M497" s="1375">
        <f t="shared" ref="M497:M502" si="604">H497*L497/K497</f>
        <v>0</v>
      </c>
      <c r="N497" s="1376">
        <v>1</v>
      </c>
      <c r="O497" s="1377">
        <f t="shared" ref="O497:O502" si="605">M497*N497</f>
        <v>0</v>
      </c>
      <c r="P497" s="1375">
        <f t="shared" ref="P497:P502" si="606">(M497+O497)*0.15</f>
        <v>0</v>
      </c>
      <c r="Q497" s="1378">
        <f t="shared" ref="Q497:Q502" si="607">M497+O497+P497</f>
        <v>0</v>
      </c>
      <c r="R497" s="1375">
        <f t="shared" ref="R497:R502" si="608">Q497*$R$1</f>
        <v>0</v>
      </c>
      <c r="S497" s="1375">
        <f t="shared" ref="S497:S502" si="609">(Q497+R497)*$S$1</f>
        <v>0</v>
      </c>
      <c r="T497" s="1375">
        <f t="shared" ref="T497:T502" si="610">Q497+R497+S497</f>
        <v>0</v>
      </c>
      <c r="U497" s="2028">
        <f t="shared" si="449"/>
        <v>0</v>
      </c>
      <c r="V497" s="1357"/>
      <c r="W497" s="1357"/>
      <c r="X497" s="1357"/>
      <c r="Y497" s="1357"/>
      <c r="AD497" s="2141">
        <f t="shared" ref="AD497:AD560" si="611">IF(D497&gt;0,LOOKUP(D497,$Z$30:$Z$33,$AA$30:$AA$33),"")</f>
        <v>2.6</v>
      </c>
      <c r="AE497" s="2142" t="str">
        <f t="shared" si="567"/>
        <v/>
      </c>
      <c r="AG497" s="2118" t="s">
        <v>1816</v>
      </c>
    </row>
    <row r="498" spans="1:33" ht="28.5" hidden="1" customHeight="1" outlineLevel="2" x14ac:dyDescent="0.2">
      <c r="A498" s="1360">
        <f>A497+1</f>
        <v>101</v>
      </c>
      <c r="B498" s="1389" t="s">
        <v>1557</v>
      </c>
      <c r="C498" s="585" t="s">
        <v>706</v>
      </c>
      <c r="D498" s="1358">
        <v>4</v>
      </c>
      <c r="E498" s="499" t="s">
        <v>462</v>
      </c>
      <c r="F498" s="2046" t="s">
        <v>344</v>
      </c>
      <c r="G498" s="1383">
        <v>0.23799999999999999</v>
      </c>
      <c r="H498" s="1373"/>
      <c r="I498" s="1359">
        <f t="shared" si="602"/>
        <v>0</v>
      </c>
      <c r="J498" s="1374" t="str">
        <f t="shared" si="603"/>
        <v>0:0:00</v>
      </c>
      <c r="K498" s="500">
        <v>1000</v>
      </c>
      <c r="L498" s="2009">
        <v>22.64</v>
      </c>
      <c r="M498" s="1375">
        <f t="shared" si="604"/>
        <v>0</v>
      </c>
      <c r="N498" s="1376">
        <v>1</v>
      </c>
      <c r="O498" s="1377">
        <f t="shared" si="605"/>
        <v>0</v>
      </c>
      <c r="P498" s="1375">
        <f t="shared" si="606"/>
        <v>0</v>
      </c>
      <c r="Q498" s="1378">
        <f t="shared" si="607"/>
        <v>0</v>
      </c>
      <c r="R498" s="1375">
        <f t="shared" si="608"/>
        <v>0</v>
      </c>
      <c r="S498" s="1375">
        <f t="shared" si="609"/>
        <v>0</v>
      </c>
      <c r="T498" s="1375">
        <f t="shared" si="610"/>
        <v>0</v>
      </c>
      <c r="U498" s="2028">
        <f t="shared" ref="U498" si="612">IF(T498&gt;0,1,0)</f>
        <v>0</v>
      </c>
      <c r="V498" s="1357"/>
      <c r="W498" s="1357"/>
      <c r="X498" s="1357"/>
      <c r="Y498" s="1357"/>
      <c r="AD498" s="2141">
        <f t="shared" si="611"/>
        <v>2.6</v>
      </c>
      <c r="AE498" s="2142" t="str">
        <f t="shared" si="567"/>
        <v/>
      </c>
      <c r="AG498" s="2118" t="s">
        <v>1816</v>
      </c>
    </row>
    <row r="499" spans="1:33" ht="28.5" hidden="1" customHeight="1" outlineLevel="2" x14ac:dyDescent="0.2">
      <c r="A499" s="1360">
        <f t="shared" ref="A499:A502" si="613">A498+1</f>
        <v>102</v>
      </c>
      <c r="B499" s="1372" t="s">
        <v>1558</v>
      </c>
      <c r="C499" s="532" t="s">
        <v>706</v>
      </c>
      <c r="D499" s="1358">
        <v>4</v>
      </c>
      <c r="E499" s="499" t="s">
        <v>462</v>
      </c>
      <c r="F499" s="2046" t="s">
        <v>344</v>
      </c>
      <c r="G499" s="1383">
        <v>0.23899999999999999</v>
      </c>
      <c r="H499" s="1373"/>
      <c r="I499" s="1359">
        <f t="shared" si="602"/>
        <v>0</v>
      </c>
      <c r="J499" s="1374" t="str">
        <f t="shared" si="603"/>
        <v>0:0:00</v>
      </c>
      <c r="K499" s="500">
        <v>1000</v>
      </c>
      <c r="L499" s="2009">
        <v>22.74</v>
      </c>
      <c r="M499" s="1375">
        <f t="shared" si="604"/>
        <v>0</v>
      </c>
      <c r="N499" s="1376">
        <v>1</v>
      </c>
      <c r="O499" s="1377">
        <f t="shared" si="605"/>
        <v>0</v>
      </c>
      <c r="P499" s="1375">
        <f t="shared" si="606"/>
        <v>0</v>
      </c>
      <c r="Q499" s="1378">
        <f t="shared" si="607"/>
        <v>0</v>
      </c>
      <c r="R499" s="1375">
        <f t="shared" si="608"/>
        <v>0</v>
      </c>
      <c r="S499" s="1375">
        <f t="shared" si="609"/>
        <v>0</v>
      </c>
      <c r="T499" s="1375">
        <f t="shared" si="610"/>
        <v>0</v>
      </c>
      <c r="U499" s="2028">
        <f t="shared" si="449"/>
        <v>0</v>
      </c>
      <c r="V499" s="1357"/>
      <c r="W499" s="1357"/>
      <c r="X499" s="1357"/>
      <c r="Y499" s="1357"/>
      <c r="AD499" s="2141">
        <f t="shared" si="611"/>
        <v>2.6</v>
      </c>
      <c r="AE499" s="2142" t="str">
        <f t="shared" si="567"/>
        <v/>
      </c>
      <c r="AG499" s="2118" t="s">
        <v>1816</v>
      </c>
    </row>
    <row r="500" spans="1:33" ht="28.5" hidden="1" customHeight="1" outlineLevel="2" x14ac:dyDescent="0.2">
      <c r="A500" s="1360">
        <f t="shared" si="613"/>
        <v>103</v>
      </c>
      <c r="B500" s="1372" t="s">
        <v>1559</v>
      </c>
      <c r="C500" s="532" t="s">
        <v>706</v>
      </c>
      <c r="D500" s="1358">
        <v>4</v>
      </c>
      <c r="E500" s="499" t="s">
        <v>462</v>
      </c>
      <c r="F500" s="2046" t="s">
        <v>344</v>
      </c>
      <c r="G500" s="1383">
        <v>0.33200000000000002</v>
      </c>
      <c r="H500" s="1373"/>
      <c r="I500" s="1359">
        <f t="shared" si="602"/>
        <v>0</v>
      </c>
      <c r="J500" s="1374" t="str">
        <f t="shared" si="603"/>
        <v>0:0:00</v>
      </c>
      <c r="K500" s="500">
        <v>1000</v>
      </c>
      <c r="L500" s="2009">
        <v>31.59</v>
      </c>
      <c r="M500" s="1375">
        <f t="shared" si="604"/>
        <v>0</v>
      </c>
      <c r="N500" s="1376">
        <v>1</v>
      </c>
      <c r="O500" s="1377">
        <f t="shared" si="605"/>
        <v>0</v>
      </c>
      <c r="P500" s="1375">
        <f t="shared" si="606"/>
        <v>0</v>
      </c>
      <c r="Q500" s="1378">
        <f t="shared" si="607"/>
        <v>0</v>
      </c>
      <c r="R500" s="1375">
        <f t="shared" si="608"/>
        <v>0</v>
      </c>
      <c r="S500" s="1375">
        <f t="shared" si="609"/>
        <v>0</v>
      </c>
      <c r="T500" s="1375">
        <f t="shared" si="610"/>
        <v>0</v>
      </c>
      <c r="U500" s="2028">
        <f t="shared" si="449"/>
        <v>0</v>
      </c>
      <c r="V500" s="1357"/>
      <c r="W500" s="1357"/>
      <c r="X500" s="1357"/>
      <c r="Y500" s="1357"/>
      <c r="AD500" s="2141">
        <f t="shared" si="611"/>
        <v>2.6</v>
      </c>
      <c r="AE500" s="2142" t="str">
        <f t="shared" si="567"/>
        <v/>
      </c>
      <c r="AG500" s="2118" t="s">
        <v>1816</v>
      </c>
    </row>
    <row r="501" spans="1:33" ht="28.5" hidden="1" customHeight="1" outlineLevel="2" x14ac:dyDescent="0.2">
      <c r="A501" s="1360">
        <f t="shared" si="613"/>
        <v>104</v>
      </c>
      <c r="B501" s="1389" t="s">
        <v>1560</v>
      </c>
      <c r="C501" s="532" t="s">
        <v>706</v>
      </c>
      <c r="D501" s="1358">
        <v>4</v>
      </c>
      <c r="E501" s="499" t="s">
        <v>462</v>
      </c>
      <c r="F501" s="2046" t="s">
        <v>344</v>
      </c>
      <c r="G501" s="1383">
        <v>0.55500000000000005</v>
      </c>
      <c r="H501" s="1373"/>
      <c r="I501" s="1359">
        <f t="shared" si="602"/>
        <v>0</v>
      </c>
      <c r="J501" s="1374" t="str">
        <f t="shared" si="603"/>
        <v>0:0:00</v>
      </c>
      <c r="K501" s="500">
        <v>1000</v>
      </c>
      <c r="L501" s="2009">
        <v>52.8</v>
      </c>
      <c r="M501" s="1375">
        <f t="shared" si="604"/>
        <v>0</v>
      </c>
      <c r="N501" s="1376">
        <v>1</v>
      </c>
      <c r="O501" s="1377">
        <f t="shared" si="605"/>
        <v>0</v>
      </c>
      <c r="P501" s="1375">
        <f t="shared" si="606"/>
        <v>0</v>
      </c>
      <c r="Q501" s="1378">
        <f t="shared" si="607"/>
        <v>0</v>
      </c>
      <c r="R501" s="1375">
        <f t="shared" si="608"/>
        <v>0</v>
      </c>
      <c r="S501" s="1375">
        <f t="shared" si="609"/>
        <v>0</v>
      </c>
      <c r="T501" s="1375">
        <f t="shared" si="610"/>
        <v>0</v>
      </c>
      <c r="U501" s="2028">
        <f t="shared" ref="U501" si="614">IF(T501&gt;0,1,0)</f>
        <v>0</v>
      </c>
      <c r="V501" s="1357"/>
      <c r="W501" s="1357"/>
      <c r="X501" s="1357"/>
      <c r="Y501" s="1357"/>
      <c r="AD501" s="2141">
        <f t="shared" si="611"/>
        <v>2.6</v>
      </c>
      <c r="AE501" s="2142" t="str">
        <f t="shared" si="567"/>
        <v/>
      </c>
      <c r="AG501" s="2118" t="s">
        <v>1816</v>
      </c>
    </row>
    <row r="502" spans="1:33" ht="28.5" hidden="1" customHeight="1" outlineLevel="2" x14ac:dyDescent="0.2">
      <c r="A502" s="1360">
        <f t="shared" si="613"/>
        <v>105</v>
      </c>
      <c r="B502" s="1372" t="s">
        <v>1561</v>
      </c>
      <c r="C502" s="532" t="s">
        <v>706</v>
      </c>
      <c r="D502" s="1358">
        <v>4</v>
      </c>
      <c r="E502" s="499" t="s">
        <v>462</v>
      </c>
      <c r="F502" s="2024" t="s">
        <v>303</v>
      </c>
      <c r="G502" s="1383">
        <v>0.61299999999999999</v>
      </c>
      <c r="H502" s="2002">
        <f>IF(SUM(H497:H501)&gt;0,COUNT(H497:H501),0)</f>
        <v>0</v>
      </c>
      <c r="I502" s="1359">
        <f t="shared" si="602"/>
        <v>0</v>
      </c>
      <c r="J502" s="1374" t="str">
        <f t="shared" si="603"/>
        <v>0:0:00</v>
      </c>
      <c r="K502" s="500">
        <v>1</v>
      </c>
      <c r="L502" s="2009">
        <v>58.34</v>
      </c>
      <c r="M502" s="1375">
        <f t="shared" si="604"/>
        <v>0</v>
      </c>
      <c r="N502" s="1376">
        <v>1</v>
      </c>
      <c r="O502" s="1377">
        <f t="shared" si="605"/>
        <v>0</v>
      </c>
      <c r="P502" s="1375">
        <f t="shared" si="606"/>
        <v>0</v>
      </c>
      <c r="Q502" s="1378">
        <f t="shared" si="607"/>
        <v>0</v>
      </c>
      <c r="R502" s="1375">
        <f t="shared" si="608"/>
        <v>0</v>
      </c>
      <c r="S502" s="1375">
        <f t="shared" si="609"/>
        <v>0</v>
      </c>
      <c r="T502" s="1375">
        <f t="shared" si="610"/>
        <v>0</v>
      </c>
      <c r="U502" s="2028">
        <f t="shared" si="449"/>
        <v>0</v>
      </c>
      <c r="V502" s="1357"/>
      <c r="W502" s="1357"/>
      <c r="X502" s="1357"/>
      <c r="Y502" s="1357"/>
      <c r="AD502" s="2141">
        <f t="shared" si="611"/>
        <v>2.6</v>
      </c>
      <c r="AE502" s="2142" t="str">
        <f t="shared" si="567"/>
        <v/>
      </c>
      <c r="AG502" s="2118" t="s">
        <v>1816</v>
      </c>
    </row>
    <row r="503" spans="1:33" ht="15" hidden="1" outlineLevel="1" x14ac:dyDescent="0.2">
      <c r="A503" s="1360"/>
      <c r="B503" s="1366" t="s">
        <v>498</v>
      </c>
      <c r="C503" s="522"/>
      <c r="D503" s="2152"/>
      <c r="E503" s="523" t="s">
        <v>218</v>
      </c>
      <c r="F503" s="2164"/>
      <c r="G503" s="2178"/>
      <c r="H503" s="1367"/>
      <c r="I503" s="2043">
        <f>SUM(I504:I510)</f>
        <v>0</v>
      </c>
      <c r="J503" s="524"/>
      <c r="K503" s="524"/>
      <c r="L503" s="526"/>
      <c r="M503" s="1368"/>
      <c r="N503" s="524"/>
      <c r="O503" s="1369"/>
      <c r="P503" s="1368"/>
      <c r="Q503" s="1370"/>
      <c r="R503" s="1368"/>
      <c r="S503" s="1371">
        <f>SUM(T504:T510)</f>
        <v>0</v>
      </c>
      <c r="T503" s="1370"/>
      <c r="U503" s="2028">
        <f t="shared" si="449"/>
        <v>0</v>
      </c>
      <c r="V503" s="1357"/>
      <c r="W503" s="1357"/>
      <c r="X503" s="1357"/>
      <c r="Y503" s="1357"/>
      <c r="AD503" s="2141" t="str">
        <f t="shared" si="611"/>
        <v/>
      </c>
      <c r="AE503" s="2142" t="str">
        <f t="shared" si="567"/>
        <v/>
      </c>
      <c r="AG503" s="2118" t="s">
        <v>1816</v>
      </c>
    </row>
    <row r="504" spans="1:33" ht="28.5" hidden="1" outlineLevel="2" x14ac:dyDescent="0.2">
      <c r="A504" s="1360">
        <f>A502+1</f>
        <v>106</v>
      </c>
      <c r="B504" s="1372" t="s">
        <v>1562</v>
      </c>
      <c r="C504" s="532"/>
      <c r="D504" s="1358">
        <v>2</v>
      </c>
      <c r="E504" s="499" t="s">
        <v>465</v>
      </c>
      <c r="F504" s="2024" t="s">
        <v>303</v>
      </c>
      <c r="G504" s="1355">
        <v>2.0790000000000002</v>
      </c>
      <c r="H504" s="1373"/>
      <c r="I504" s="1359">
        <f t="shared" ref="I504:I510" si="615">IF(G504=0,0,IF(H504&gt;0,IF((G504*H504/K504)&lt;0.084,0.084,(G504*H504/K504)),0))</f>
        <v>0</v>
      </c>
      <c r="J504" s="1374" t="str">
        <f t="shared" ref="J504:J510" si="616">CONCATENATE(TRUNC(I504,0),":",INT((I504-(TRUNC(I504,0)))*60),":","00")</f>
        <v>0:0:00</v>
      </c>
      <c r="K504" s="500">
        <v>1000</v>
      </c>
      <c r="L504" s="2009">
        <v>131.5</v>
      </c>
      <c r="M504" s="1375">
        <f t="shared" ref="M504:M510" si="617">H504*L504/K504</f>
        <v>0</v>
      </c>
      <c r="N504" s="1376">
        <v>1</v>
      </c>
      <c r="O504" s="1377">
        <f t="shared" ref="O504:O510" si="618">M504*N504</f>
        <v>0</v>
      </c>
      <c r="P504" s="1375">
        <f t="shared" ref="P504:P510" si="619">(M504+O504)*0.15</f>
        <v>0</v>
      </c>
      <c r="Q504" s="1378">
        <f t="shared" ref="Q504:Q510" si="620">M504+O504+P504</f>
        <v>0</v>
      </c>
      <c r="R504" s="1375">
        <f t="shared" ref="R504:R510" si="621">Q504*$R$1</f>
        <v>0</v>
      </c>
      <c r="S504" s="1375">
        <f t="shared" ref="S504:S510" si="622">(Q504+R504)*$S$1</f>
        <v>0</v>
      </c>
      <c r="T504" s="1375">
        <f t="shared" ref="T504:T510" si="623">Q504+R504+S504</f>
        <v>0</v>
      </c>
      <c r="U504" s="2028">
        <f t="shared" si="449"/>
        <v>0</v>
      </c>
      <c r="V504" s="1357"/>
      <c r="W504" s="1357"/>
      <c r="X504" s="1357"/>
      <c r="Y504" s="1357"/>
      <c r="AD504" s="2141">
        <f t="shared" si="611"/>
        <v>1.5</v>
      </c>
      <c r="AE504" s="2142" t="str">
        <f t="shared" si="567"/>
        <v/>
      </c>
      <c r="AG504" s="2118" t="s">
        <v>1816</v>
      </c>
    </row>
    <row r="505" spans="1:33" ht="28.5" hidden="1" outlineLevel="2" x14ac:dyDescent="0.2">
      <c r="A505" s="1360">
        <f>A504+1</f>
        <v>107</v>
      </c>
      <c r="B505" s="1372" t="s">
        <v>1563</v>
      </c>
      <c r="C505" s="532"/>
      <c r="D505" s="1358">
        <v>2</v>
      </c>
      <c r="E505" s="499" t="s">
        <v>465</v>
      </c>
      <c r="F505" s="2024" t="s">
        <v>303</v>
      </c>
      <c r="G505" s="1355">
        <v>3.3279999999999998</v>
      </c>
      <c r="H505" s="1373"/>
      <c r="I505" s="1359">
        <f t="shared" si="615"/>
        <v>0</v>
      </c>
      <c r="J505" s="1374" t="str">
        <f t="shared" si="616"/>
        <v>0:0:00</v>
      </c>
      <c r="K505" s="500">
        <v>1000</v>
      </c>
      <c r="L505" s="2009">
        <v>210.83</v>
      </c>
      <c r="M505" s="1375">
        <f t="shared" si="617"/>
        <v>0</v>
      </c>
      <c r="N505" s="1376">
        <v>1</v>
      </c>
      <c r="O505" s="1377">
        <f t="shared" si="618"/>
        <v>0</v>
      </c>
      <c r="P505" s="1375">
        <f t="shared" si="619"/>
        <v>0</v>
      </c>
      <c r="Q505" s="1378">
        <f t="shared" si="620"/>
        <v>0</v>
      </c>
      <c r="R505" s="1375">
        <f t="shared" si="621"/>
        <v>0</v>
      </c>
      <c r="S505" s="1375">
        <f t="shared" si="622"/>
        <v>0</v>
      </c>
      <c r="T505" s="1375">
        <f t="shared" si="623"/>
        <v>0</v>
      </c>
      <c r="U505" s="2028">
        <f t="shared" si="449"/>
        <v>0</v>
      </c>
      <c r="V505" s="1357"/>
      <c r="W505" s="1357"/>
      <c r="X505" s="1357"/>
      <c r="Y505" s="1357"/>
      <c r="AD505" s="2141">
        <f t="shared" si="611"/>
        <v>1.5</v>
      </c>
      <c r="AE505" s="2142" t="str">
        <f t="shared" si="567"/>
        <v/>
      </c>
      <c r="AG505" s="2118" t="s">
        <v>1816</v>
      </c>
    </row>
    <row r="506" spans="1:33" ht="28.5" hidden="1" outlineLevel="2" x14ac:dyDescent="0.2">
      <c r="A506" s="1360">
        <f t="shared" ref="A506:A510" si="624">A505+1</f>
        <v>108</v>
      </c>
      <c r="B506" s="1372" t="s">
        <v>1564</v>
      </c>
      <c r="C506" s="532"/>
      <c r="D506" s="1358">
        <v>2</v>
      </c>
      <c r="E506" s="499" t="s">
        <v>465</v>
      </c>
      <c r="F506" s="2024" t="s">
        <v>303</v>
      </c>
      <c r="G506" s="1355">
        <v>0.40300000000000002</v>
      </c>
      <c r="H506" s="1373"/>
      <c r="I506" s="1359">
        <f t="shared" si="615"/>
        <v>0</v>
      </c>
      <c r="J506" s="1374" t="str">
        <f t="shared" si="616"/>
        <v>0:0:00</v>
      </c>
      <c r="K506" s="500">
        <v>1000</v>
      </c>
      <c r="L506" s="2009">
        <v>25.49</v>
      </c>
      <c r="M506" s="1375">
        <f t="shared" si="617"/>
        <v>0</v>
      </c>
      <c r="N506" s="1376">
        <v>1</v>
      </c>
      <c r="O506" s="1377">
        <f t="shared" si="618"/>
        <v>0</v>
      </c>
      <c r="P506" s="1375">
        <f t="shared" si="619"/>
        <v>0</v>
      </c>
      <c r="Q506" s="1378">
        <f t="shared" si="620"/>
        <v>0</v>
      </c>
      <c r="R506" s="1375">
        <f t="shared" si="621"/>
        <v>0</v>
      </c>
      <c r="S506" s="1375">
        <f t="shared" si="622"/>
        <v>0</v>
      </c>
      <c r="T506" s="1375">
        <f t="shared" si="623"/>
        <v>0</v>
      </c>
      <c r="U506" s="2028">
        <f t="shared" si="449"/>
        <v>0</v>
      </c>
      <c r="V506" s="1357"/>
      <c r="W506" s="1357"/>
      <c r="X506" s="1357"/>
      <c r="Y506" s="1357"/>
      <c r="AD506" s="2141">
        <f t="shared" si="611"/>
        <v>1.5</v>
      </c>
      <c r="AE506" s="2142" t="str">
        <f t="shared" si="567"/>
        <v/>
      </c>
      <c r="AG506" s="2118" t="s">
        <v>1816</v>
      </c>
    </row>
    <row r="507" spans="1:33" ht="28.5" hidden="1" outlineLevel="2" x14ac:dyDescent="0.2">
      <c r="A507" s="1360">
        <f t="shared" si="624"/>
        <v>109</v>
      </c>
      <c r="B507" s="1372" t="s">
        <v>1565</v>
      </c>
      <c r="C507" s="532"/>
      <c r="D507" s="1358">
        <v>2</v>
      </c>
      <c r="E507" s="499" t="s">
        <v>465</v>
      </c>
      <c r="F507" s="2024" t="s">
        <v>303</v>
      </c>
      <c r="G507" s="1355">
        <v>0.85599999999999998</v>
      </c>
      <c r="H507" s="1373"/>
      <c r="I507" s="1359">
        <f t="shared" si="615"/>
        <v>0</v>
      </c>
      <c r="J507" s="1374" t="str">
        <f t="shared" si="616"/>
        <v>0:0:00</v>
      </c>
      <c r="K507" s="500">
        <v>1000</v>
      </c>
      <c r="L507" s="2009">
        <v>54.15</v>
      </c>
      <c r="M507" s="1375">
        <f t="shared" si="617"/>
        <v>0</v>
      </c>
      <c r="N507" s="1376">
        <v>1</v>
      </c>
      <c r="O507" s="1377">
        <f t="shared" si="618"/>
        <v>0</v>
      </c>
      <c r="P507" s="1375">
        <f t="shared" si="619"/>
        <v>0</v>
      </c>
      <c r="Q507" s="1378">
        <f t="shared" si="620"/>
        <v>0</v>
      </c>
      <c r="R507" s="1375">
        <f t="shared" si="621"/>
        <v>0</v>
      </c>
      <c r="S507" s="1375">
        <f t="shared" si="622"/>
        <v>0</v>
      </c>
      <c r="T507" s="1375">
        <f t="shared" si="623"/>
        <v>0</v>
      </c>
      <c r="U507" s="2028">
        <f t="shared" si="449"/>
        <v>0</v>
      </c>
      <c r="V507" s="1357"/>
      <c r="W507" s="1357"/>
      <c r="X507" s="1357"/>
      <c r="Y507" s="1357"/>
      <c r="AD507" s="2141">
        <f t="shared" si="611"/>
        <v>1.5</v>
      </c>
      <c r="AE507" s="2142" t="str">
        <f t="shared" si="567"/>
        <v/>
      </c>
      <c r="AG507" s="2118" t="s">
        <v>1816</v>
      </c>
    </row>
    <row r="508" spans="1:33" ht="28.5" hidden="1" outlineLevel="2" x14ac:dyDescent="0.2">
      <c r="A508" s="1360">
        <f t="shared" si="624"/>
        <v>110</v>
      </c>
      <c r="B508" s="1372" t="s">
        <v>1566</v>
      </c>
      <c r="C508" s="532"/>
      <c r="D508" s="1358">
        <v>2</v>
      </c>
      <c r="E508" s="499" t="s">
        <v>465</v>
      </c>
      <c r="F508" s="2024" t="s">
        <v>303</v>
      </c>
      <c r="G508" s="1355">
        <v>0.58799999999999997</v>
      </c>
      <c r="H508" s="1373"/>
      <c r="I508" s="1359">
        <f t="shared" si="615"/>
        <v>0</v>
      </c>
      <c r="J508" s="1374" t="str">
        <f t="shared" si="616"/>
        <v>0:0:00</v>
      </c>
      <c r="K508" s="500">
        <v>1000</v>
      </c>
      <c r="L508" s="2009">
        <v>37.18</v>
      </c>
      <c r="M508" s="1375">
        <f t="shared" si="617"/>
        <v>0</v>
      </c>
      <c r="N508" s="1376">
        <v>1</v>
      </c>
      <c r="O508" s="1377">
        <f t="shared" si="618"/>
        <v>0</v>
      </c>
      <c r="P508" s="1375">
        <f t="shared" si="619"/>
        <v>0</v>
      </c>
      <c r="Q508" s="1378">
        <f t="shared" si="620"/>
        <v>0</v>
      </c>
      <c r="R508" s="1375">
        <f t="shared" si="621"/>
        <v>0</v>
      </c>
      <c r="S508" s="1375">
        <f t="shared" si="622"/>
        <v>0</v>
      </c>
      <c r="T508" s="1375">
        <f t="shared" si="623"/>
        <v>0</v>
      </c>
      <c r="U508" s="2028">
        <f t="shared" si="449"/>
        <v>0</v>
      </c>
      <c r="V508" s="1357"/>
      <c r="W508" s="1357"/>
      <c r="X508" s="1357"/>
      <c r="Y508" s="1357"/>
      <c r="AD508" s="2141">
        <f t="shared" si="611"/>
        <v>1.5</v>
      </c>
      <c r="AE508" s="2142" t="str">
        <f t="shared" si="567"/>
        <v/>
      </c>
      <c r="AG508" s="2118" t="s">
        <v>1816</v>
      </c>
    </row>
    <row r="509" spans="1:33" ht="28.5" hidden="1" outlineLevel="2" x14ac:dyDescent="0.2">
      <c r="A509" s="1360">
        <f t="shared" si="624"/>
        <v>111</v>
      </c>
      <c r="B509" s="1372" t="s">
        <v>1567</v>
      </c>
      <c r="C509" s="532"/>
      <c r="D509" s="1358">
        <v>2</v>
      </c>
      <c r="E509" s="499" t="s">
        <v>465</v>
      </c>
      <c r="F509" s="2024" t="s">
        <v>303</v>
      </c>
      <c r="G509" s="1355">
        <v>2.855</v>
      </c>
      <c r="H509" s="1373"/>
      <c r="I509" s="1359">
        <f t="shared" si="615"/>
        <v>0</v>
      </c>
      <c r="J509" s="1374" t="str">
        <f t="shared" si="616"/>
        <v>0:0:00</v>
      </c>
      <c r="K509" s="500">
        <v>1000</v>
      </c>
      <c r="L509" s="2009">
        <v>180.71</v>
      </c>
      <c r="M509" s="1375">
        <f t="shared" si="617"/>
        <v>0</v>
      </c>
      <c r="N509" s="1376">
        <v>1</v>
      </c>
      <c r="O509" s="1377">
        <f t="shared" si="618"/>
        <v>0</v>
      </c>
      <c r="P509" s="1375">
        <f t="shared" si="619"/>
        <v>0</v>
      </c>
      <c r="Q509" s="1378">
        <f t="shared" si="620"/>
        <v>0</v>
      </c>
      <c r="R509" s="1375">
        <f t="shared" si="621"/>
        <v>0</v>
      </c>
      <c r="S509" s="1375">
        <f t="shared" si="622"/>
        <v>0</v>
      </c>
      <c r="T509" s="1375">
        <f t="shared" si="623"/>
        <v>0</v>
      </c>
      <c r="U509" s="2028">
        <f t="shared" si="449"/>
        <v>0</v>
      </c>
      <c r="V509" s="1357"/>
      <c r="W509" s="1357"/>
      <c r="X509" s="1357"/>
      <c r="Y509" s="1357"/>
      <c r="AD509" s="2141">
        <f t="shared" si="611"/>
        <v>1.5</v>
      </c>
      <c r="AE509" s="2142" t="str">
        <f t="shared" si="567"/>
        <v/>
      </c>
      <c r="AG509" s="2118" t="s">
        <v>1816</v>
      </c>
    </row>
    <row r="510" spans="1:33" ht="28.5" hidden="1" outlineLevel="2" x14ac:dyDescent="0.2">
      <c r="A510" s="1360">
        <f t="shared" si="624"/>
        <v>112</v>
      </c>
      <c r="B510" s="1372" t="s">
        <v>1568</v>
      </c>
      <c r="C510" s="532"/>
      <c r="D510" s="1358">
        <v>2</v>
      </c>
      <c r="E510" s="499" t="s">
        <v>465</v>
      </c>
      <c r="F510" s="2024" t="s">
        <v>303</v>
      </c>
      <c r="G510" s="1355">
        <v>2.9249999999999998</v>
      </c>
      <c r="H510" s="1373"/>
      <c r="I510" s="1359">
        <f t="shared" si="615"/>
        <v>0</v>
      </c>
      <c r="J510" s="1374" t="str">
        <f t="shared" si="616"/>
        <v>0:0:00</v>
      </c>
      <c r="K510" s="500">
        <v>1000</v>
      </c>
      <c r="L510" s="2009">
        <v>184.94</v>
      </c>
      <c r="M510" s="1375">
        <f t="shared" si="617"/>
        <v>0</v>
      </c>
      <c r="N510" s="1376">
        <v>1</v>
      </c>
      <c r="O510" s="1377">
        <f t="shared" si="618"/>
        <v>0</v>
      </c>
      <c r="P510" s="1375">
        <f t="shared" si="619"/>
        <v>0</v>
      </c>
      <c r="Q510" s="1378">
        <f t="shared" si="620"/>
        <v>0</v>
      </c>
      <c r="R510" s="1375">
        <f t="shared" si="621"/>
        <v>0</v>
      </c>
      <c r="S510" s="1375">
        <f t="shared" si="622"/>
        <v>0</v>
      </c>
      <c r="T510" s="1375">
        <f t="shared" si="623"/>
        <v>0</v>
      </c>
      <c r="U510" s="2028">
        <f t="shared" si="449"/>
        <v>0</v>
      </c>
      <c r="V510" s="1357"/>
      <c r="W510" s="1357"/>
      <c r="X510" s="1357"/>
      <c r="Y510" s="1357"/>
      <c r="AD510" s="2141">
        <f t="shared" si="611"/>
        <v>1.5</v>
      </c>
      <c r="AE510" s="2142" t="str">
        <f t="shared" si="567"/>
        <v/>
      </c>
      <c r="AG510" s="2118" t="s">
        <v>1816</v>
      </c>
    </row>
    <row r="511" spans="1:33" ht="15" hidden="1" outlineLevel="1" x14ac:dyDescent="0.2">
      <c r="A511" s="1360"/>
      <c r="B511" s="1366" t="s">
        <v>499</v>
      </c>
      <c r="C511" s="522"/>
      <c r="D511" s="2152"/>
      <c r="E511" s="523" t="s">
        <v>218</v>
      </c>
      <c r="F511" s="2164"/>
      <c r="G511" s="2178"/>
      <c r="H511" s="1367"/>
      <c r="I511" s="2043">
        <f>SUM(I512:I514)</f>
        <v>0</v>
      </c>
      <c r="J511" s="524"/>
      <c r="K511" s="524"/>
      <c r="L511" s="526"/>
      <c r="M511" s="1368"/>
      <c r="N511" s="524"/>
      <c r="O511" s="1369"/>
      <c r="P511" s="1368"/>
      <c r="Q511" s="1370"/>
      <c r="R511" s="1368"/>
      <c r="S511" s="1371">
        <f>SUM(T512:T514)</f>
        <v>0</v>
      </c>
      <c r="T511" s="1370"/>
      <c r="U511" s="2028">
        <f t="shared" si="449"/>
        <v>0</v>
      </c>
      <c r="V511" s="1357"/>
      <c r="W511" s="1357"/>
      <c r="X511" s="1357"/>
      <c r="Y511" s="1357"/>
      <c r="AD511" s="2141" t="str">
        <f t="shared" si="611"/>
        <v/>
      </c>
      <c r="AE511" s="2142" t="str">
        <f t="shared" si="567"/>
        <v/>
      </c>
      <c r="AG511" s="2118" t="s">
        <v>1816</v>
      </c>
    </row>
    <row r="512" spans="1:33" ht="42.75" hidden="1" outlineLevel="2" x14ac:dyDescent="0.2">
      <c r="A512" s="1360">
        <f>A510+1</f>
        <v>113</v>
      </c>
      <c r="B512" s="1372" t="s">
        <v>1569</v>
      </c>
      <c r="C512" s="532" t="s">
        <v>1043</v>
      </c>
      <c r="D512" s="1358">
        <v>3</v>
      </c>
      <c r="E512" s="499" t="s">
        <v>462</v>
      </c>
      <c r="F512" s="2046" t="s">
        <v>344</v>
      </c>
      <c r="G512" s="1383">
        <v>0.115</v>
      </c>
      <c r="H512" s="1373"/>
      <c r="I512" s="1359">
        <f>IF(G512=0,0,IF(H512&gt;0,IF((G512*H512/K512)&lt;0.084,0.084,(G512*H512/K512)),0))</f>
        <v>0</v>
      </c>
      <c r="J512" s="1374" t="str">
        <f>CONCATENATE(TRUNC(I512,0),":",INT((I512-(TRUNC(I512,0)))*60),":","00")</f>
        <v>0:0:00</v>
      </c>
      <c r="K512" s="500">
        <v>1000</v>
      </c>
      <c r="L512" s="2009">
        <v>8.73</v>
      </c>
      <c r="M512" s="1375">
        <f>H512*L512/K512</f>
        <v>0</v>
      </c>
      <c r="N512" s="1376">
        <v>1</v>
      </c>
      <c r="O512" s="1377">
        <f>M512*N512</f>
        <v>0</v>
      </c>
      <c r="P512" s="1375">
        <f>(M512+O512)*0.15</f>
        <v>0</v>
      </c>
      <c r="Q512" s="1378">
        <f>M512+O512+P512</f>
        <v>0</v>
      </c>
      <c r="R512" s="1375">
        <f>Q512*$R$1</f>
        <v>0</v>
      </c>
      <c r="S512" s="1375">
        <f>(Q512+R512)*$S$1</f>
        <v>0</v>
      </c>
      <c r="T512" s="1375">
        <f>Q512+R512+S512</f>
        <v>0</v>
      </c>
      <c r="U512" s="2028">
        <f t="shared" si="449"/>
        <v>0</v>
      </c>
      <c r="V512" s="1357"/>
      <c r="W512" s="1357"/>
      <c r="X512" s="1357"/>
      <c r="Y512" s="1357"/>
      <c r="AD512" s="2141">
        <f t="shared" si="611"/>
        <v>2.6</v>
      </c>
      <c r="AE512" s="2142" t="str">
        <f t="shared" si="567"/>
        <v/>
      </c>
      <c r="AG512" s="2118" t="s">
        <v>1816</v>
      </c>
    </row>
    <row r="513" spans="1:33" ht="28.5" hidden="1" outlineLevel="2" x14ac:dyDescent="0.2">
      <c r="A513" s="1360">
        <f>A512+1</f>
        <v>114</v>
      </c>
      <c r="B513" s="1372" t="s">
        <v>1570</v>
      </c>
      <c r="C513" s="532" t="s">
        <v>1093</v>
      </c>
      <c r="D513" s="1358">
        <v>3</v>
      </c>
      <c r="E513" s="499" t="s">
        <v>462</v>
      </c>
      <c r="F513" s="2046" t="s">
        <v>344</v>
      </c>
      <c r="G513" s="1383">
        <v>0.21</v>
      </c>
      <c r="H513" s="1373"/>
      <c r="I513" s="1359">
        <f>IF(G513=0,0,IF(H513&gt;0,IF((G513*H513/K513)&lt;0.084,0.084,(G513*H513/K513)),0))</f>
        <v>0</v>
      </c>
      <c r="J513" s="1374" t="str">
        <f>CONCATENATE(TRUNC(I513,0),":",INT((I513-(TRUNC(I513,0)))*60),":","00")</f>
        <v>0:0:00</v>
      </c>
      <c r="K513" s="500">
        <v>1000</v>
      </c>
      <c r="L513" s="2009">
        <v>15.94</v>
      </c>
      <c r="M513" s="1375">
        <f>H513*L513/K513</f>
        <v>0</v>
      </c>
      <c r="N513" s="1376">
        <v>1</v>
      </c>
      <c r="O513" s="1377">
        <f>M513*N513</f>
        <v>0</v>
      </c>
      <c r="P513" s="1375">
        <f>(M513+O513)*0.15</f>
        <v>0</v>
      </c>
      <c r="Q513" s="1378">
        <f>M513+O513+P513</f>
        <v>0</v>
      </c>
      <c r="R513" s="1375">
        <f>Q513*$R$1</f>
        <v>0</v>
      </c>
      <c r="S513" s="1375">
        <f>(Q513+R513)*$S$1</f>
        <v>0</v>
      </c>
      <c r="T513" s="1375">
        <f>Q513+R513+S513</f>
        <v>0</v>
      </c>
      <c r="U513" s="2028">
        <f t="shared" ref="U513" si="625">IF(T513&gt;0,1,0)</f>
        <v>0</v>
      </c>
      <c r="V513" s="1357"/>
      <c r="W513" s="1357"/>
      <c r="X513" s="1357"/>
      <c r="Y513" s="1357"/>
      <c r="AD513" s="2141">
        <f t="shared" si="611"/>
        <v>2.6</v>
      </c>
      <c r="AE513" s="2142" t="str">
        <f t="shared" si="567"/>
        <v/>
      </c>
      <c r="AG513" s="2118" t="s">
        <v>1816</v>
      </c>
    </row>
    <row r="514" spans="1:33" ht="28.5" hidden="1" outlineLevel="2" x14ac:dyDescent="0.2">
      <c r="A514" s="1360">
        <f>A513+1</f>
        <v>115</v>
      </c>
      <c r="B514" s="1372" t="s">
        <v>1571</v>
      </c>
      <c r="C514" s="532" t="s">
        <v>1085</v>
      </c>
      <c r="D514" s="1358">
        <v>3</v>
      </c>
      <c r="E514" s="499" t="s">
        <v>462</v>
      </c>
      <c r="F514" s="2046" t="s">
        <v>344</v>
      </c>
      <c r="G514" s="1383">
        <v>0.315</v>
      </c>
      <c r="H514" s="1373"/>
      <c r="I514" s="1359">
        <f>IF(G514=0,0,IF(H514&gt;0,IF((G514*H514/K514)&lt;0.084,0.084,(G514*H514/K514)),0))</f>
        <v>0</v>
      </c>
      <c r="J514" s="1374" t="str">
        <f>CONCATENATE(TRUNC(I514,0),":",INT((I514-(TRUNC(I514,0)))*60),":","00")</f>
        <v>0:0:00</v>
      </c>
      <c r="K514" s="500">
        <v>1000</v>
      </c>
      <c r="L514" s="2009">
        <v>23.91</v>
      </c>
      <c r="M514" s="1375">
        <f>H514*L514/K514</f>
        <v>0</v>
      </c>
      <c r="N514" s="1376">
        <v>1</v>
      </c>
      <c r="O514" s="1377">
        <f>M514*N514</f>
        <v>0</v>
      </c>
      <c r="P514" s="1375">
        <f>(M514+O514)*0.15</f>
        <v>0</v>
      </c>
      <c r="Q514" s="1378">
        <f>M514+O514+P514</f>
        <v>0</v>
      </c>
      <c r="R514" s="1375">
        <f>Q514*$R$1</f>
        <v>0</v>
      </c>
      <c r="S514" s="1375">
        <f>(Q514+R514)*$S$1</f>
        <v>0</v>
      </c>
      <c r="T514" s="1375">
        <f>Q514+R514+S514</f>
        <v>0</v>
      </c>
      <c r="U514" s="2028">
        <f t="shared" si="449"/>
        <v>0</v>
      </c>
      <c r="V514" s="1357"/>
      <c r="W514" s="1357"/>
      <c r="X514" s="1357"/>
      <c r="Y514" s="1357"/>
      <c r="AD514" s="2141">
        <f t="shared" si="611"/>
        <v>2.6</v>
      </c>
      <c r="AE514" s="2142" t="str">
        <f t="shared" si="567"/>
        <v/>
      </c>
      <c r="AG514" s="2118" t="s">
        <v>1816</v>
      </c>
    </row>
    <row r="515" spans="1:33" ht="15" hidden="1" outlineLevel="1" x14ac:dyDescent="0.2">
      <c r="A515" s="1360"/>
      <c r="B515" s="1366" t="s">
        <v>472</v>
      </c>
      <c r="C515" s="522"/>
      <c r="D515" s="2152"/>
      <c r="E515" s="523" t="s">
        <v>218</v>
      </c>
      <c r="F515" s="2164"/>
      <c r="G515" s="2178"/>
      <c r="H515" s="1367"/>
      <c r="I515" s="2043">
        <f>SUM(I516:I518)</f>
        <v>0</v>
      </c>
      <c r="J515" s="524"/>
      <c r="K515" s="524"/>
      <c r="L515" s="526"/>
      <c r="M515" s="1368"/>
      <c r="N515" s="524"/>
      <c r="O515" s="1369"/>
      <c r="P515" s="1368"/>
      <c r="Q515" s="1370"/>
      <c r="R515" s="1368"/>
      <c r="S515" s="1371">
        <f>SUM(T516:T518)</f>
        <v>0</v>
      </c>
      <c r="T515" s="1370"/>
      <c r="U515" s="2028">
        <f t="shared" si="449"/>
        <v>0</v>
      </c>
      <c r="V515" s="1357"/>
      <c r="W515" s="1357"/>
      <c r="X515" s="1357"/>
      <c r="Y515" s="1357"/>
      <c r="AD515" s="2141" t="str">
        <f t="shared" si="611"/>
        <v/>
      </c>
      <c r="AE515" s="2142" t="str">
        <f t="shared" si="567"/>
        <v/>
      </c>
      <c r="AG515" s="2118" t="s">
        <v>1816</v>
      </c>
    </row>
    <row r="516" spans="1:33" ht="14.25" hidden="1" outlineLevel="2" x14ac:dyDescent="0.2">
      <c r="A516" s="1360">
        <f>A514+1</f>
        <v>116</v>
      </c>
      <c r="B516" s="1372" t="s">
        <v>1572</v>
      </c>
      <c r="C516" s="1379" t="s">
        <v>417</v>
      </c>
      <c r="D516" s="1358">
        <v>3</v>
      </c>
      <c r="E516" s="499" t="s">
        <v>465</v>
      </c>
      <c r="F516" s="2046" t="s">
        <v>303</v>
      </c>
      <c r="G516" s="1383">
        <v>0.70299999999999996</v>
      </c>
      <c r="H516" s="1373"/>
      <c r="I516" s="1359">
        <f>IF(G516=0,0,IF(H516&gt;0,IF((G516*H516/K516)&lt;0.084,0.084,(G516*H516/K516)),0))</f>
        <v>0</v>
      </c>
      <c r="J516" s="1374" t="str">
        <f>CONCATENATE(TRUNC(I516,0),":",INT((I516-(TRUNC(I516,0)))*60),":","00")</f>
        <v>0:0:00</v>
      </c>
      <c r="K516" s="500">
        <v>1000</v>
      </c>
      <c r="L516" s="2009">
        <v>53.38</v>
      </c>
      <c r="M516" s="1375">
        <f>H516*L516/K516</f>
        <v>0</v>
      </c>
      <c r="N516" s="1376">
        <v>1</v>
      </c>
      <c r="O516" s="1377">
        <f>M516*N516</f>
        <v>0</v>
      </c>
      <c r="P516" s="1375">
        <f>(M516+O516)*0.15</f>
        <v>0</v>
      </c>
      <c r="Q516" s="1378">
        <f>M516+O516+P516</f>
        <v>0</v>
      </c>
      <c r="R516" s="1375">
        <f>Q516*$R$1</f>
        <v>0</v>
      </c>
      <c r="S516" s="1375">
        <f>(Q516+R516)*$S$1</f>
        <v>0</v>
      </c>
      <c r="T516" s="1375">
        <f>Q516+R516+S516</f>
        <v>0</v>
      </c>
      <c r="U516" s="2028">
        <f t="shared" ref="U516:U517" si="626">IF(T516&gt;0,1,0)</f>
        <v>0</v>
      </c>
      <c r="V516" s="1357"/>
      <c r="W516" s="1357"/>
      <c r="X516" s="1357"/>
      <c r="Y516" s="1357"/>
      <c r="AD516" s="2141">
        <f t="shared" si="611"/>
        <v>2.6</v>
      </c>
      <c r="AE516" s="2142" t="str">
        <f t="shared" si="567"/>
        <v/>
      </c>
      <c r="AG516" s="2118" t="s">
        <v>1816</v>
      </c>
    </row>
    <row r="517" spans="1:33" ht="14.25" hidden="1" outlineLevel="2" x14ac:dyDescent="0.2">
      <c r="A517" s="1360">
        <f>A516+1</f>
        <v>117</v>
      </c>
      <c r="B517" s="1372" t="s">
        <v>1573</v>
      </c>
      <c r="C517" s="1379" t="s">
        <v>417</v>
      </c>
      <c r="D517" s="1358">
        <v>3</v>
      </c>
      <c r="E517" s="499" t="s">
        <v>465</v>
      </c>
      <c r="F517" s="2046" t="s">
        <v>303</v>
      </c>
      <c r="G517" s="1383">
        <v>0.25</v>
      </c>
      <c r="H517" s="1373">
        <f>IF(H516&gt;0.001,1,0)</f>
        <v>0</v>
      </c>
      <c r="I517" s="1359">
        <f>IF(G517=0,0,IF(H517&gt;0,IF((G517*H517/K517)&lt;0.084,0.084,(G517*H517/K517)),0))</f>
        <v>0</v>
      </c>
      <c r="J517" s="1374" t="str">
        <f>CONCATENATE(TRUNC(I517,0),":",INT((I517-(TRUNC(I517,0)))*60),":","00")</f>
        <v>0:0:00</v>
      </c>
      <c r="K517" s="500">
        <v>1</v>
      </c>
      <c r="L517" s="2009">
        <v>18.97</v>
      </c>
      <c r="M517" s="1375">
        <f>H517*L517/K517</f>
        <v>0</v>
      </c>
      <c r="N517" s="1376">
        <v>1</v>
      </c>
      <c r="O517" s="1377">
        <f>M517*N517</f>
        <v>0</v>
      </c>
      <c r="P517" s="1375">
        <f>(M517+O517)*0.15</f>
        <v>0</v>
      </c>
      <c r="Q517" s="1378">
        <f>M517+O517+P517</f>
        <v>0</v>
      </c>
      <c r="R517" s="1375">
        <f>Q517*$R$1</f>
        <v>0</v>
      </c>
      <c r="S517" s="1375">
        <f>(Q517+R517)*$S$1</f>
        <v>0</v>
      </c>
      <c r="T517" s="1375">
        <f>Q517+R517+S517</f>
        <v>0</v>
      </c>
      <c r="U517" s="2028">
        <f t="shared" si="626"/>
        <v>0</v>
      </c>
      <c r="V517" s="1357"/>
      <c r="W517" s="1357"/>
      <c r="X517" s="1357"/>
      <c r="Y517" s="1357"/>
      <c r="AD517" s="2141">
        <f t="shared" si="611"/>
        <v>2.6</v>
      </c>
      <c r="AE517" s="2142" t="str">
        <f t="shared" si="567"/>
        <v/>
      </c>
      <c r="AG517" s="2118" t="s">
        <v>1816</v>
      </c>
    </row>
    <row r="518" spans="1:33" ht="14.25" hidden="1" outlineLevel="2" x14ac:dyDescent="0.2">
      <c r="A518" s="1360">
        <f>A517+1</f>
        <v>118</v>
      </c>
      <c r="B518" s="1372" t="s">
        <v>1574</v>
      </c>
      <c r="C518" s="1379" t="s">
        <v>417</v>
      </c>
      <c r="D518" s="1358">
        <v>3</v>
      </c>
      <c r="E518" s="499" t="s">
        <v>465</v>
      </c>
      <c r="F518" s="2046" t="s">
        <v>303</v>
      </c>
      <c r="G518" s="1383">
        <v>0.25</v>
      </c>
      <c r="H518" s="1373">
        <f>IF(H516&gt;0.001,1,0)</f>
        <v>0</v>
      </c>
      <c r="I518" s="1359">
        <f>IF(G518=0,0,IF(H518&gt;0,IF((G518*H518/K518)&lt;0.084,0.084,(G518*H518/K518)),0))</f>
        <v>0</v>
      </c>
      <c r="J518" s="1374" t="str">
        <f>CONCATENATE(TRUNC(I518,0),":",INT((I518-(TRUNC(I518,0)))*60),":","00")</f>
        <v>0:0:00</v>
      </c>
      <c r="K518" s="500">
        <v>1</v>
      </c>
      <c r="L518" s="2009">
        <v>18.97</v>
      </c>
      <c r="M518" s="1375">
        <f>H518*L518/K518</f>
        <v>0</v>
      </c>
      <c r="N518" s="1376">
        <v>1</v>
      </c>
      <c r="O518" s="1377">
        <f>M518*N518</f>
        <v>0</v>
      </c>
      <c r="P518" s="1375">
        <f>(M518+O518)*0.15</f>
        <v>0</v>
      </c>
      <c r="Q518" s="1378">
        <f>M518+O518+P518</f>
        <v>0</v>
      </c>
      <c r="R518" s="1375">
        <f>Q518*$R$1</f>
        <v>0</v>
      </c>
      <c r="S518" s="1375">
        <f>(Q518+R518)*$S$1</f>
        <v>0</v>
      </c>
      <c r="T518" s="1375">
        <f>Q518+R518+S518</f>
        <v>0</v>
      </c>
      <c r="U518" s="2028">
        <f t="shared" si="449"/>
        <v>0</v>
      </c>
      <c r="V518" s="1357"/>
      <c r="W518" s="1357"/>
      <c r="X518" s="1357"/>
      <c r="Y518" s="1357"/>
      <c r="AD518" s="2141">
        <f t="shared" si="611"/>
        <v>2.6</v>
      </c>
      <c r="AE518" s="2142" t="str">
        <f t="shared" si="567"/>
        <v/>
      </c>
      <c r="AG518" s="2118" t="s">
        <v>1816</v>
      </c>
    </row>
    <row r="519" spans="1:33" ht="15" hidden="1" outlineLevel="1" x14ac:dyDescent="0.2">
      <c r="A519" s="1360"/>
      <c r="B519" s="1366" t="s">
        <v>1575</v>
      </c>
      <c r="C519" s="522"/>
      <c r="D519" s="2152"/>
      <c r="E519" s="523" t="s">
        <v>218</v>
      </c>
      <c r="F519" s="2164"/>
      <c r="G519" s="2178"/>
      <c r="H519" s="1367"/>
      <c r="I519" s="2043">
        <f>SUM(I520:I523)</f>
        <v>0</v>
      </c>
      <c r="J519" s="524"/>
      <c r="K519" s="524"/>
      <c r="L519" s="526"/>
      <c r="M519" s="1368"/>
      <c r="N519" s="524"/>
      <c r="O519" s="1369"/>
      <c r="P519" s="1368"/>
      <c r="Q519" s="1370"/>
      <c r="R519" s="1368"/>
      <c r="S519" s="1371">
        <f>SUM(T520:T523)</f>
        <v>0</v>
      </c>
      <c r="T519" s="1370"/>
      <c r="U519" s="2028">
        <f t="shared" ref="U519:U523" si="627">IF(T519&gt;0,1,0)</f>
        <v>0</v>
      </c>
      <c r="V519" s="1357"/>
      <c r="W519" s="1357"/>
      <c r="X519" s="1357"/>
      <c r="Y519" s="1357"/>
      <c r="AD519" s="2141" t="str">
        <f t="shared" si="611"/>
        <v/>
      </c>
      <c r="AE519" s="2142" t="str">
        <f t="shared" si="567"/>
        <v/>
      </c>
      <c r="AG519" s="2118" t="s">
        <v>1816</v>
      </c>
    </row>
    <row r="520" spans="1:33" ht="42.75" hidden="1" outlineLevel="2" x14ac:dyDescent="0.2">
      <c r="A520" s="1360">
        <f>A518+1</f>
        <v>119</v>
      </c>
      <c r="B520" s="1372" t="s">
        <v>1576</v>
      </c>
      <c r="C520" s="2047" t="s">
        <v>1577</v>
      </c>
      <c r="D520" s="1358">
        <v>3</v>
      </c>
      <c r="E520" s="499" t="s">
        <v>465</v>
      </c>
      <c r="F520" s="2046" t="s">
        <v>303</v>
      </c>
      <c r="G520" s="1383">
        <v>0.18</v>
      </c>
      <c r="H520" s="1373"/>
      <c r="I520" s="1359">
        <f>IF(G520=0,0,IF(H520&gt;0,IF((G520*H520/K520)&lt;0.084,0.084,(G520*H520/K520)),0))</f>
        <v>0</v>
      </c>
      <c r="J520" s="1374" t="str">
        <f>CONCATENATE(TRUNC(I520,0),":",INT((I520-(TRUNC(I520,0)))*60),":","00")</f>
        <v>0:0:00</v>
      </c>
      <c r="K520" s="500">
        <v>1000</v>
      </c>
      <c r="L520" s="2009">
        <v>13.66</v>
      </c>
      <c r="M520" s="1375">
        <f>H520*L520/K520</f>
        <v>0</v>
      </c>
      <c r="N520" s="1376">
        <v>1</v>
      </c>
      <c r="O520" s="1377">
        <f>M520*N520</f>
        <v>0</v>
      </c>
      <c r="P520" s="1375">
        <f>(M520+O520)*0.15</f>
        <v>0</v>
      </c>
      <c r="Q520" s="1378">
        <f>M520+O520+P520</f>
        <v>0</v>
      </c>
      <c r="R520" s="1375">
        <f>Q520*$R$1</f>
        <v>0</v>
      </c>
      <c r="S520" s="1375">
        <f>(Q520+R520)*$S$1</f>
        <v>0</v>
      </c>
      <c r="T520" s="1375">
        <f>Q520+R520+S520</f>
        <v>0</v>
      </c>
      <c r="U520" s="2028">
        <f t="shared" si="627"/>
        <v>0</v>
      </c>
      <c r="V520" s="1357"/>
      <c r="W520" s="1357"/>
      <c r="X520" s="1357"/>
      <c r="Y520" s="1357"/>
      <c r="AD520" s="2141">
        <f t="shared" si="611"/>
        <v>2.6</v>
      </c>
      <c r="AE520" s="2142" t="str">
        <f t="shared" si="567"/>
        <v/>
      </c>
      <c r="AG520" s="2118" t="s">
        <v>1816</v>
      </c>
    </row>
    <row r="521" spans="1:33" ht="42.75" hidden="1" outlineLevel="2" x14ac:dyDescent="0.2">
      <c r="A521" s="1360">
        <f>A520+1</f>
        <v>120</v>
      </c>
      <c r="B521" s="1372" t="s">
        <v>1578</v>
      </c>
      <c r="C521" s="2047" t="s">
        <v>1577</v>
      </c>
      <c r="D521" s="1358">
        <v>3</v>
      </c>
      <c r="E521" s="499" t="s">
        <v>465</v>
      </c>
      <c r="F521" s="2046" t="s">
        <v>303</v>
      </c>
      <c r="G521" s="1383">
        <v>0.22700000000000001</v>
      </c>
      <c r="H521" s="1373"/>
      <c r="I521" s="1359">
        <f>IF(G521=0,0,IF(H521&gt;0,IF((G521*H521/K521)&lt;0.084,0.084,(G521*H521/K521)),0))</f>
        <v>0</v>
      </c>
      <c r="J521" s="1374" t="str">
        <f>CONCATENATE(TRUNC(I521,0),":",INT((I521-(TRUNC(I521,0)))*60),":","00")</f>
        <v>0:0:00</v>
      </c>
      <c r="K521" s="500">
        <v>1000</v>
      </c>
      <c r="L521" s="2009">
        <v>17.23</v>
      </c>
      <c r="M521" s="1375">
        <f>H521*L521/K521</f>
        <v>0</v>
      </c>
      <c r="N521" s="1376">
        <v>1</v>
      </c>
      <c r="O521" s="1377">
        <f>M521*N521</f>
        <v>0</v>
      </c>
      <c r="P521" s="1375">
        <f>(M521+O521)*0.15</f>
        <v>0</v>
      </c>
      <c r="Q521" s="1378">
        <f>M521+O521+P521</f>
        <v>0</v>
      </c>
      <c r="R521" s="1375">
        <f>Q521*$R$1</f>
        <v>0</v>
      </c>
      <c r="S521" s="1375">
        <f>(Q521+R521)*$S$1</f>
        <v>0</v>
      </c>
      <c r="T521" s="1375">
        <f>Q521+R521+S521</f>
        <v>0</v>
      </c>
      <c r="U521" s="2028">
        <f t="shared" si="627"/>
        <v>0</v>
      </c>
      <c r="V521" s="1357"/>
      <c r="W521" s="1357"/>
      <c r="X521" s="1357"/>
      <c r="Y521" s="1357"/>
      <c r="AD521" s="2141">
        <f t="shared" si="611"/>
        <v>2.6</v>
      </c>
      <c r="AE521" s="2142" t="str">
        <f t="shared" si="567"/>
        <v/>
      </c>
      <c r="AG521" s="2118" t="s">
        <v>1816</v>
      </c>
    </row>
    <row r="522" spans="1:33" ht="42.75" hidden="1" outlineLevel="2" x14ac:dyDescent="0.2">
      <c r="A522" s="1360">
        <f>A521+1</f>
        <v>121</v>
      </c>
      <c r="B522" s="1372" t="s">
        <v>1579</v>
      </c>
      <c r="C522" s="2047" t="s">
        <v>1577</v>
      </c>
      <c r="D522" s="1358">
        <v>3</v>
      </c>
      <c r="E522" s="499" t="s">
        <v>465</v>
      </c>
      <c r="F522" s="2046" t="s">
        <v>303</v>
      </c>
      <c r="G522" s="1383">
        <v>0.58699999999999997</v>
      </c>
      <c r="H522" s="1373"/>
      <c r="I522" s="1359">
        <f>IF(G522=0,0,IF(H522&gt;0,IF((G522*H522/K522)&lt;0.084,0.084,(G522*H522/K522)),0))</f>
        <v>0</v>
      </c>
      <c r="J522" s="1374" t="str">
        <f>CONCATENATE(TRUNC(I522,0),":",INT((I522-(TRUNC(I522,0)))*60),":","00")</f>
        <v>0:0:00</v>
      </c>
      <c r="K522" s="500">
        <v>1000</v>
      </c>
      <c r="L522" s="2009">
        <v>44.54</v>
      </c>
      <c r="M522" s="1375">
        <f>H522*L522/K522</f>
        <v>0</v>
      </c>
      <c r="N522" s="1376">
        <v>1</v>
      </c>
      <c r="O522" s="1377">
        <f>M522*N522</f>
        <v>0</v>
      </c>
      <c r="P522" s="1375">
        <f>(M522+O522)*0.15</f>
        <v>0</v>
      </c>
      <c r="Q522" s="1378">
        <f>M522+O522+P522</f>
        <v>0</v>
      </c>
      <c r="R522" s="1375">
        <f>Q522*$R$1</f>
        <v>0</v>
      </c>
      <c r="S522" s="1375">
        <f>(Q522+R522)*$S$1</f>
        <v>0</v>
      </c>
      <c r="T522" s="1375">
        <f>Q522+R522+S522</f>
        <v>0</v>
      </c>
      <c r="U522" s="2028">
        <f t="shared" ref="U522" si="628">IF(T522&gt;0,1,0)</f>
        <v>0</v>
      </c>
      <c r="V522" s="1357"/>
      <c r="W522" s="1357"/>
      <c r="X522" s="1357"/>
      <c r="Y522" s="1357"/>
      <c r="AD522" s="2141">
        <f t="shared" si="611"/>
        <v>2.6</v>
      </c>
      <c r="AE522" s="2142" t="str">
        <f t="shared" si="567"/>
        <v/>
      </c>
      <c r="AG522" s="2118" t="s">
        <v>1816</v>
      </c>
    </row>
    <row r="523" spans="1:33" ht="42.75" hidden="1" outlineLevel="2" x14ac:dyDescent="0.2">
      <c r="A523" s="1360">
        <f>A522+1</f>
        <v>122</v>
      </c>
      <c r="B523" s="1372" t="s">
        <v>1580</v>
      </c>
      <c r="C523" s="2047" t="s">
        <v>1577</v>
      </c>
      <c r="D523" s="1358">
        <v>3</v>
      </c>
      <c r="E523" s="499" t="s">
        <v>465</v>
      </c>
      <c r="F523" s="2046" t="s">
        <v>303</v>
      </c>
      <c r="G523" s="1383">
        <v>0.33400000000000002</v>
      </c>
      <c r="H523" s="1373">
        <f>IF((H520+H521+H522)&gt;0.001,1,0)</f>
        <v>0</v>
      </c>
      <c r="I523" s="1359">
        <f>IF(G523=0,0,IF(H523&gt;0,IF((G523*H523/K523)&lt;0.084,0.084,(G523*H523/K523)),0))</f>
        <v>0</v>
      </c>
      <c r="J523" s="1374" t="str">
        <f>CONCATENATE(TRUNC(I523,0),":",INT((I523-(TRUNC(I523,0)))*60),":","00")</f>
        <v>0:0:00</v>
      </c>
      <c r="K523" s="500">
        <v>1</v>
      </c>
      <c r="L523" s="2009">
        <v>25.35</v>
      </c>
      <c r="M523" s="1375">
        <f>H523*L523/K523</f>
        <v>0</v>
      </c>
      <c r="N523" s="1376">
        <v>1</v>
      </c>
      <c r="O523" s="1377">
        <f>M523*N523</f>
        <v>0</v>
      </c>
      <c r="P523" s="1375">
        <f>(M523+O523)*0.15</f>
        <v>0</v>
      </c>
      <c r="Q523" s="1378">
        <f>M523+O523+P523</f>
        <v>0</v>
      </c>
      <c r="R523" s="1375">
        <f>Q523*$R$1</f>
        <v>0</v>
      </c>
      <c r="S523" s="1375">
        <f>(Q523+R523)*$S$1</f>
        <v>0</v>
      </c>
      <c r="T523" s="1375">
        <f>Q523+R523+S523</f>
        <v>0</v>
      </c>
      <c r="U523" s="2028">
        <f t="shared" si="627"/>
        <v>0</v>
      </c>
      <c r="V523" s="1357"/>
      <c r="W523" s="1357"/>
      <c r="X523" s="1357"/>
      <c r="Y523" s="1357"/>
      <c r="AD523" s="2141">
        <f t="shared" si="611"/>
        <v>2.6</v>
      </c>
      <c r="AE523" s="2142" t="str">
        <f t="shared" si="567"/>
        <v/>
      </c>
      <c r="AG523" s="2118" t="s">
        <v>1816</v>
      </c>
    </row>
    <row r="524" spans="1:33" ht="15" hidden="1" outlineLevel="1" x14ac:dyDescent="0.2">
      <c r="A524" s="1360"/>
      <c r="B524" s="1380" t="s">
        <v>497</v>
      </c>
      <c r="C524" s="522"/>
      <c r="D524" s="2152"/>
      <c r="E524" s="523" t="s">
        <v>218</v>
      </c>
      <c r="F524" s="2164"/>
      <c r="G524" s="2178"/>
      <c r="H524" s="1367"/>
      <c r="I524" s="2043">
        <f>I525</f>
        <v>0</v>
      </c>
      <c r="J524" s="524"/>
      <c r="K524" s="524"/>
      <c r="L524" s="526"/>
      <c r="M524" s="1368"/>
      <c r="N524" s="524"/>
      <c r="O524" s="1369"/>
      <c r="P524" s="1368"/>
      <c r="Q524" s="1370"/>
      <c r="R524" s="1368"/>
      <c r="S524" s="1371">
        <f>SUM(T525)</f>
        <v>0</v>
      </c>
      <c r="T524" s="1370"/>
      <c r="U524" s="2028">
        <f t="shared" si="449"/>
        <v>0</v>
      </c>
      <c r="V524" s="1357"/>
      <c r="W524" s="1357"/>
      <c r="X524" s="1357"/>
      <c r="Y524" s="1357"/>
      <c r="AD524" s="2141" t="str">
        <f t="shared" si="611"/>
        <v/>
      </c>
      <c r="AE524" s="2142" t="str">
        <f t="shared" si="567"/>
        <v/>
      </c>
      <c r="AG524" s="2118" t="s">
        <v>1816</v>
      </c>
    </row>
    <row r="525" spans="1:33" ht="28.5" hidden="1" outlineLevel="2" x14ac:dyDescent="0.2">
      <c r="A525" s="1360">
        <f>A523+1</f>
        <v>123</v>
      </c>
      <c r="B525" s="1372" t="s">
        <v>1581</v>
      </c>
      <c r="C525" s="532"/>
      <c r="D525" s="1358">
        <v>2</v>
      </c>
      <c r="E525" s="499" t="s">
        <v>465</v>
      </c>
      <c r="F525" s="2046" t="s">
        <v>303</v>
      </c>
      <c r="G525" s="1383">
        <v>1.63</v>
      </c>
      <c r="H525" s="1373"/>
      <c r="I525" s="1359">
        <f>IF(G525=0,0,IF(H525&gt;0,IF((G525*H525/K525)&lt;0.084,0.084,(G525*H525/K525)),0))</f>
        <v>0</v>
      </c>
      <c r="J525" s="1374" t="str">
        <f>CONCATENATE(TRUNC(I525,0),":",INT((I525-(TRUNC(I525,0)))*60),":","00")</f>
        <v>0:0:00</v>
      </c>
      <c r="K525" s="500">
        <v>1000</v>
      </c>
      <c r="L525" s="2009">
        <v>103.18</v>
      </c>
      <c r="M525" s="1375">
        <f>H525*L525/K525</f>
        <v>0</v>
      </c>
      <c r="N525" s="1376">
        <v>1</v>
      </c>
      <c r="O525" s="1377">
        <f>M525*N525</f>
        <v>0</v>
      </c>
      <c r="P525" s="1375">
        <f>(M525+O525)*0.15</f>
        <v>0</v>
      </c>
      <c r="Q525" s="1378">
        <f>M525+O525+P525</f>
        <v>0</v>
      </c>
      <c r="R525" s="1375">
        <f>Q525*$R$1</f>
        <v>0</v>
      </c>
      <c r="S525" s="1375">
        <f>(Q525+R525)*$S$1</f>
        <v>0</v>
      </c>
      <c r="T525" s="1375">
        <f>Q525+R525+S525</f>
        <v>0</v>
      </c>
      <c r="U525" s="2028">
        <f t="shared" si="449"/>
        <v>0</v>
      </c>
      <c r="V525" s="1357"/>
      <c r="W525" s="1357"/>
      <c r="X525" s="1357"/>
      <c r="Y525" s="1357"/>
      <c r="AD525" s="2141">
        <f t="shared" si="611"/>
        <v>1.5</v>
      </c>
      <c r="AE525" s="2142" t="str">
        <f t="shared" si="567"/>
        <v/>
      </c>
      <c r="AG525" s="2118" t="s">
        <v>1816</v>
      </c>
    </row>
    <row r="526" spans="1:33" ht="15" hidden="1" outlineLevel="1" x14ac:dyDescent="0.2">
      <c r="A526" s="1360"/>
      <c r="B526" s="1366" t="s">
        <v>469</v>
      </c>
      <c r="C526" s="522"/>
      <c r="D526" s="2152"/>
      <c r="E526" s="523" t="s">
        <v>218</v>
      </c>
      <c r="F526" s="2164"/>
      <c r="G526" s="2178"/>
      <c r="H526" s="1367"/>
      <c r="I526" s="2043">
        <f>I528+I531+I536+I539+I543</f>
        <v>0</v>
      </c>
      <c r="J526" s="524"/>
      <c r="K526" s="524"/>
      <c r="L526" s="526"/>
      <c r="M526" s="1368"/>
      <c r="N526" s="524"/>
      <c r="O526" s="1369"/>
      <c r="P526" s="1368"/>
      <c r="Q526" s="1370"/>
      <c r="R526" s="1368"/>
      <c r="S526" s="1371">
        <f>SUM(T527:T543)</f>
        <v>0</v>
      </c>
      <c r="T526" s="1370"/>
      <c r="U526" s="2028">
        <f t="shared" si="449"/>
        <v>0</v>
      </c>
      <c r="V526" s="1357"/>
      <c r="W526" s="1357"/>
      <c r="X526" s="1357"/>
      <c r="Y526" s="1357"/>
      <c r="AD526" s="2141" t="str">
        <f t="shared" si="611"/>
        <v/>
      </c>
      <c r="AE526" s="2142" t="str">
        <f t="shared" si="567"/>
        <v/>
      </c>
      <c r="AG526" s="2118" t="s">
        <v>1816</v>
      </c>
    </row>
    <row r="527" spans="1:33" ht="42.75" hidden="1" outlineLevel="2" x14ac:dyDescent="0.2">
      <c r="A527" s="1360"/>
      <c r="B527" s="1384" t="s">
        <v>1126</v>
      </c>
      <c r="C527" s="528"/>
      <c r="D527" s="2155"/>
      <c r="E527" s="529" t="s">
        <v>218</v>
      </c>
      <c r="F527" s="2166"/>
      <c r="G527" s="2184"/>
      <c r="H527" s="1385"/>
      <c r="I527" s="530"/>
      <c r="J527" s="530"/>
      <c r="K527" s="530"/>
      <c r="L527" s="531"/>
      <c r="M527" s="1386"/>
      <c r="N527" s="530"/>
      <c r="O527" s="1387"/>
      <c r="P527" s="1386"/>
      <c r="Q527" s="1388"/>
      <c r="R527" s="1386"/>
      <c r="S527" s="1386"/>
      <c r="T527" s="1388"/>
      <c r="U527" s="2028">
        <f t="shared" si="449"/>
        <v>0</v>
      </c>
      <c r="V527" s="1357"/>
      <c r="W527" s="1357"/>
      <c r="X527" s="1357"/>
      <c r="Y527" s="1357"/>
      <c r="AD527" s="2141" t="str">
        <f t="shared" si="611"/>
        <v/>
      </c>
      <c r="AE527" s="2142" t="str">
        <f t="shared" si="567"/>
        <v/>
      </c>
      <c r="AG527" s="2118" t="s">
        <v>1816</v>
      </c>
    </row>
    <row r="528" spans="1:33" ht="63.75" hidden="1" outlineLevel="3" x14ac:dyDescent="0.2">
      <c r="A528" s="1360">
        <f>A525+1</f>
        <v>124</v>
      </c>
      <c r="B528" s="1389" t="s">
        <v>1582</v>
      </c>
      <c r="C528" s="585" t="s">
        <v>1127</v>
      </c>
      <c r="D528" s="1390">
        <v>4</v>
      </c>
      <c r="E528" s="499" t="s">
        <v>462</v>
      </c>
      <c r="F528" s="2046" t="s">
        <v>303</v>
      </c>
      <c r="G528" s="1355">
        <v>0.47</v>
      </c>
      <c r="H528" s="1373"/>
      <c r="I528" s="1359">
        <f t="shared" ref="I528:I534" si="629">IF(G528=0,0,IF(H528&gt;0,IF((G528*H528/K528)&lt;0.084,0.084,(G528*H528/K528)),0))</f>
        <v>0</v>
      </c>
      <c r="J528" s="1374" t="str">
        <f t="shared" ref="J528:J534" si="630">CONCATENATE(TRUNC(I528,0),":",INT((I528-(TRUNC(I528,0)))*60),":","00")</f>
        <v>0:0:00</v>
      </c>
      <c r="K528" s="500">
        <v>1000</v>
      </c>
      <c r="L528" s="2009">
        <v>44.71</v>
      </c>
      <c r="M528" s="1375">
        <f t="shared" ref="M528:M534" si="631">H528*L528/K528</f>
        <v>0</v>
      </c>
      <c r="N528" s="1376">
        <v>1</v>
      </c>
      <c r="O528" s="1377">
        <f t="shared" ref="O528:O534" si="632">M528*N528</f>
        <v>0</v>
      </c>
      <c r="P528" s="1375">
        <f t="shared" ref="P528:P534" si="633">(M528+O528)*0.15</f>
        <v>0</v>
      </c>
      <c r="Q528" s="1378">
        <f t="shared" ref="Q528:Q534" si="634">M528+O528+P528</f>
        <v>0</v>
      </c>
      <c r="R528" s="1375">
        <f t="shared" ref="R528:R534" si="635">Q528*$R$1</f>
        <v>0</v>
      </c>
      <c r="S528" s="1375">
        <f t="shared" ref="S528:S534" si="636">(Q528+R528)*$S$1</f>
        <v>0</v>
      </c>
      <c r="T528" s="1375">
        <f t="shared" ref="T528:T534" si="637">Q528+R528+S528</f>
        <v>0</v>
      </c>
      <c r="U528" s="2028">
        <f t="shared" si="449"/>
        <v>0</v>
      </c>
      <c r="V528" s="1357"/>
      <c r="W528" s="1357"/>
      <c r="X528" s="1357"/>
      <c r="Y528" s="1357"/>
      <c r="AD528" s="2141">
        <f t="shared" si="611"/>
        <v>2.6</v>
      </c>
      <c r="AE528" s="2142" t="str">
        <f t="shared" si="567"/>
        <v/>
      </c>
      <c r="AG528" s="2118" t="s">
        <v>1816</v>
      </c>
    </row>
    <row r="529" spans="1:33" ht="63.75" hidden="1" outlineLevel="3" x14ac:dyDescent="0.2">
      <c r="A529" s="1360">
        <f>A528+1</f>
        <v>125</v>
      </c>
      <c r="B529" s="1389" t="s">
        <v>1583</v>
      </c>
      <c r="C529" s="585" t="s">
        <v>1127</v>
      </c>
      <c r="D529" s="1390">
        <v>2</v>
      </c>
      <c r="E529" s="499" t="s">
        <v>462</v>
      </c>
      <c r="F529" s="2046" t="s">
        <v>303</v>
      </c>
      <c r="G529" s="1355">
        <v>0.47</v>
      </c>
      <c r="H529" s="1373">
        <f>H528</f>
        <v>0</v>
      </c>
      <c r="I529" s="1359">
        <f t="shared" si="629"/>
        <v>0</v>
      </c>
      <c r="J529" s="1374" t="str">
        <f t="shared" si="630"/>
        <v>0:0:00</v>
      </c>
      <c r="K529" s="500">
        <v>1000</v>
      </c>
      <c r="L529" s="2009">
        <v>29.72</v>
      </c>
      <c r="M529" s="1375">
        <f t="shared" si="631"/>
        <v>0</v>
      </c>
      <c r="N529" s="1376">
        <v>1</v>
      </c>
      <c r="O529" s="1377">
        <f t="shared" si="632"/>
        <v>0</v>
      </c>
      <c r="P529" s="1375">
        <f t="shared" si="633"/>
        <v>0</v>
      </c>
      <c r="Q529" s="1378">
        <f t="shared" si="634"/>
        <v>0</v>
      </c>
      <c r="R529" s="1375">
        <f t="shared" si="635"/>
        <v>0</v>
      </c>
      <c r="S529" s="1375">
        <f t="shared" si="636"/>
        <v>0</v>
      </c>
      <c r="T529" s="1375">
        <f t="shared" si="637"/>
        <v>0</v>
      </c>
      <c r="U529" s="2028">
        <f t="shared" si="449"/>
        <v>0</v>
      </c>
      <c r="V529" s="1357"/>
      <c r="W529" s="1357"/>
      <c r="X529" s="1357"/>
      <c r="Y529" s="1357"/>
      <c r="AD529" s="2141">
        <f t="shared" si="611"/>
        <v>1.5</v>
      </c>
      <c r="AE529" s="2142" t="str">
        <f t="shared" si="567"/>
        <v/>
      </c>
      <c r="AG529" s="2118" t="s">
        <v>1816</v>
      </c>
    </row>
    <row r="530" spans="1:33" ht="63.75" hidden="1" outlineLevel="3" x14ac:dyDescent="0.2">
      <c r="A530" s="1360">
        <f t="shared" ref="A530:A534" si="638">A529+1</f>
        <v>126</v>
      </c>
      <c r="B530" s="1389" t="s">
        <v>1583</v>
      </c>
      <c r="C530" s="585" t="s">
        <v>1127</v>
      </c>
      <c r="D530" s="1390">
        <v>2</v>
      </c>
      <c r="E530" s="499" t="s">
        <v>462</v>
      </c>
      <c r="F530" s="2046" t="s">
        <v>303</v>
      </c>
      <c r="G530" s="1355">
        <v>0.47</v>
      </c>
      <c r="H530" s="1373">
        <f>H528</f>
        <v>0</v>
      </c>
      <c r="I530" s="1359">
        <f t="shared" si="629"/>
        <v>0</v>
      </c>
      <c r="J530" s="1374" t="str">
        <f t="shared" si="630"/>
        <v>0:0:00</v>
      </c>
      <c r="K530" s="500">
        <v>1000</v>
      </c>
      <c r="L530" s="2009">
        <v>29.72</v>
      </c>
      <c r="M530" s="1375">
        <f t="shared" si="631"/>
        <v>0</v>
      </c>
      <c r="N530" s="1376">
        <v>1</v>
      </c>
      <c r="O530" s="1377">
        <f t="shared" si="632"/>
        <v>0</v>
      </c>
      <c r="P530" s="1375">
        <f t="shared" si="633"/>
        <v>0</v>
      </c>
      <c r="Q530" s="1378">
        <f t="shared" si="634"/>
        <v>0</v>
      </c>
      <c r="R530" s="1375">
        <f t="shared" si="635"/>
        <v>0</v>
      </c>
      <c r="S530" s="1375">
        <f t="shared" si="636"/>
        <v>0</v>
      </c>
      <c r="T530" s="1375">
        <f t="shared" si="637"/>
        <v>0</v>
      </c>
      <c r="U530" s="2028">
        <f t="shared" si="449"/>
        <v>0</v>
      </c>
      <c r="V530" s="1357"/>
      <c r="W530" s="1357"/>
      <c r="X530" s="1357"/>
      <c r="Y530" s="1357"/>
      <c r="AD530" s="2141">
        <f t="shared" si="611"/>
        <v>1.5</v>
      </c>
      <c r="AE530" s="2142" t="str">
        <f t="shared" si="567"/>
        <v/>
      </c>
      <c r="AG530" s="2118" t="s">
        <v>1816</v>
      </c>
    </row>
    <row r="531" spans="1:33" ht="76.5" hidden="1" outlineLevel="3" x14ac:dyDescent="0.2">
      <c r="A531" s="1360">
        <f t="shared" si="638"/>
        <v>127</v>
      </c>
      <c r="B531" s="1389" t="s">
        <v>1584</v>
      </c>
      <c r="C531" s="585" t="s">
        <v>1128</v>
      </c>
      <c r="D531" s="1390">
        <v>4</v>
      </c>
      <c r="E531" s="499" t="s">
        <v>462</v>
      </c>
      <c r="F531" s="2046" t="s">
        <v>303</v>
      </c>
      <c r="G531" s="1355">
        <v>0.54700000000000004</v>
      </c>
      <c r="H531" s="1373"/>
      <c r="I531" s="1359">
        <f t="shared" si="629"/>
        <v>0</v>
      </c>
      <c r="J531" s="1374" t="str">
        <f t="shared" si="630"/>
        <v>0:0:00</v>
      </c>
      <c r="K531" s="500">
        <v>1000</v>
      </c>
      <c r="L531" s="2009">
        <v>52.05</v>
      </c>
      <c r="M531" s="1375">
        <f t="shared" si="631"/>
        <v>0</v>
      </c>
      <c r="N531" s="1376">
        <v>1</v>
      </c>
      <c r="O531" s="1377">
        <f t="shared" si="632"/>
        <v>0</v>
      </c>
      <c r="P531" s="1375">
        <f t="shared" si="633"/>
        <v>0</v>
      </c>
      <c r="Q531" s="1378">
        <f t="shared" si="634"/>
        <v>0</v>
      </c>
      <c r="R531" s="1375">
        <f t="shared" si="635"/>
        <v>0</v>
      </c>
      <c r="S531" s="1375">
        <f t="shared" si="636"/>
        <v>0</v>
      </c>
      <c r="T531" s="1375">
        <f t="shared" si="637"/>
        <v>0</v>
      </c>
      <c r="U531" s="2028">
        <f t="shared" si="449"/>
        <v>0</v>
      </c>
      <c r="V531" s="1357"/>
      <c r="W531" s="1357"/>
      <c r="X531" s="1357"/>
      <c r="Y531" s="1357"/>
      <c r="AD531" s="2141">
        <f t="shared" si="611"/>
        <v>2.6</v>
      </c>
      <c r="AE531" s="2142" t="str">
        <f t="shared" si="567"/>
        <v/>
      </c>
      <c r="AG531" s="2118" t="s">
        <v>1816</v>
      </c>
    </row>
    <row r="532" spans="1:33" ht="76.5" hidden="1" outlineLevel="3" x14ac:dyDescent="0.2">
      <c r="A532" s="1360">
        <f t="shared" si="638"/>
        <v>128</v>
      </c>
      <c r="B532" s="1389" t="s">
        <v>1585</v>
      </c>
      <c r="C532" s="585" t="s">
        <v>1128</v>
      </c>
      <c r="D532" s="1390">
        <v>2</v>
      </c>
      <c r="E532" s="499" t="s">
        <v>462</v>
      </c>
      <c r="F532" s="2046" t="s">
        <v>303</v>
      </c>
      <c r="G532" s="1355">
        <v>0.54700000000000004</v>
      </c>
      <c r="H532" s="1373">
        <f>H531</f>
        <v>0</v>
      </c>
      <c r="I532" s="1359">
        <f t="shared" si="629"/>
        <v>0</v>
      </c>
      <c r="J532" s="1374" t="str">
        <f t="shared" si="630"/>
        <v>0:0:00</v>
      </c>
      <c r="K532" s="500">
        <v>1000</v>
      </c>
      <c r="L532" s="2009">
        <v>34.6</v>
      </c>
      <c r="M532" s="1375">
        <f t="shared" si="631"/>
        <v>0</v>
      </c>
      <c r="N532" s="1376">
        <v>1</v>
      </c>
      <c r="O532" s="1377">
        <f t="shared" si="632"/>
        <v>0</v>
      </c>
      <c r="P532" s="1375">
        <f t="shared" si="633"/>
        <v>0</v>
      </c>
      <c r="Q532" s="1378">
        <f t="shared" si="634"/>
        <v>0</v>
      </c>
      <c r="R532" s="1375">
        <f t="shared" si="635"/>
        <v>0</v>
      </c>
      <c r="S532" s="1375">
        <f t="shared" si="636"/>
        <v>0</v>
      </c>
      <c r="T532" s="1375">
        <f t="shared" si="637"/>
        <v>0</v>
      </c>
      <c r="U532" s="2028">
        <f t="shared" si="449"/>
        <v>0</v>
      </c>
      <c r="V532" s="1357"/>
      <c r="W532" s="1357"/>
      <c r="X532" s="1357"/>
      <c r="Y532" s="1357"/>
      <c r="AD532" s="2141">
        <f t="shared" si="611"/>
        <v>1.5</v>
      </c>
      <c r="AE532" s="2142" t="str">
        <f t="shared" si="567"/>
        <v/>
      </c>
      <c r="AG532" s="2118" t="s">
        <v>1816</v>
      </c>
    </row>
    <row r="533" spans="1:33" ht="76.5" hidden="1" outlineLevel="3" x14ac:dyDescent="0.2">
      <c r="A533" s="1360">
        <f t="shared" si="638"/>
        <v>129</v>
      </c>
      <c r="B533" s="1389" t="s">
        <v>1585</v>
      </c>
      <c r="C533" s="585" t="s">
        <v>1128</v>
      </c>
      <c r="D533" s="1390">
        <v>2</v>
      </c>
      <c r="E533" s="499" t="s">
        <v>462</v>
      </c>
      <c r="F533" s="2046" t="s">
        <v>303</v>
      </c>
      <c r="G533" s="1355">
        <v>0.54700000000000004</v>
      </c>
      <c r="H533" s="1373">
        <f>H531</f>
        <v>0</v>
      </c>
      <c r="I533" s="1359">
        <f t="shared" si="629"/>
        <v>0</v>
      </c>
      <c r="J533" s="1374" t="str">
        <f t="shared" si="630"/>
        <v>0:0:00</v>
      </c>
      <c r="K533" s="500">
        <v>1000</v>
      </c>
      <c r="L533" s="2009">
        <v>34.6</v>
      </c>
      <c r="M533" s="1375">
        <f t="shared" si="631"/>
        <v>0</v>
      </c>
      <c r="N533" s="1376">
        <v>1</v>
      </c>
      <c r="O533" s="1377">
        <f t="shared" si="632"/>
        <v>0</v>
      </c>
      <c r="P533" s="1375">
        <f t="shared" si="633"/>
        <v>0</v>
      </c>
      <c r="Q533" s="1378">
        <f t="shared" si="634"/>
        <v>0</v>
      </c>
      <c r="R533" s="1375">
        <f t="shared" si="635"/>
        <v>0</v>
      </c>
      <c r="S533" s="1375">
        <f t="shared" si="636"/>
        <v>0</v>
      </c>
      <c r="T533" s="1375">
        <f t="shared" si="637"/>
        <v>0</v>
      </c>
      <c r="U533" s="2028">
        <f t="shared" si="449"/>
        <v>0</v>
      </c>
      <c r="V533" s="1357"/>
      <c r="W533" s="1357"/>
      <c r="X533" s="1357"/>
      <c r="Y533" s="1357"/>
      <c r="AD533" s="2141">
        <f t="shared" si="611"/>
        <v>1.5</v>
      </c>
      <c r="AE533" s="2142" t="str">
        <f t="shared" si="567"/>
        <v/>
      </c>
      <c r="AG533" s="2118" t="s">
        <v>1816</v>
      </c>
    </row>
    <row r="534" spans="1:33" ht="76.5" hidden="1" outlineLevel="3" x14ac:dyDescent="0.2">
      <c r="A534" s="1360">
        <f t="shared" si="638"/>
        <v>130</v>
      </c>
      <c r="B534" s="1389" t="s">
        <v>1585</v>
      </c>
      <c r="C534" s="585" t="s">
        <v>1128</v>
      </c>
      <c r="D534" s="1390">
        <v>2</v>
      </c>
      <c r="E534" s="499" t="s">
        <v>462</v>
      </c>
      <c r="F534" s="2046" t="s">
        <v>303</v>
      </c>
      <c r="G534" s="1355">
        <v>0.54700000000000004</v>
      </c>
      <c r="H534" s="1373">
        <f>H531</f>
        <v>0</v>
      </c>
      <c r="I534" s="1359">
        <f t="shared" si="629"/>
        <v>0</v>
      </c>
      <c r="J534" s="1374" t="str">
        <f t="shared" si="630"/>
        <v>0:0:00</v>
      </c>
      <c r="K534" s="500">
        <v>1000</v>
      </c>
      <c r="L534" s="2009">
        <v>34.6</v>
      </c>
      <c r="M534" s="1375">
        <f t="shared" si="631"/>
        <v>0</v>
      </c>
      <c r="N534" s="1376">
        <v>1</v>
      </c>
      <c r="O534" s="1377">
        <f t="shared" si="632"/>
        <v>0</v>
      </c>
      <c r="P534" s="1375">
        <f t="shared" si="633"/>
        <v>0</v>
      </c>
      <c r="Q534" s="1378">
        <f t="shared" si="634"/>
        <v>0</v>
      </c>
      <c r="R534" s="1375">
        <f t="shared" si="635"/>
        <v>0</v>
      </c>
      <c r="S534" s="1375">
        <f t="shared" si="636"/>
        <v>0</v>
      </c>
      <c r="T534" s="1375">
        <f t="shared" si="637"/>
        <v>0</v>
      </c>
      <c r="U534" s="2028">
        <f t="shared" si="449"/>
        <v>0</v>
      </c>
      <c r="V534" s="1357"/>
      <c r="W534" s="1357"/>
      <c r="X534" s="1357"/>
      <c r="Y534" s="1357"/>
      <c r="AD534" s="2141">
        <f t="shared" si="611"/>
        <v>1.5</v>
      </c>
      <c r="AE534" s="2142" t="str">
        <f t="shared" si="567"/>
        <v/>
      </c>
      <c r="AG534" s="2118" t="s">
        <v>1816</v>
      </c>
    </row>
    <row r="535" spans="1:33" ht="28.5" hidden="1" outlineLevel="2" x14ac:dyDescent="0.2">
      <c r="A535" s="1360"/>
      <c r="B535" s="1384" t="s">
        <v>1129</v>
      </c>
      <c r="C535" s="528"/>
      <c r="D535" s="2155"/>
      <c r="E535" s="529" t="s">
        <v>218</v>
      </c>
      <c r="F535" s="2166"/>
      <c r="G535" s="2184"/>
      <c r="H535" s="1385"/>
      <c r="I535" s="1436"/>
      <c r="J535" s="530"/>
      <c r="K535" s="530"/>
      <c r="L535" s="533"/>
      <c r="M535" s="1386"/>
      <c r="N535" s="530"/>
      <c r="O535" s="1387"/>
      <c r="P535" s="1386"/>
      <c r="Q535" s="1388"/>
      <c r="R535" s="1386"/>
      <c r="S535" s="1386"/>
      <c r="T535" s="1388"/>
      <c r="U535" s="2028">
        <f t="shared" si="449"/>
        <v>0</v>
      </c>
      <c r="V535" s="1357"/>
      <c r="W535" s="1357"/>
      <c r="X535" s="1357"/>
      <c r="Y535" s="1357"/>
      <c r="AD535" s="2141" t="str">
        <f t="shared" si="611"/>
        <v/>
      </c>
      <c r="AE535" s="2142" t="str">
        <f t="shared" si="567"/>
        <v/>
      </c>
      <c r="AG535" s="2118" t="s">
        <v>1816</v>
      </c>
    </row>
    <row r="536" spans="1:33" ht="51" hidden="1" outlineLevel="3" x14ac:dyDescent="0.2">
      <c r="A536" s="1360">
        <f>A534+1</f>
        <v>131</v>
      </c>
      <c r="B536" s="1389" t="s">
        <v>1586</v>
      </c>
      <c r="C536" s="585" t="s">
        <v>1130</v>
      </c>
      <c r="D536" s="1358">
        <v>4</v>
      </c>
      <c r="E536" s="499" t="s">
        <v>462</v>
      </c>
      <c r="F536" s="2046" t="s">
        <v>303</v>
      </c>
      <c r="G536" s="1355">
        <v>0.433</v>
      </c>
      <c r="H536" s="1373"/>
      <c r="I536" s="1359">
        <f t="shared" ref="I536:I543" si="639">IF(G536=0,0,IF(H536&gt;0,IF((G536*H536/K536)&lt;0.084,0.084,(G536*H536/K536)),0))</f>
        <v>0</v>
      </c>
      <c r="J536" s="1374" t="str">
        <f t="shared" ref="J536:J541" si="640">CONCATENATE(TRUNC(I536,0),":",INT((I536-(TRUNC(I536,0)))*60),":","00")</f>
        <v>0:0:00</v>
      </c>
      <c r="K536" s="500">
        <v>1000</v>
      </c>
      <c r="L536" s="2009">
        <v>41.21</v>
      </c>
      <c r="M536" s="1375">
        <f t="shared" ref="M536:M543" si="641">H536*L536/K536</f>
        <v>0</v>
      </c>
      <c r="N536" s="1376">
        <v>1</v>
      </c>
      <c r="O536" s="1377">
        <f t="shared" ref="O536:O543" si="642">M536*N536</f>
        <v>0</v>
      </c>
      <c r="P536" s="1375">
        <f t="shared" ref="P536:P543" si="643">(M536+O536)*0.15</f>
        <v>0</v>
      </c>
      <c r="Q536" s="1378">
        <f t="shared" ref="Q536:Q543" si="644">M536+O536+P536</f>
        <v>0</v>
      </c>
      <c r="R536" s="1375">
        <f t="shared" ref="R536:R543" si="645">Q536*$R$1</f>
        <v>0</v>
      </c>
      <c r="S536" s="1375">
        <f t="shared" ref="S536:S543" si="646">(Q536+R536)*$S$1</f>
        <v>0</v>
      </c>
      <c r="T536" s="1375">
        <f t="shared" ref="T536:T543" si="647">Q536+R536+S536</f>
        <v>0</v>
      </c>
      <c r="U536" s="2028">
        <f t="shared" si="449"/>
        <v>0</v>
      </c>
      <c r="V536" s="1357"/>
      <c r="W536" s="1357"/>
      <c r="X536" s="1357"/>
      <c r="Y536" s="1357"/>
      <c r="AD536" s="2141">
        <f t="shared" si="611"/>
        <v>2.6</v>
      </c>
      <c r="AE536" s="2142" t="str">
        <f t="shared" si="567"/>
        <v/>
      </c>
      <c r="AG536" s="2118" t="s">
        <v>1816</v>
      </c>
    </row>
    <row r="537" spans="1:33" ht="51" hidden="1" outlineLevel="3" x14ac:dyDescent="0.2">
      <c r="A537" s="1360">
        <f>A536+1</f>
        <v>132</v>
      </c>
      <c r="B537" s="1389" t="s">
        <v>1587</v>
      </c>
      <c r="C537" s="585" t="s">
        <v>1130</v>
      </c>
      <c r="D537" s="1358">
        <v>2</v>
      </c>
      <c r="E537" s="499" t="s">
        <v>462</v>
      </c>
      <c r="F537" s="2046" t="s">
        <v>303</v>
      </c>
      <c r="G537" s="1355">
        <v>0.433</v>
      </c>
      <c r="H537" s="1373">
        <f>H536</f>
        <v>0</v>
      </c>
      <c r="I537" s="1359">
        <f t="shared" si="639"/>
        <v>0</v>
      </c>
      <c r="J537" s="1374" t="str">
        <f t="shared" si="640"/>
        <v>0:0:00</v>
      </c>
      <c r="K537" s="500">
        <v>1000</v>
      </c>
      <c r="L537" s="2009">
        <v>27.39</v>
      </c>
      <c r="M537" s="1375">
        <f t="shared" si="641"/>
        <v>0</v>
      </c>
      <c r="N537" s="1376">
        <v>1</v>
      </c>
      <c r="O537" s="1377">
        <f t="shared" si="642"/>
        <v>0</v>
      </c>
      <c r="P537" s="1375">
        <f t="shared" si="643"/>
        <v>0</v>
      </c>
      <c r="Q537" s="1378">
        <f t="shared" si="644"/>
        <v>0</v>
      </c>
      <c r="R537" s="1375">
        <f t="shared" si="645"/>
        <v>0</v>
      </c>
      <c r="S537" s="1375">
        <f t="shared" si="646"/>
        <v>0</v>
      </c>
      <c r="T537" s="1375">
        <f t="shared" si="647"/>
        <v>0</v>
      </c>
      <c r="U537" s="2028">
        <f t="shared" si="449"/>
        <v>0</v>
      </c>
      <c r="V537" s="1357"/>
      <c r="W537" s="1357"/>
      <c r="X537" s="1357"/>
      <c r="Y537" s="1357"/>
      <c r="AD537" s="2141">
        <f t="shared" si="611"/>
        <v>1.5</v>
      </c>
      <c r="AE537" s="2142" t="str">
        <f t="shared" si="567"/>
        <v/>
      </c>
      <c r="AG537" s="2118" t="s">
        <v>1816</v>
      </c>
    </row>
    <row r="538" spans="1:33" ht="51" hidden="1" outlineLevel="3" x14ac:dyDescent="0.2">
      <c r="A538" s="1360">
        <f t="shared" ref="A538:A543" si="648">A537+1</f>
        <v>133</v>
      </c>
      <c r="B538" s="1389" t="s">
        <v>1587</v>
      </c>
      <c r="C538" s="585" t="s">
        <v>1130</v>
      </c>
      <c r="D538" s="1358">
        <v>2</v>
      </c>
      <c r="E538" s="499" t="s">
        <v>462</v>
      </c>
      <c r="F538" s="2046" t="s">
        <v>303</v>
      </c>
      <c r="G538" s="1355">
        <v>0.433</v>
      </c>
      <c r="H538" s="1373">
        <f>H536</f>
        <v>0</v>
      </c>
      <c r="I538" s="1359">
        <f t="shared" si="639"/>
        <v>0</v>
      </c>
      <c r="J538" s="1374" t="str">
        <f t="shared" si="640"/>
        <v>0:0:00</v>
      </c>
      <c r="K538" s="500">
        <v>1000</v>
      </c>
      <c r="L538" s="2009">
        <v>27.39</v>
      </c>
      <c r="M538" s="1375">
        <f t="shared" si="641"/>
        <v>0</v>
      </c>
      <c r="N538" s="1376">
        <v>1</v>
      </c>
      <c r="O538" s="1377">
        <f t="shared" si="642"/>
        <v>0</v>
      </c>
      <c r="P538" s="1375">
        <f t="shared" si="643"/>
        <v>0</v>
      </c>
      <c r="Q538" s="1378">
        <f t="shared" si="644"/>
        <v>0</v>
      </c>
      <c r="R538" s="1375">
        <f t="shared" si="645"/>
        <v>0</v>
      </c>
      <c r="S538" s="1375">
        <f t="shared" si="646"/>
        <v>0</v>
      </c>
      <c r="T538" s="1375">
        <f t="shared" si="647"/>
        <v>0</v>
      </c>
      <c r="U538" s="2028">
        <f t="shared" si="449"/>
        <v>0</v>
      </c>
      <c r="V538" s="1357"/>
      <c r="W538" s="1357"/>
      <c r="X538" s="1357"/>
      <c r="Y538" s="1357"/>
      <c r="AD538" s="2141">
        <f t="shared" si="611"/>
        <v>1.5</v>
      </c>
      <c r="AE538" s="2142" t="str">
        <f t="shared" ref="AE538:AE601" si="649">IF(T538&gt;0,T538*AD538,"")</f>
        <v/>
      </c>
      <c r="AG538" s="2118" t="s">
        <v>1816</v>
      </c>
    </row>
    <row r="539" spans="1:33" ht="63.75" hidden="1" outlineLevel="3" x14ac:dyDescent="0.2">
      <c r="A539" s="1360">
        <f t="shared" si="648"/>
        <v>134</v>
      </c>
      <c r="B539" s="1389" t="s">
        <v>1588</v>
      </c>
      <c r="C539" s="585" t="s">
        <v>1131</v>
      </c>
      <c r="D539" s="1358">
        <v>4</v>
      </c>
      <c r="E539" s="499" t="s">
        <v>462</v>
      </c>
      <c r="F539" s="2046" t="s">
        <v>303</v>
      </c>
      <c r="G539" s="1355">
        <v>0.503</v>
      </c>
      <c r="H539" s="1373"/>
      <c r="I539" s="1359">
        <f t="shared" si="639"/>
        <v>0</v>
      </c>
      <c r="J539" s="1374" t="str">
        <f t="shared" si="640"/>
        <v>0:0:00</v>
      </c>
      <c r="K539" s="500">
        <v>1000</v>
      </c>
      <c r="L539" s="2009">
        <v>47.86</v>
      </c>
      <c r="M539" s="1375">
        <f t="shared" si="641"/>
        <v>0</v>
      </c>
      <c r="N539" s="1376">
        <v>1</v>
      </c>
      <c r="O539" s="1377">
        <f t="shared" si="642"/>
        <v>0</v>
      </c>
      <c r="P539" s="1375">
        <f t="shared" si="643"/>
        <v>0</v>
      </c>
      <c r="Q539" s="1378">
        <f t="shared" si="644"/>
        <v>0</v>
      </c>
      <c r="R539" s="1375">
        <f t="shared" si="645"/>
        <v>0</v>
      </c>
      <c r="S539" s="1375">
        <f t="shared" si="646"/>
        <v>0</v>
      </c>
      <c r="T539" s="1375">
        <f t="shared" si="647"/>
        <v>0</v>
      </c>
      <c r="U539" s="2028">
        <f t="shared" si="449"/>
        <v>0</v>
      </c>
      <c r="V539" s="1357"/>
      <c r="W539" s="1357"/>
      <c r="X539" s="1357"/>
      <c r="Y539" s="1357"/>
      <c r="AD539" s="2141">
        <f t="shared" si="611"/>
        <v>2.6</v>
      </c>
      <c r="AE539" s="2142" t="str">
        <f t="shared" si="649"/>
        <v/>
      </c>
      <c r="AG539" s="2118" t="s">
        <v>1816</v>
      </c>
    </row>
    <row r="540" spans="1:33" ht="63.75" hidden="1" outlineLevel="3" x14ac:dyDescent="0.2">
      <c r="A540" s="1360">
        <f t="shared" si="648"/>
        <v>135</v>
      </c>
      <c r="B540" s="1389" t="s">
        <v>1589</v>
      </c>
      <c r="C540" s="585" t="s">
        <v>1131</v>
      </c>
      <c r="D540" s="1358">
        <v>2</v>
      </c>
      <c r="E540" s="499" t="s">
        <v>462</v>
      </c>
      <c r="F540" s="2046" t="s">
        <v>303</v>
      </c>
      <c r="G540" s="1355">
        <v>0.503</v>
      </c>
      <c r="H540" s="1373">
        <f>H539</f>
        <v>0</v>
      </c>
      <c r="I540" s="1359">
        <f t="shared" si="639"/>
        <v>0</v>
      </c>
      <c r="J540" s="1374" t="str">
        <f t="shared" si="640"/>
        <v>0:0:00</v>
      </c>
      <c r="K540" s="500">
        <v>1000</v>
      </c>
      <c r="L540" s="2009">
        <v>31.82</v>
      </c>
      <c r="M540" s="1375">
        <f t="shared" si="641"/>
        <v>0</v>
      </c>
      <c r="N540" s="1376">
        <v>1</v>
      </c>
      <c r="O540" s="1377">
        <f t="shared" si="642"/>
        <v>0</v>
      </c>
      <c r="P540" s="1375">
        <f t="shared" si="643"/>
        <v>0</v>
      </c>
      <c r="Q540" s="1378">
        <f t="shared" si="644"/>
        <v>0</v>
      </c>
      <c r="R540" s="1375">
        <f t="shared" si="645"/>
        <v>0</v>
      </c>
      <c r="S540" s="1375">
        <f t="shared" si="646"/>
        <v>0</v>
      </c>
      <c r="T540" s="1375">
        <f t="shared" si="647"/>
        <v>0</v>
      </c>
      <c r="U540" s="2028">
        <f t="shared" si="449"/>
        <v>0</v>
      </c>
      <c r="V540" s="1357"/>
      <c r="W540" s="1357"/>
      <c r="X540" s="1357"/>
      <c r="Y540" s="1357"/>
      <c r="AD540" s="2141">
        <f t="shared" si="611"/>
        <v>1.5</v>
      </c>
      <c r="AE540" s="2142" t="str">
        <f t="shared" si="649"/>
        <v/>
      </c>
      <c r="AG540" s="2118" t="s">
        <v>1816</v>
      </c>
    </row>
    <row r="541" spans="1:33" ht="63.75" hidden="1" outlineLevel="3" x14ac:dyDescent="0.2">
      <c r="A541" s="1360">
        <f t="shared" si="648"/>
        <v>136</v>
      </c>
      <c r="B541" s="1389" t="s">
        <v>1589</v>
      </c>
      <c r="C541" s="585" t="s">
        <v>1131</v>
      </c>
      <c r="D541" s="1358">
        <v>2</v>
      </c>
      <c r="E541" s="499" t="s">
        <v>462</v>
      </c>
      <c r="F541" s="2046" t="s">
        <v>303</v>
      </c>
      <c r="G541" s="1355">
        <v>0.503</v>
      </c>
      <c r="H541" s="1373">
        <f>H539</f>
        <v>0</v>
      </c>
      <c r="I541" s="1359">
        <f t="shared" si="639"/>
        <v>0</v>
      </c>
      <c r="J541" s="1374" t="str">
        <f t="shared" si="640"/>
        <v>0:0:00</v>
      </c>
      <c r="K541" s="500">
        <v>1000</v>
      </c>
      <c r="L541" s="2009">
        <v>31.82</v>
      </c>
      <c r="M541" s="1375">
        <f t="shared" si="641"/>
        <v>0</v>
      </c>
      <c r="N541" s="1376">
        <v>1</v>
      </c>
      <c r="O541" s="1377">
        <f t="shared" si="642"/>
        <v>0</v>
      </c>
      <c r="P541" s="1375">
        <f t="shared" si="643"/>
        <v>0</v>
      </c>
      <c r="Q541" s="1378">
        <f t="shared" si="644"/>
        <v>0</v>
      </c>
      <c r="R541" s="1375">
        <f t="shared" si="645"/>
        <v>0</v>
      </c>
      <c r="S541" s="1375">
        <f t="shared" si="646"/>
        <v>0</v>
      </c>
      <c r="T541" s="1375">
        <f t="shared" si="647"/>
        <v>0</v>
      </c>
      <c r="U541" s="2028">
        <f t="shared" si="449"/>
        <v>0</v>
      </c>
      <c r="V541" s="1357"/>
      <c r="W541" s="1357"/>
      <c r="X541" s="1357"/>
      <c r="Y541" s="1357"/>
      <c r="AD541" s="2141">
        <f t="shared" si="611"/>
        <v>1.5</v>
      </c>
      <c r="AE541" s="2142" t="str">
        <f t="shared" si="649"/>
        <v/>
      </c>
      <c r="AG541" s="2118" t="s">
        <v>1816</v>
      </c>
    </row>
    <row r="542" spans="1:33" ht="63.75" hidden="1" outlineLevel="3" x14ac:dyDescent="0.2">
      <c r="A542" s="1360">
        <f t="shared" si="648"/>
        <v>137</v>
      </c>
      <c r="B542" s="1389" t="s">
        <v>1589</v>
      </c>
      <c r="C542" s="585" t="s">
        <v>1131</v>
      </c>
      <c r="D542" s="1358">
        <v>2</v>
      </c>
      <c r="E542" s="499" t="s">
        <v>462</v>
      </c>
      <c r="F542" s="2046" t="s">
        <v>303</v>
      </c>
      <c r="G542" s="1355">
        <v>0.503</v>
      </c>
      <c r="H542" s="1373">
        <f>H539</f>
        <v>0</v>
      </c>
      <c r="I542" s="1359">
        <f t="shared" si="639"/>
        <v>0</v>
      </c>
      <c r="J542" s="1374" t="str">
        <f t="shared" ref="J542:J543" si="650">CONCATENATE(TRUNC(I542,0),":",INT((I542-(TRUNC(I542,0)))*60),":","00")</f>
        <v>0:0:00</v>
      </c>
      <c r="K542" s="500">
        <v>1000</v>
      </c>
      <c r="L542" s="2009">
        <v>31.82</v>
      </c>
      <c r="M542" s="1375">
        <f t="shared" ref="M542" si="651">H542*L542/K542</f>
        <v>0</v>
      </c>
      <c r="N542" s="1376">
        <v>1</v>
      </c>
      <c r="O542" s="1377">
        <f t="shared" ref="O542" si="652">M542*N542</f>
        <v>0</v>
      </c>
      <c r="P542" s="1375">
        <f t="shared" ref="P542" si="653">(M542+O542)*0.15</f>
        <v>0</v>
      </c>
      <c r="Q542" s="1378">
        <f t="shared" ref="Q542" si="654">M542+O542+P542</f>
        <v>0</v>
      </c>
      <c r="R542" s="1375">
        <f t="shared" ref="R542" si="655">Q542*$R$1</f>
        <v>0</v>
      </c>
      <c r="S542" s="1375">
        <f t="shared" ref="S542" si="656">(Q542+R542)*$S$1</f>
        <v>0</v>
      </c>
      <c r="T542" s="1375">
        <f t="shared" ref="T542" si="657">Q542+R542+S542</f>
        <v>0</v>
      </c>
      <c r="U542" s="2028">
        <f t="shared" ref="U542" si="658">IF(T542&gt;0,1,0)</f>
        <v>0</v>
      </c>
      <c r="V542" s="1357"/>
      <c r="W542" s="1357"/>
      <c r="X542" s="1357"/>
      <c r="Y542" s="1357"/>
      <c r="AD542" s="2141">
        <f t="shared" si="611"/>
        <v>1.5</v>
      </c>
      <c r="AE542" s="2142" t="str">
        <f t="shared" si="649"/>
        <v/>
      </c>
      <c r="AG542" s="2118" t="s">
        <v>1816</v>
      </c>
    </row>
    <row r="543" spans="1:33" ht="28.5" hidden="1" outlineLevel="3" x14ac:dyDescent="0.2">
      <c r="A543" s="1360">
        <f t="shared" si="648"/>
        <v>138</v>
      </c>
      <c r="B543" s="1372" t="s">
        <v>1590</v>
      </c>
      <c r="C543" s="532" t="s">
        <v>1104</v>
      </c>
      <c r="D543" s="1358">
        <v>4</v>
      </c>
      <c r="E543" s="499" t="s">
        <v>462</v>
      </c>
      <c r="F543" s="2046" t="s">
        <v>303</v>
      </c>
      <c r="G543" s="1383">
        <v>0.5</v>
      </c>
      <c r="H543" s="501">
        <f>IF((H528+H531+H536+H539)&gt;0,1,0)</f>
        <v>0</v>
      </c>
      <c r="I543" s="1359">
        <f t="shared" si="639"/>
        <v>0</v>
      </c>
      <c r="J543" s="503" t="str">
        <f t="shared" si="650"/>
        <v>0:0:00</v>
      </c>
      <c r="K543" s="500">
        <v>1</v>
      </c>
      <c r="L543" s="2009">
        <v>47.58</v>
      </c>
      <c r="M543" s="1375">
        <f t="shared" si="641"/>
        <v>0</v>
      </c>
      <c r="N543" s="1376">
        <v>1</v>
      </c>
      <c r="O543" s="1377">
        <f t="shared" si="642"/>
        <v>0</v>
      </c>
      <c r="P543" s="1375">
        <f t="shared" si="643"/>
        <v>0</v>
      </c>
      <c r="Q543" s="1378">
        <f t="shared" si="644"/>
        <v>0</v>
      </c>
      <c r="R543" s="1375">
        <f t="shared" si="645"/>
        <v>0</v>
      </c>
      <c r="S543" s="1375">
        <f t="shared" si="646"/>
        <v>0</v>
      </c>
      <c r="T543" s="1375">
        <f t="shared" si="647"/>
        <v>0</v>
      </c>
      <c r="U543" s="2028">
        <f t="shared" si="449"/>
        <v>0</v>
      </c>
      <c r="V543" s="1357"/>
      <c r="W543" s="1357"/>
      <c r="X543" s="1357"/>
      <c r="Y543" s="1357"/>
      <c r="AD543" s="2141">
        <f t="shared" si="611"/>
        <v>2.6</v>
      </c>
      <c r="AE543" s="2142" t="str">
        <f t="shared" si="649"/>
        <v/>
      </c>
      <c r="AG543" s="2118" t="s">
        <v>1816</v>
      </c>
    </row>
    <row r="544" spans="1:33" ht="15" hidden="1" outlineLevel="1" x14ac:dyDescent="0.2">
      <c r="A544" s="1360"/>
      <c r="B544" s="1380" t="s">
        <v>495</v>
      </c>
      <c r="C544" s="522"/>
      <c r="D544" s="2152"/>
      <c r="E544" s="523" t="s">
        <v>218</v>
      </c>
      <c r="F544" s="2164"/>
      <c r="G544" s="2178"/>
      <c r="H544" s="1367"/>
      <c r="I544" s="2043">
        <f>SUM(I545:I549)</f>
        <v>0</v>
      </c>
      <c r="J544" s="524"/>
      <c r="K544" s="524"/>
      <c r="L544" s="526"/>
      <c r="M544" s="1368"/>
      <c r="N544" s="524"/>
      <c r="O544" s="1369"/>
      <c r="P544" s="1368"/>
      <c r="Q544" s="1370"/>
      <c r="R544" s="1368"/>
      <c r="S544" s="1371">
        <f>SUM(T545:T549)</f>
        <v>0</v>
      </c>
      <c r="T544" s="1370"/>
      <c r="U544" s="2028">
        <f t="shared" si="449"/>
        <v>0</v>
      </c>
      <c r="V544" s="1357"/>
      <c r="W544" s="1357"/>
      <c r="X544" s="1357"/>
      <c r="Y544" s="1357"/>
      <c r="AD544" s="2141" t="str">
        <f t="shared" si="611"/>
        <v/>
      </c>
      <c r="AE544" s="2142" t="str">
        <f t="shared" si="649"/>
        <v/>
      </c>
      <c r="AG544" s="2118" t="s">
        <v>1816</v>
      </c>
    </row>
    <row r="545" spans="1:33" ht="14.25" hidden="1" outlineLevel="2" x14ac:dyDescent="0.2">
      <c r="A545" s="1360">
        <f>A543+1</f>
        <v>139</v>
      </c>
      <c r="B545" s="1372" t="s">
        <v>1591</v>
      </c>
      <c r="C545" s="532"/>
      <c r="D545" s="1358">
        <v>2</v>
      </c>
      <c r="E545" s="499" t="s">
        <v>462</v>
      </c>
      <c r="F545" s="2046" t="s">
        <v>303</v>
      </c>
      <c r="G545" s="1355">
        <v>4</v>
      </c>
      <c r="H545" s="1373"/>
      <c r="I545" s="1359">
        <f>IF(G545=0,0,IF(H545&gt;0,IF((G545*H545/K545)&lt;0.084,0.084,(G545*H545/K545)),0))</f>
        <v>0</v>
      </c>
      <c r="J545" s="1374" t="str">
        <f>CONCATENATE(TRUNC(I545,0),":",INT((I545-(TRUNC(I545,0)))*60),":","00")</f>
        <v>0:0:00</v>
      </c>
      <c r="K545" s="500">
        <v>1000</v>
      </c>
      <c r="L545" s="2009">
        <v>253</v>
      </c>
      <c r="M545" s="1375">
        <f>H545*L545/K545</f>
        <v>0</v>
      </c>
      <c r="N545" s="1376">
        <v>1</v>
      </c>
      <c r="O545" s="1377">
        <f>M545*N545</f>
        <v>0</v>
      </c>
      <c r="P545" s="1375">
        <f>(M545+O545)*0.15</f>
        <v>0</v>
      </c>
      <c r="Q545" s="1378">
        <f>M545+O545+P545</f>
        <v>0</v>
      </c>
      <c r="R545" s="1375">
        <f>Q545*$R$1</f>
        <v>0</v>
      </c>
      <c r="S545" s="1375">
        <f>(Q545+R545)*$S$1</f>
        <v>0</v>
      </c>
      <c r="T545" s="1375">
        <f>Q545+R545+S545</f>
        <v>0</v>
      </c>
      <c r="U545" s="2028">
        <f t="shared" si="449"/>
        <v>0</v>
      </c>
      <c r="V545" s="1357"/>
      <c r="W545" s="1357"/>
      <c r="X545" s="1357"/>
      <c r="Y545" s="1357"/>
      <c r="AD545" s="2141">
        <f t="shared" si="611"/>
        <v>1.5</v>
      </c>
      <c r="AE545" s="2142" t="str">
        <f t="shared" si="649"/>
        <v/>
      </c>
      <c r="AG545" s="2118" t="s">
        <v>1816</v>
      </c>
    </row>
    <row r="546" spans="1:33" ht="28.5" hidden="1" outlineLevel="2" x14ac:dyDescent="0.2">
      <c r="A546" s="1360">
        <f>A545+1</f>
        <v>140</v>
      </c>
      <c r="B546" s="1372" t="s">
        <v>1592</v>
      </c>
      <c r="C546" s="532"/>
      <c r="D546" s="1358">
        <v>2</v>
      </c>
      <c r="E546" s="499" t="s">
        <v>462</v>
      </c>
      <c r="F546" s="2046" t="s">
        <v>303</v>
      </c>
      <c r="G546" s="1383">
        <v>0.82199999999999995</v>
      </c>
      <c r="H546" s="1373"/>
      <c r="I546" s="1359">
        <f>IF(G546=0,0,IF(H546&gt;0,IF((G546*H546/K546)&lt;0.084,0.084,(G546*H546/K546)),0))</f>
        <v>0</v>
      </c>
      <c r="J546" s="1374" t="str">
        <f>CONCATENATE(TRUNC(I546,0),":",INT((I546-(TRUNC(I546,0)))*60),":","00")</f>
        <v>0:0:00</v>
      </c>
      <c r="K546" s="500">
        <v>1000</v>
      </c>
      <c r="L546" s="2009">
        <v>51.97</v>
      </c>
      <c r="M546" s="1375">
        <f>H546*L546/K546</f>
        <v>0</v>
      </c>
      <c r="N546" s="1376">
        <v>1</v>
      </c>
      <c r="O546" s="1377">
        <f>M546*N546</f>
        <v>0</v>
      </c>
      <c r="P546" s="1375">
        <f>(M546+O546)*0.15</f>
        <v>0</v>
      </c>
      <c r="Q546" s="1378">
        <f>M546+O546+P546</f>
        <v>0</v>
      </c>
      <c r="R546" s="1375">
        <f>Q546*$R$1</f>
        <v>0</v>
      </c>
      <c r="S546" s="1375">
        <f>(Q546+R546)*$S$1</f>
        <v>0</v>
      </c>
      <c r="T546" s="1375">
        <f>Q546+R546+S546</f>
        <v>0</v>
      </c>
      <c r="U546" s="2028">
        <f t="shared" si="449"/>
        <v>0</v>
      </c>
      <c r="V546" s="1357"/>
      <c r="W546" s="1357"/>
      <c r="X546" s="1357"/>
      <c r="Y546" s="1357"/>
      <c r="AD546" s="2141">
        <f t="shared" si="611"/>
        <v>1.5</v>
      </c>
      <c r="AE546" s="2142" t="str">
        <f t="shared" si="649"/>
        <v/>
      </c>
      <c r="AG546" s="2118" t="s">
        <v>1816</v>
      </c>
    </row>
    <row r="547" spans="1:33" ht="14.25" hidden="1" outlineLevel="2" x14ac:dyDescent="0.2">
      <c r="A547" s="1360">
        <f t="shared" ref="A547:A549" si="659">A546+1</f>
        <v>141</v>
      </c>
      <c r="B547" s="1372" t="s">
        <v>1593</v>
      </c>
      <c r="C547" s="532" t="s">
        <v>1594</v>
      </c>
      <c r="D547" s="1358">
        <v>2</v>
      </c>
      <c r="E547" s="499" t="s">
        <v>462</v>
      </c>
      <c r="F547" s="2046" t="s">
        <v>303</v>
      </c>
      <c r="G547" s="1383">
        <v>1.2130000000000001</v>
      </c>
      <c r="H547" s="1373"/>
      <c r="I547" s="1359">
        <f>IF(G547=0,0,IF(H547&gt;0,IF((G547*H547/K547)&lt;0.084,0.084,(G547*H547/K547)),0))</f>
        <v>0</v>
      </c>
      <c r="J547" s="1374" t="str">
        <f>CONCATENATE(TRUNC(I547,0),":",INT((I547-(TRUNC(I547,0)))*60),":","00")</f>
        <v>0:0:00</v>
      </c>
      <c r="K547" s="500">
        <v>1000</v>
      </c>
      <c r="L547" s="2009">
        <v>76.760000000000005</v>
      </c>
      <c r="M547" s="1375">
        <f>H547*L547/K547</f>
        <v>0</v>
      </c>
      <c r="N547" s="1376">
        <v>1</v>
      </c>
      <c r="O547" s="1377">
        <f>M547*N547</f>
        <v>0</v>
      </c>
      <c r="P547" s="1375">
        <f>(M547+O547)*0.15</f>
        <v>0</v>
      </c>
      <c r="Q547" s="1378">
        <f>M547+O547+P547</f>
        <v>0</v>
      </c>
      <c r="R547" s="1375">
        <f>Q547*$R$1</f>
        <v>0</v>
      </c>
      <c r="S547" s="1375">
        <f>(Q547+R547)*$S$1</f>
        <v>0</v>
      </c>
      <c r="T547" s="1375">
        <f>Q547+R547+S547</f>
        <v>0</v>
      </c>
      <c r="U547" s="2028">
        <f t="shared" ref="U547" si="660">IF(T547&gt;0,1,0)</f>
        <v>0</v>
      </c>
      <c r="V547" s="1357"/>
      <c r="W547" s="1357"/>
      <c r="X547" s="1357"/>
      <c r="Y547" s="1357"/>
      <c r="AD547" s="2141">
        <f t="shared" si="611"/>
        <v>1.5</v>
      </c>
      <c r="AE547" s="2142" t="str">
        <f t="shared" si="649"/>
        <v/>
      </c>
      <c r="AG547" s="2118" t="s">
        <v>1816</v>
      </c>
    </row>
    <row r="548" spans="1:33" ht="14.25" hidden="1" outlineLevel="2" x14ac:dyDescent="0.2">
      <c r="A548" s="1360">
        <f t="shared" si="659"/>
        <v>142</v>
      </c>
      <c r="B548" s="1372" t="s">
        <v>1595</v>
      </c>
      <c r="C548" s="532" t="s">
        <v>1596</v>
      </c>
      <c r="D548" s="1358">
        <v>2</v>
      </c>
      <c r="E548" s="499" t="s">
        <v>462</v>
      </c>
      <c r="F548" s="2046" t="s">
        <v>303</v>
      </c>
      <c r="G548" s="1383">
        <v>1.3640000000000001</v>
      </c>
      <c r="H548" s="1373"/>
      <c r="I548" s="1359">
        <f>IF(G548=0,0,IF(H548&gt;0,IF((G548*H548/K548)&lt;0.084,0.084,(G548*H548/K548)),0))</f>
        <v>0</v>
      </c>
      <c r="J548" s="1374" t="str">
        <f>CONCATENATE(TRUNC(I548,0),":",INT((I548-(TRUNC(I548,0)))*60),":","00")</f>
        <v>0:0:00</v>
      </c>
      <c r="K548" s="500">
        <v>1000</v>
      </c>
      <c r="L548" s="2009">
        <v>86.29</v>
      </c>
      <c r="M548" s="1375">
        <f>H548*L548/K548</f>
        <v>0</v>
      </c>
      <c r="N548" s="1376">
        <v>1</v>
      </c>
      <c r="O548" s="1377">
        <f>M548*N548</f>
        <v>0</v>
      </c>
      <c r="P548" s="1375">
        <f>(M548+O548)*0.15</f>
        <v>0</v>
      </c>
      <c r="Q548" s="1378">
        <f>M548+O548+P548</f>
        <v>0</v>
      </c>
      <c r="R548" s="1375">
        <f>Q548*$R$1</f>
        <v>0</v>
      </c>
      <c r="S548" s="1375">
        <f>(Q548+R548)*$S$1</f>
        <v>0</v>
      </c>
      <c r="T548" s="1375">
        <f>Q548+R548+S548</f>
        <v>0</v>
      </c>
      <c r="U548" s="2028">
        <f t="shared" ref="U548" si="661">IF(T548&gt;0,1,0)</f>
        <v>0</v>
      </c>
      <c r="V548" s="1357"/>
      <c r="W548" s="1357"/>
      <c r="X548" s="1357"/>
      <c r="Y548" s="1357"/>
      <c r="AD548" s="2141">
        <f t="shared" si="611"/>
        <v>1.5</v>
      </c>
      <c r="AE548" s="2142" t="str">
        <f t="shared" si="649"/>
        <v/>
      </c>
      <c r="AG548" s="2118" t="s">
        <v>1816</v>
      </c>
    </row>
    <row r="549" spans="1:33" ht="28.5" hidden="1" outlineLevel="2" x14ac:dyDescent="0.2">
      <c r="A549" s="1360">
        <f t="shared" si="659"/>
        <v>143</v>
      </c>
      <c r="B549" s="1372" t="s">
        <v>1597</v>
      </c>
      <c r="C549" s="532"/>
      <c r="D549" s="1358">
        <v>2</v>
      </c>
      <c r="E549" s="499" t="s">
        <v>462</v>
      </c>
      <c r="F549" s="2046" t="s">
        <v>303</v>
      </c>
      <c r="G549" s="1383">
        <v>2</v>
      </c>
      <c r="H549" s="1373"/>
      <c r="I549" s="1359">
        <f>IF(G549=0,0,IF(H549&gt;0,IF((G549*H549/K549)&lt;0.084,0.084,(G549*H549/K549)),0))</f>
        <v>0</v>
      </c>
      <c r="J549" s="1374" t="str">
        <f>CONCATENATE(TRUNC(I549,0),":",INT((I549-(TRUNC(I549,0)))*60),":","00")</f>
        <v>0:0:00</v>
      </c>
      <c r="K549" s="500">
        <v>1000</v>
      </c>
      <c r="L549" s="2009">
        <v>126.5</v>
      </c>
      <c r="M549" s="1375">
        <f>H549*L549/K549</f>
        <v>0</v>
      </c>
      <c r="N549" s="1376">
        <v>1</v>
      </c>
      <c r="O549" s="1377">
        <f>M549*N549</f>
        <v>0</v>
      </c>
      <c r="P549" s="1375">
        <f>(M549+O549)*0.15</f>
        <v>0</v>
      </c>
      <c r="Q549" s="1378">
        <f>M549+O549+P549</f>
        <v>0</v>
      </c>
      <c r="R549" s="1375">
        <f>Q549*$R$1</f>
        <v>0</v>
      </c>
      <c r="S549" s="1375">
        <f>(Q549+R549)*$S$1</f>
        <v>0</v>
      </c>
      <c r="T549" s="1375">
        <f>Q549+R549+S549</f>
        <v>0</v>
      </c>
      <c r="U549" s="2028">
        <f t="shared" si="449"/>
        <v>0</v>
      </c>
      <c r="V549" s="1357"/>
      <c r="W549" s="1357"/>
      <c r="X549" s="1357"/>
      <c r="Y549" s="1357"/>
      <c r="AD549" s="2141">
        <f t="shared" si="611"/>
        <v>1.5</v>
      </c>
      <c r="AE549" s="2142" t="str">
        <f t="shared" si="649"/>
        <v/>
      </c>
      <c r="AG549" s="2118" t="s">
        <v>1816</v>
      </c>
    </row>
    <row r="550" spans="1:33" ht="15" hidden="1" outlineLevel="1" x14ac:dyDescent="0.2">
      <c r="A550" s="1360"/>
      <c r="B550" s="1380" t="s">
        <v>496</v>
      </c>
      <c r="C550" s="522"/>
      <c r="D550" s="2152"/>
      <c r="E550" s="523" t="s">
        <v>218</v>
      </c>
      <c r="F550" s="2164"/>
      <c r="G550" s="2178"/>
      <c r="H550" s="1367"/>
      <c r="I550" s="2043">
        <f>SUM(I551:I553)</f>
        <v>0</v>
      </c>
      <c r="J550" s="524"/>
      <c r="K550" s="524"/>
      <c r="L550" s="526"/>
      <c r="M550" s="1368"/>
      <c r="N550" s="524"/>
      <c r="O550" s="1369"/>
      <c r="P550" s="1368"/>
      <c r="Q550" s="1370"/>
      <c r="R550" s="1368"/>
      <c r="S550" s="1371">
        <f>SUM(T551:T553)</f>
        <v>0</v>
      </c>
      <c r="T550" s="1370"/>
      <c r="U550" s="2028">
        <f t="shared" si="449"/>
        <v>0</v>
      </c>
      <c r="V550" s="1357"/>
      <c r="W550" s="1357"/>
      <c r="X550" s="1357"/>
      <c r="Y550" s="1357"/>
      <c r="AD550" s="2141" t="str">
        <f t="shared" si="611"/>
        <v/>
      </c>
      <c r="AE550" s="2142" t="str">
        <f t="shared" si="649"/>
        <v/>
      </c>
      <c r="AG550" s="2118" t="s">
        <v>1816</v>
      </c>
    </row>
    <row r="551" spans="1:33" ht="14.25" hidden="1" outlineLevel="2" x14ac:dyDescent="0.2">
      <c r="A551" s="1360">
        <f>A549+1</f>
        <v>144</v>
      </c>
      <c r="B551" s="1372" t="s">
        <v>1598</v>
      </c>
      <c r="C551" s="532"/>
      <c r="D551" s="1358">
        <v>2</v>
      </c>
      <c r="E551" s="499" t="s">
        <v>462</v>
      </c>
      <c r="F551" s="2024" t="s">
        <v>303</v>
      </c>
      <c r="G551" s="1383">
        <v>0.54500000000000004</v>
      </c>
      <c r="H551" s="1373"/>
      <c r="I551" s="1359">
        <f>IF(G551=0,0,IF(H551&gt;0,IF((G551*H551/K551)&lt;0.084,0.084,(G551*H551/K551)),0))</f>
        <v>0</v>
      </c>
      <c r="J551" s="1374" t="str">
        <f>CONCATENATE(TRUNC(I551,0),":",INT((I551-(TRUNC(I551,0)))*60),":","00")</f>
        <v>0:0:00</v>
      </c>
      <c r="K551" s="500">
        <v>1000</v>
      </c>
      <c r="L551" s="2009">
        <v>34.47</v>
      </c>
      <c r="M551" s="1375">
        <f>H551*L551/K551</f>
        <v>0</v>
      </c>
      <c r="N551" s="1376">
        <v>1</v>
      </c>
      <c r="O551" s="1377">
        <f>M551*N551</f>
        <v>0</v>
      </c>
      <c r="P551" s="1375">
        <f>(M551+O551)*0.15</f>
        <v>0</v>
      </c>
      <c r="Q551" s="1378">
        <f>M551+O551+P551</f>
        <v>0</v>
      </c>
      <c r="R551" s="1375">
        <f>Q551*$R$1</f>
        <v>0</v>
      </c>
      <c r="S551" s="1375">
        <f>(Q551+R551)*$S$1</f>
        <v>0</v>
      </c>
      <c r="T551" s="1375">
        <f>Q551+R551+S551</f>
        <v>0</v>
      </c>
      <c r="U551" s="2028">
        <f t="shared" si="449"/>
        <v>0</v>
      </c>
      <c r="V551" s="1357"/>
      <c r="W551" s="1357"/>
      <c r="X551" s="1357"/>
      <c r="Y551" s="1357"/>
      <c r="AD551" s="2141">
        <f t="shared" si="611"/>
        <v>1.5</v>
      </c>
      <c r="AE551" s="2142" t="str">
        <f t="shared" si="649"/>
        <v/>
      </c>
      <c r="AG551" s="2118" t="s">
        <v>1816</v>
      </c>
    </row>
    <row r="552" spans="1:33" ht="28.5" hidden="1" customHeight="1" outlineLevel="2" x14ac:dyDescent="0.2">
      <c r="A552" s="1360">
        <f>A551+1</f>
        <v>145</v>
      </c>
      <c r="B552" s="1372" t="s">
        <v>1599</v>
      </c>
      <c r="C552" s="532"/>
      <c r="D552" s="1358">
        <v>2</v>
      </c>
      <c r="E552" s="499" t="s">
        <v>465</v>
      </c>
      <c r="F552" s="2024" t="s">
        <v>303</v>
      </c>
      <c r="G552" s="1383">
        <v>1.77</v>
      </c>
      <c r="H552" s="1373"/>
      <c r="I552" s="1359">
        <f>IF(G552=0,0,IF(H552&gt;0,IF((G552*H552/K552)&lt;0.084,0.084,(G552*H552/K552)),0))</f>
        <v>0</v>
      </c>
      <c r="J552" s="1374" t="str">
        <f>CONCATENATE(TRUNC(I552,0),":",INT((I552-(TRUNC(I552,0)))*60),":","00")</f>
        <v>0:0:00</v>
      </c>
      <c r="K552" s="500">
        <v>1000</v>
      </c>
      <c r="L552" s="2009">
        <v>111.95</v>
      </c>
      <c r="M552" s="1375">
        <f>H552*L552/K552</f>
        <v>0</v>
      </c>
      <c r="N552" s="1376">
        <v>1</v>
      </c>
      <c r="O552" s="1377">
        <f>M552*N552</f>
        <v>0</v>
      </c>
      <c r="P552" s="1375">
        <f>(M552+O552)*0.15</f>
        <v>0</v>
      </c>
      <c r="Q552" s="1378">
        <f>M552+O552+P552</f>
        <v>0</v>
      </c>
      <c r="R552" s="1375">
        <f>Q552*$R$1</f>
        <v>0</v>
      </c>
      <c r="S552" s="1375">
        <f>(Q552+R552)*$S$1</f>
        <v>0</v>
      </c>
      <c r="T552" s="1375">
        <f>Q552+R552+S552</f>
        <v>0</v>
      </c>
      <c r="U552" s="2028">
        <f t="shared" si="449"/>
        <v>0</v>
      </c>
      <c r="V552" s="1357"/>
      <c r="W552" s="1357"/>
      <c r="X552" s="1357"/>
      <c r="Y552" s="1357"/>
      <c r="AD552" s="2141">
        <f t="shared" si="611"/>
        <v>1.5</v>
      </c>
      <c r="AE552" s="2142" t="str">
        <f t="shared" si="649"/>
        <v/>
      </c>
      <c r="AG552" s="2118" t="s">
        <v>1816</v>
      </c>
    </row>
    <row r="553" spans="1:33" ht="42.75" hidden="1" outlineLevel="2" x14ac:dyDescent="0.2">
      <c r="A553" s="1360">
        <f>A552+1</f>
        <v>146</v>
      </c>
      <c r="B553" s="1372" t="s">
        <v>1600</v>
      </c>
      <c r="C553" s="532"/>
      <c r="D553" s="1358">
        <v>2</v>
      </c>
      <c r="E553" s="499" t="s">
        <v>465</v>
      </c>
      <c r="F553" s="2024" t="s">
        <v>303</v>
      </c>
      <c r="G553" s="1383">
        <v>2.0350000000000001</v>
      </c>
      <c r="H553" s="1373"/>
      <c r="I553" s="1359">
        <f>IF(G553=0,0,IF(H553&gt;0,IF((G553*H553/K553)&lt;0.084,0.084,(G553*H553/K553)),0))</f>
        <v>0</v>
      </c>
      <c r="J553" s="1374" t="str">
        <f>CONCATENATE(TRUNC(I553,0),":",INT((I553-(TRUNC(I553,0)))*60),":","00")</f>
        <v>0:0:00</v>
      </c>
      <c r="K553" s="500">
        <v>1000</v>
      </c>
      <c r="L553" s="2009">
        <v>128.82</v>
      </c>
      <c r="M553" s="1375">
        <f>H553*L553/K553</f>
        <v>0</v>
      </c>
      <c r="N553" s="1376">
        <v>1</v>
      </c>
      <c r="O553" s="1377">
        <f>M553*N553</f>
        <v>0</v>
      </c>
      <c r="P553" s="1375">
        <f>(M553+O553)*0.15</f>
        <v>0</v>
      </c>
      <c r="Q553" s="1378">
        <f>M553+O553+P553</f>
        <v>0</v>
      </c>
      <c r="R553" s="1375">
        <f>Q553*$R$1</f>
        <v>0</v>
      </c>
      <c r="S553" s="1375">
        <f>(Q553+R553)*$S$1</f>
        <v>0</v>
      </c>
      <c r="T553" s="1375">
        <f>Q553+R553+S553</f>
        <v>0</v>
      </c>
      <c r="U553" s="2028">
        <f t="shared" si="449"/>
        <v>0</v>
      </c>
      <c r="V553" s="1357"/>
      <c r="W553" s="1357"/>
      <c r="X553" s="1357"/>
      <c r="Y553" s="1357"/>
      <c r="AD553" s="2141">
        <f t="shared" si="611"/>
        <v>1.5</v>
      </c>
      <c r="AE553" s="2142" t="str">
        <f t="shared" si="649"/>
        <v/>
      </c>
      <c r="AG553" s="2118" t="s">
        <v>1816</v>
      </c>
    </row>
    <row r="554" spans="1:33" ht="15" hidden="1" outlineLevel="1" x14ac:dyDescent="0.2">
      <c r="A554" s="1360"/>
      <c r="B554" s="1366" t="s">
        <v>601</v>
      </c>
      <c r="C554" s="2048"/>
      <c r="D554" s="2156">
        <f>IF(([3]Трудозатраты!H522+[3]Трудозатраты!H525+[3]Трудозатраты!H530+[3]Трудозатраты!H533)&gt;0,1,0)</f>
        <v>0</v>
      </c>
      <c r="E554" s="523" t="s">
        <v>218</v>
      </c>
      <c r="F554" s="2168"/>
      <c r="G554" s="2178"/>
      <c r="H554" s="1367"/>
      <c r="I554" s="2043">
        <f>I556+I559+I564+I567+I571+I572+I573</f>
        <v>0</v>
      </c>
      <c r="J554" s="524"/>
      <c r="K554" s="524"/>
      <c r="L554" s="526"/>
      <c r="M554" s="1368"/>
      <c r="N554" s="524"/>
      <c r="O554" s="1369"/>
      <c r="P554" s="1368"/>
      <c r="Q554" s="1370"/>
      <c r="R554" s="1368"/>
      <c r="S554" s="1371">
        <f>SUM(T555:T573)</f>
        <v>0</v>
      </c>
      <c r="T554" s="1370"/>
      <c r="U554" s="2028">
        <f t="shared" si="449"/>
        <v>0</v>
      </c>
      <c r="V554" s="1357"/>
      <c r="W554" s="1357"/>
      <c r="X554" s="1357"/>
      <c r="Y554" s="1357"/>
      <c r="AD554" s="2141" t="str">
        <f t="shared" si="611"/>
        <v/>
      </c>
      <c r="AE554" s="2142" t="str">
        <f t="shared" si="649"/>
        <v/>
      </c>
      <c r="AG554" s="2118" t="s">
        <v>1816</v>
      </c>
    </row>
    <row r="555" spans="1:33" ht="42.75" hidden="1" outlineLevel="2" x14ac:dyDescent="0.2">
      <c r="A555" s="1360"/>
      <c r="B555" s="1384" t="s">
        <v>1132</v>
      </c>
      <c r="C555" s="528"/>
      <c r="D555" s="2157"/>
      <c r="E555" s="529" t="s">
        <v>218</v>
      </c>
      <c r="F555" s="2169"/>
      <c r="G555" s="2184"/>
      <c r="H555" s="1385"/>
      <c r="I555" s="530"/>
      <c r="J555" s="530"/>
      <c r="K555" s="530"/>
      <c r="L555" s="531"/>
      <c r="M555" s="1386"/>
      <c r="N555" s="530"/>
      <c r="O555" s="1387"/>
      <c r="P555" s="1386"/>
      <c r="Q555" s="1388"/>
      <c r="R555" s="1386"/>
      <c r="S555" s="1386"/>
      <c r="T555" s="1388"/>
      <c r="U555" s="2028">
        <f t="shared" si="449"/>
        <v>0</v>
      </c>
      <c r="V555" s="1357"/>
      <c r="W555" s="1357"/>
      <c r="X555" s="1357"/>
      <c r="Y555" s="1357"/>
      <c r="AD555" s="2141" t="str">
        <f t="shared" si="611"/>
        <v/>
      </c>
      <c r="AE555" s="2142" t="str">
        <f t="shared" si="649"/>
        <v/>
      </c>
      <c r="AG555" s="2118" t="s">
        <v>1816</v>
      </c>
    </row>
    <row r="556" spans="1:33" ht="43.5" hidden="1" outlineLevel="3" x14ac:dyDescent="0.2">
      <c r="A556" s="1360">
        <f>A553+1</f>
        <v>147</v>
      </c>
      <c r="B556" s="1389" t="s">
        <v>1601</v>
      </c>
      <c r="C556" s="532" t="s">
        <v>602</v>
      </c>
      <c r="D556" s="1391">
        <v>4</v>
      </c>
      <c r="E556" s="499" t="s">
        <v>462</v>
      </c>
      <c r="F556" s="2046" t="s">
        <v>303</v>
      </c>
      <c r="G556" s="1383">
        <v>0.19700000000000001</v>
      </c>
      <c r="H556" s="1373"/>
      <c r="I556" s="1359">
        <f t="shared" ref="I556:I562" si="662">IF(G556=0,0,IF(H556&gt;0,IF((G556*H556/K556)&lt;0.084,0.084,(G556*H556/K556)),0))</f>
        <v>0</v>
      </c>
      <c r="J556" s="1374" t="str">
        <f t="shared" ref="J556:J562" si="663">CONCATENATE(TRUNC(I556,0),":",INT((I556-(TRUNC(I556,0)))*60),":","00")</f>
        <v>0:0:00</v>
      </c>
      <c r="K556" s="500">
        <v>1000</v>
      </c>
      <c r="L556" s="2009">
        <v>18.75</v>
      </c>
      <c r="M556" s="1375">
        <f t="shared" ref="M556:M562" si="664">H556*L556/K556</f>
        <v>0</v>
      </c>
      <c r="N556" s="1376">
        <v>1</v>
      </c>
      <c r="O556" s="1377">
        <f t="shared" ref="O556:O562" si="665">M556*N556</f>
        <v>0</v>
      </c>
      <c r="P556" s="1375">
        <f t="shared" ref="P556:P562" si="666">(M556+O556)*0.15</f>
        <v>0</v>
      </c>
      <c r="Q556" s="1378">
        <f t="shared" ref="Q556:Q562" si="667">M556+O556+P556</f>
        <v>0</v>
      </c>
      <c r="R556" s="1375">
        <f t="shared" ref="R556:R562" si="668">Q556*$R$1</f>
        <v>0</v>
      </c>
      <c r="S556" s="1375">
        <f t="shared" ref="S556:S562" si="669">(Q556+R556)*$S$1</f>
        <v>0</v>
      </c>
      <c r="T556" s="1375">
        <f t="shared" ref="T556:T562" si="670">Q556+R556+S556</f>
        <v>0</v>
      </c>
      <c r="U556" s="2028">
        <f t="shared" si="449"/>
        <v>0</v>
      </c>
      <c r="V556" s="1357"/>
      <c r="W556" s="1357"/>
      <c r="X556" s="1357"/>
      <c r="Y556" s="1357"/>
      <c r="AD556" s="2141">
        <f t="shared" si="611"/>
        <v>2.6</v>
      </c>
      <c r="AE556" s="2142" t="str">
        <f t="shared" si="649"/>
        <v/>
      </c>
      <c r="AG556" s="2118" t="s">
        <v>1816</v>
      </c>
    </row>
    <row r="557" spans="1:33" ht="43.5" hidden="1" outlineLevel="3" x14ac:dyDescent="0.2">
      <c r="A557" s="1360">
        <f>A556+1</f>
        <v>148</v>
      </c>
      <c r="B557" s="1389" t="s">
        <v>1602</v>
      </c>
      <c r="C557" s="532" t="s">
        <v>602</v>
      </c>
      <c r="D557" s="1391">
        <v>2</v>
      </c>
      <c r="E557" s="499" t="s">
        <v>462</v>
      </c>
      <c r="F557" s="2046" t="s">
        <v>303</v>
      </c>
      <c r="G557" s="1383">
        <v>0.19700000000000001</v>
      </c>
      <c r="H557" s="1373">
        <f>H556</f>
        <v>0</v>
      </c>
      <c r="I557" s="1359">
        <f t="shared" si="662"/>
        <v>0</v>
      </c>
      <c r="J557" s="1374" t="str">
        <f t="shared" si="663"/>
        <v>0:0:00</v>
      </c>
      <c r="K557" s="500">
        <v>1000</v>
      </c>
      <c r="L557" s="2009">
        <v>12.46</v>
      </c>
      <c r="M557" s="1375">
        <f t="shared" si="664"/>
        <v>0</v>
      </c>
      <c r="N557" s="1376">
        <v>1</v>
      </c>
      <c r="O557" s="1377">
        <f t="shared" si="665"/>
        <v>0</v>
      </c>
      <c r="P557" s="1375">
        <f t="shared" si="666"/>
        <v>0</v>
      </c>
      <c r="Q557" s="1378">
        <f t="shared" si="667"/>
        <v>0</v>
      </c>
      <c r="R557" s="1375">
        <f t="shared" si="668"/>
        <v>0</v>
      </c>
      <c r="S557" s="1375">
        <f t="shared" si="669"/>
        <v>0</v>
      </c>
      <c r="T557" s="1375">
        <f t="shared" si="670"/>
        <v>0</v>
      </c>
      <c r="U557" s="2028">
        <f t="shared" si="449"/>
        <v>0</v>
      </c>
      <c r="V557" s="1357"/>
      <c r="W557" s="1357"/>
      <c r="X557" s="1357"/>
      <c r="Y557" s="1357"/>
      <c r="AD557" s="2141">
        <f t="shared" si="611"/>
        <v>1.5</v>
      </c>
      <c r="AE557" s="2142" t="str">
        <f t="shared" si="649"/>
        <v/>
      </c>
      <c r="AG557" s="2118" t="s">
        <v>1816</v>
      </c>
    </row>
    <row r="558" spans="1:33" ht="43.5" hidden="1" outlineLevel="3" x14ac:dyDescent="0.2">
      <c r="A558" s="1360">
        <f t="shared" ref="A558:A562" si="671">A557+1</f>
        <v>149</v>
      </c>
      <c r="B558" s="1389" t="s">
        <v>1602</v>
      </c>
      <c r="C558" s="532" t="s">
        <v>602</v>
      </c>
      <c r="D558" s="1391">
        <v>2</v>
      </c>
      <c r="E558" s="499" t="s">
        <v>462</v>
      </c>
      <c r="F558" s="2046" t="s">
        <v>303</v>
      </c>
      <c r="G558" s="1383">
        <v>0.19700000000000001</v>
      </c>
      <c r="H558" s="1373">
        <f>H556</f>
        <v>0</v>
      </c>
      <c r="I558" s="1359">
        <f t="shared" si="662"/>
        <v>0</v>
      </c>
      <c r="J558" s="1374" t="str">
        <f t="shared" si="663"/>
        <v>0:0:00</v>
      </c>
      <c r="K558" s="500">
        <v>1000</v>
      </c>
      <c r="L558" s="2009">
        <v>12.46</v>
      </c>
      <c r="M558" s="1375">
        <f t="shared" si="664"/>
        <v>0</v>
      </c>
      <c r="N558" s="1376">
        <v>1</v>
      </c>
      <c r="O558" s="1377">
        <f t="shared" si="665"/>
        <v>0</v>
      </c>
      <c r="P558" s="1375">
        <f t="shared" si="666"/>
        <v>0</v>
      </c>
      <c r="Q558" s="1378">
        <f t="shared" si="667"/>
        <v>0</v>
      </c>
      <c r="R558" s="1375">
        <f t="shared" si="668"/>
        <v>0</v>
      </c>
      <c r="S558" s="1375">
        <f t="shared" si="669"/>
        <v>0</v>
      </c>
      <c r="T558" s="1375">
        <f t="shared" si="670"/>
        <v>0</v>
      </c>
      <c r="U558" s="2028">
        <f t="shared" si="449"/>
        <v>0</v>
      </c>
      <c r="V558" s="1357"/>
      <c r="W558" s="1357"/>
      <c r="X558" s="1357"/>
      <c r="Y558" s="1357"/>
      <c r="AD558" s="2141">
        <f t="shared" si="611"/>
        <v>1.5</v>
      </c>
      <c r="AE558" s="2142" t="str">
        <f t="shared" si="649"/>
        <v/>
      </c>
      <c r="AG558" s="2118" t="s">
        <v>1816</v>
      </c>
    </row>
    <row r="559" spans="1:33" ht="43.5" hidden="1" outlineLevel="3" x14ac:dyDescent="0.2">
      <c r="A559" s="1360">
        <f t="shared" si="671"/>
        <v>150</v>
      </c>
      <c r="B559" s="1389" t="s">
        <v>1603</v>
      </c>
      <c r="C559" s="532" t="s">
        <v>603</v>
      </c>
      <c r="D559" s="1391">
        <v>4</v>
      </c>
      <c r="E559" s="499" t="s">
        <v>462</v>
      </c>
      <c r="F559" s="2046" t="s">
        <v>303</v>
      </c>
      <c r="G559" s="1383">
        <v>0.21099999999999999</v>
      </c>
      <c r="H559" s="1373"/>
      <c r="I559" s="1359">
        <f t="shared" si="662"/>
        <v>0</v>
      </c>
      <c r="J559" s="1374" t="str">
        <f t="shared" si="663"/>
        <v>0:0:00</v>
      </c>
      <c r="K559" s="500">
        <v>1000</v>
      </c>
      <c r="L559" s="2009">
        <v>20.079999999999998</v>
      </c>
      <c r="M559" s="1375">
        <f t="shared" si="664"/>
        <v>0</v>
      </c>
      <c r="N559" s="1376">
        <v>1</v>
      </c>
      <c r="O559" s="1377">
        <f t="shared" si="665"/>
        <v>0</v>
      </c>
      <c r="P559" s="1375">
        <f t="shared" si="666"/>
        <v>0</v>
      </c>
      <c r="Q559" s="1378">
        <f t="shared" si="667"/>
        <v>0</v>
      </c>
      <c r="R559" s="1375">
        <f t="shared" si="668"/>
        <v>0</v>
      </c>
      <c r="S559" s="1375">
        <f t="shared" si="669"/>
        <v>0</v>
      </c>
      <c r="T559" s="1375">
        <f t="shared" si="670"/>
        <v>0</v>
      </c>
      <c r="U559" s="2028">
        <f t="shared" si="449"/>
        <v>0</v>
      </c>
      <c r="V559" s="1357"/>
      <c r="W559" s="1357"/>
      <c r="X559" s="1357"/>
      <c r="Y559" s="1357"/>
      <c r="AD559" s="2141">
        <f t="shared" si="611"/>
        <v>2.6</v>
      </c>
      <c r="AE559" s="2142" t="str">
        <f t="shared" si="649"/>
        <v/>
      </c>
      <c r="AG559" s="2118" t="s">
        <v>1816</v>
      </c>
    </row>
    <row r="560" spans="1:33" ht="43.5" hidden="1" outlineLevel="3" x14ac:dyDescent="0.2">
      <c r="A560" s="1360">
        <f t="shared" si="671"/>
        <v>151</v>
      </c>
      <c r="B560" s="1389" t="s">
        <v>1604</v>
      </c>
      <c r="C560" s="532" t="s">
        <v>603</v>
      </c>
      <c r="D560" s="1391">
        <v>2</v>
      </c>
      <c r="E560" s="499" t="s">
        <v>462</v>
      </c>
      <c r="F560" s="2046" t="s">
        <v>303</v>
      </c>
      <c r="G560" s="1383">
        <v>0.21099999999999999</v>
      </c>
      <c r="H560" s="1373">
        <f>H559</f>
        <v>0</v>
      </c>
      <c r="I560" s="1359">
        <f t="shared" si="662"/>
        <v>0</v>
      </c>
      <c r="J560" s="1374" t="str">
        <f t="shared" si="663"/>
        <v>0:0:00</v>
      </c>
      <c r="K560" s="500">
        <v>1000</v>
      </c>
      <c r="L560" s="2009">
        <v>13.35</v>
      </c>
      <c r="M560" s="1375">
        <f t="shared" si="664"/>
        <v>0</v>
      </c>
      <c r="N560" s="1376">
        <v>1</v>
      </c>
      <c r="O560" s="1377">
        <f t="shared" si="665"/>
        <v>0</v>
      </c>
      <c r="P560" s="1375">
        <f t="shared" si="666"/>
        <v>0</v>
      </c>
      <c r="Q560" s="1378">
        <f t="shared" si="667"/>
        <v>0</v>
      </c>
      <c r="R560" s="1375">
        <f t="shared" si="668"/>
        <v>0</v>
      </c>
      <c r="S560" s="1375">
        <f t="shared" si="669"/>
        <v>0</v>
      </c>
      <c r="T560" s="1375">
        <f t="shared" si="670"/>
        <v>0</v>
      </c>
      <c r="U560" s="2028">
        <f t="shared" si="449"/>
        <v>0</v>
      </c>
      <c r="V560" s="1357"/>
      <c r="W560" s="1357"/>
      <c r="X560" s="1357"/>
      <c r="Y560" s="1357"/>
      <c r="AD560" s="2141">
        <f t="shared" si="611"/>
        <v>1.5</v>
      </c>
      <c r="AE560" s="2142" t="str">
        <f t="shared" si="649"/>
        <v/>
      </c>
      <c r="AG560" s="2118" t="s">
        <v>1816</v>
      </c>
    </row>
    <row r="561" spans="1:33" ht="43.5" hidden="1" outlineLevel="3" x14ac:dyDescent="0.2">
      <c r="A561" s="1360">
        <f t="shared" si="671"/>
        <v>152</v>
      </c>
      <c r="B561" s="1389" t="s">
        <v>1604</v>
      </c>
      <c r="C561" s="532" t="s">
        <v>603</v>
      </c>
      <c r="D561" s="1391">
        <v>2</v>
      </c>
      <c r="E561" s="499" t="s">
        <v>462</v>
      </c>
      <c r="F561" s="2046" t="s">
        <v>303</v>
      </c>
      <c r="G561" s="1383">
        <v>0.21099999999999999</v>
      </c>
      <c r="H561" s="1373">
        <f>H559</f>
        <v>0</v>
      </c>
      <c r="I561" s="1359">
        <f t="shared" si="662"/>
        <v>0</v>
      </c>
      <c r="J561" s="1374" t="str">
        <f t="shared" si="663"/>
        <v>0:0:00</v>
      </c>
      <c r="K561" s="500">
        <v>1000</v>
      </c>
      <c r="L561" s="2009">
        <v>13.35</v>
      </c>
      <c r="M561" s="1375">
        <f t="shared" si="664"/>
        <v>0</v>
      </c>
      <c r="N561" s="1376">
        <v>1</v>
      </c>
      <c r="O561" s="1377">
        <f t="shared" si="665"/>
        <v>0</v>
      </c>
      <c r="P561" s="1375">
        <f t="shared" si="666"/>
        <v>0</v>
      </c>
      <c r="Q561" s="1378">
        <f t="shared" si="667"/>
        <v>0</v>
      </c>
      <c r="R561" s="1375">
        <f t="shared" si="668"/>
        <v>0</v>
      </c>
      <c r="S561" s="1375">
        <f t="shared" si="669"/>
        <v>0</v>
      </c>
      <c r="T561" s="1375">
        <f t="shared" si="670"/>
        <v>0</v>
      </c>
      <c r="U561" s="2028">
        <f t="shared" si="449"/>
        <v>0</v>
      </c>
      <c r="V561" s="1357"/>
      <c r="W561" s="1357"/>
      <c r="X561" s="1357"/>
      <c r="Y561" s="1357"/>
      <c r="AD561" s="2141">
        <f t="shared" ref="AD561:AD624" si="672">IF(D561&gt;0,LOOKUP(D561,$Z$30:$Z$33,$AA$30:$AA$33),"")</f>
        <v>1.5</v>
      </c>
      <c r="AE561" s="2142" t="str">
        <f t="shared" si="649"/>
        <v/>
      </c>
      <c r="AG561" s="2118" t="s">
        <v>1816</v>
      </c>
    </row>
    <row r="562" spans="1:33" ht="43.5" hidden="1" outlineLevel="3" x14ac:dyDescent="0.2">
      <c r="A562" s="1360">
        <f t="shared" si="671"/>
        <v>153</v>
      </c>
      <c r="B562" s="1389" t="s">
        <v>1604</v>
      </c>
      <c r="C562" s="532" t="s">
        <v>603</v>
      </c>
      <c r="D562" s="1391">
        <v>2</v>
      </c>
      <c r="E562" s="499" t="s">
        <v>462</v>
      </c>
      <c r="F562" s="2046" t="s">
        <v>303</v>
      </c>
      <c r="G562" s="1383">
        <v>0.21099999999999999</v>
      </c>
      <c r="H562" s="1373">
        <f>H559</f>
        <v>0</v>
      </c>
      <c r="I562" s="1359">
        <f t="shared" si="662"/>
        <v>0</v>
      </c>
      <c r="J562" s="1374" t="str">
        <f t="shared" si="663"/>
        <v>0:0:00</v>
      </c>
      <c r="K562" s="500">
        <v>1000</v>
      </c>
      <c r="L562" s="2009">
        <v>13.35</v>
      </c>
      <c r="M562" s="1375">
        <f t="shared" si="664"/>
        <v>0</v>
      </c>
      <c r="N562" s="1376">
        <v>1</v>
      </c>
      <c r="O562" s="1377">
        <f t="shared" si="665"/>
        <v>0</v>
      </c>
      <c r="P562" s="1375">
        <f t="shared" si="666"/>
        <v>0</v>
      </c>
      <c r="Q562" s="1378">
        <f t="shared" si="667"/>
        <v>0</v>
      </c>
      <c r="R562" s="1375">
        <f t="shared" si="668"/>
        <v>0</v>
      </c>
      <c r="S562" s="1375">
        <f t="shared" si="669"/>
        <v>0</v>
      </c>
      <c r="T562" s="1375">
        <f t="shared" si="670"/>
        <v>0</v>
      </c>
      <c r="U562" s="2028">
        <f t="shared" si="449"/>
        <v>0</v>
      </c>
      <c r="V562" s="1357"/>
      <c r="W562" s="1357"/>
      <c r="X562" s="1357"/>
      <c r="Y562" s="1357"/>
      <c r="AD562" s="2141">
        <f t="shared" si="672"/>
        <v>1.5</v>
      </c>
      <c r="AE562" s="2142" t="str">
        <f t="shared" si="649"/>
        <v/>
      </c>
      <c r="AG562" s="2118" t="s">
        <v>1816</v>
      </c>
    </row>
    <row r="563" spans="1:33" ht="42.75" hidden="1" outlineLevel="2" x14ac:dyDescent="0.2">
      <c r="A563" s="1360"/>
      <c r="B563" s="1384" t="s">
        <v>1133</v>
      </c>
      <c r="C563" s="528"/>
      <c r="D563" s="2157"/>
      <c r="E563" s="529" t="s">
        <v>218</v>
      </c>
      <c r="F563" s="2169"/>
      <c r="G563" s="2184"/>
      <c r="H563" s="1385"/>
      <c r="I563" s="1436"/>
      <c r="J563" s="530"/>
      <c r="K563" s="530"/>
      <c r="L563" s="533"/>
      <c r="M563" s="1386"/>
      <c r="N563" s="530"/>
      <c r="O563" s="1387"/>
      <c r="P563" s="1386"/>
      <c r="Q563" s="1388"/>
      <c r="R563" s="1386"/>
      <c r="S563" s="1386"/>
      <c r="T563" s="1388"/>
      <c r="U563" s="2028">
        <f t="shared" si="449"/>
        <v>0</v>
      </c>
      <c r="V563" s="1357"/>
      <c r="W563" s="1357"/>
      <c r="X563" s="1357"/>
      <c r="Y563" s="1357"/>
      <c r="AD563" s="2141" t="str">
        <f t="shared" si="672"/>
        <v/>
      </c>
      <c r="AE563" s="2142" t="str">
        <f t="shared" si="649"/>
        <v/>
      </c>
      <c r="AG563" s="2118" t="s">
        <v>1816</v>
      </c>
    </row>
    <row r="564" spans="1:33" ht="43.5" hidden="1" outlineLevel="3" x14ac:dyDescent="0.2">
      <c r="A564" s="1360">
        <f>A562+1</f>
        <v>154</v>
      </c>
      <c r="B564" s="1389" t="s">
        <v>1605</v>
      </c>
      <c r="C564" s="532" t="s">
        <v>604</v>
      </c>
      <c r="D564" s="1391">
        <v>4</v>
      </c>
      <c r="E564" s="499" t="s">
        <v>462</v>
      </c>
      <c r="F564" s="2046" t="s">
        <v>303</v>
      </c>
      <c r="G564" s="1383">
        <v>0.23200000000000001</v>
      </c>
      <c r="H564" s="1373"/>
      <c r="I564" s="1359">
        <f t="shared" ref="I564:I573" si="673">IF(G564=0,0,IF(H564&gt;0,IF((G564*H564/K564)&lt;0.084,0.084,(G564*H564/K564)),0))</f>
        <v>0</v>
      </c>
      <c r="J564" s="1374" t="str">
        <f t="shared" ref="J564:J572" si="674">CONCATENATE(TRUNC(I564,0),":",INT((I564-(TRUNC(I564,0)))*60),":","00")</f>
        <v>0:0:00</v>
      </c>
      <c r="K564" s="500">
        <v>1000</v>
      </c>
      <c r="L564" s="2009">
        <v>22.08</v>
      </c>
      <c r="M564" s="1375">
        <f t="shared" ref="M564:M572" si="675">H564*L564/K564</f>
        <v>0</v>
      </c>
      <c r="N564" s="1376">
        <v>1</v>
      </c>
      <c r="O564" s="1377">
        <f t="shared" ref="O564:O572" si="676">M564*N564</f>
        <v>0</v>
      </c>
      <c r="P564" s="1375">
        <f t="shared" ref="P564:P572" si="677">(M564+O564)*0.15</f>
        <v>0</v>
      </c>
      <c r="Q564" s="1378">
        <f t="shared" ref="Q564:Q572" si="678">M564+O564+P564</f>
        <v>0</v>
      </c>
      <c r="R564" s="1375">
        <f t="shared" ref="R564:R572" si="679">Q564*$R$1</f>
        <v>0</v>
      </c>
      <c r="S564" s="1375">
        <f t="shared" ref="S564:S572" si="680">(Q564+R564)*$S$1</f>
        <v>0</v>
      </c>
      <c r="T564" s="1375">
        <f t="shared" ref="T564:T572" si="681">Q564+R564+S564</f>
        <v>0</v>
      </c>
      <c r="U564" s="2028">
        <f t="shared" si="449"/>
        <v>0</v>
      </c>
      <c r="V564" s="1357"/>
      <c r="W564" s="1357"/>
      <c r="X564" s="1357"/>
      <c r="Y564" s="1357"/>
      <c r="AD564" s="2141">
        <f t="shared" si="672"/>
        <v>2.6</v>
      </c>
      <c r="AE564" s="2142" t="str">
        <f t="shared" si="649"/>
        <v/>
      </c>
      <c r="AG564" s="2118" t="s">
        <v>1816</v>
      </c>
    </row>
    <row r="565" spans="1:33" ht="43.5" hidden="1" outlineLevel="3" x14ac:dyDescent="0.2">
      <c r="A565" s="1360">
        <f>A564+1</f>
        <v>155</v>
      </c>
      <c r="B565" s="1389" t="s">
        <v>1606</v>
      </c>
      <c r="C565" s="532" t="s">
        <v>604</v>
      </c>
      <c r="D565" s="1391">
        <v>2</v>
      </c>
      <c r="E565" s="499" t="s">
        <v>462</v>
      </c>
      <c r="F565" s="2046" t="s">
        <v>303</v>
      </c>
      <c r="G565" s="1383">
        <v>0.23200000000000001</v>
      </c>
      <c r="H565" s="1373">
        <f>H564</f>
        <v>0</v>
      </c>
      <c r="I565" s="1359">
        <f t="shared" si="673"/>
        <v>0</v>
      </c>
      <c r="J565" s="1374" t="str">
        <f t="shared" si="674"/>
        <v>0:0:00</v>
      </c>
      <c r="K565" s="500">
        <v>1000</v>
      </c>
      <c r="L565" s="2009">
        <v>14.68</v>
      </c>
      <c r="M565" s="1375">
        <f t="shared" si="675"/>
        <v>0</v>
      </c>
      <c r="N565" s="1376">
        <v>1</v>
      </c>
      <c r="O565" s="1377">
        <f t="shared" si="676"/>
        <v>0</v>
      </c>
      <c r="P565" s="1375">
        <f t="shared" si="677"/>
        <v>0</v>
      </c>
      <c r="Q565" s="1378">
        <f t="shared" si="678"/>
        <v>0</v>
      </c>
      <c r="R565" s="1375">
        <f t="shared" si="679"/>
        <v>0</v>
      </c>
      <c r="S565" s="1375">
        <f t="shared" si="680"/>
        <v>0</v>
      </c>
      <c r="T565" s="1375">
        <f t="shared" si="681"/>
        <v>0</v>
      </c>
      <c r="U565" s="2028">
        <f t="shared" si="449"/>
        <v>0</v>
      </c>
      <c r="V565" s="1357"/>
      <c r="W565" s="1357"/>
      <c r="X565" s="1357"/>
      <c r="Y565" s="1357"/>
      <c r="AD565" s="2141">
        <f t="shared" si="672"/>
        <v>1.5</v>
      </c>
      <c r="AE565" s="2142" t="str">
        <f t="shared" si="649"/>
        <v/>
      </c>
      <c r="AG565" s="2118" t="s">
        <v>1816</v>
      </c>
    </row>
    <row r="566" spans="1:33" ht="43.5" hidden="1" outlineLevel="3" x14ac:dyDescent="0.2">
      <c r="A566" s="1360">
        <f t="shared" ref="A566:A573" si="682">A565+1</f>
        <v>156</v>
      </c>
      <c r="B566" s="1389" t="s">
        <v>1606</v>
      </c>
      <c r="C566" s="532" t="s">
        <v>604</v>
      </c>
      <c r="D566" s="1391">
        <v>2</v>
      </c>
      <c r="E566" s="499" t="s">
        <v>462</v>
      </c>
      <c r="F566" s="2046" t="s">
        <v>303</v>
      </c>
      <c r="G566" s="1383">
        <v>0.23200000000000001</v>
      </c>
      <c r="H566" s="1373">
        <f>H564</f>
        <v>0</v>
      </c>
      <c r="I566" s="1359">
        <f t="shared" si="673"/>
        <v>0</v>
      </c>
      <c r="J566" s="1374" t="str">
        <f t="shared" si="674"/>
        <v>0:0:00</v>
      </c>
      <c r="K566" s="500">
        <v>1000</v>
      </c>
      <c r="L566" s="2009">
        <v>14.68</v>
      </c>
      <c r="M566" s="1375">
        <f t="shared" si="675"/>
        <v>0</v>
      </c>
      <c r="N566" s="1376">
        <v>1</v>
      </c>
      <c r="O566" s="1377">
        <f t="shared" si="676"/>
        <v>0</v>
      </c>
      <c r="P566" s="1375">
        <f t="shared" si="677"/>
        <v>0</v>
      </c>
      <c r="Q566" s="1378">
        <f t="shared" si="678"/>
        <v>0</v>
      </c>
      <c r="R566" s="1375">
        <f t="shared" si="679"/>
        <v>0</v>
      </c>
      <c r="S566" s="1375">
        <f t="shared" si="680"/>
        <v>0</v>
      </c>
      <c r="T566" s="1375">
        <f t="shared" si="681"/>
        <v>0</v>
      </c>
      <c r="U566" s="2028">
        <f t="shared" si="449"/>
        <v>0</v>
      </c>
      <c r="V566" s="1357"/>
      <c r="W566" s="1357"/>
      <c r="X566" s="1357"/>
      <c r="Y566" s="1357"/>
      <c r="AD566" s="2141">
        <f t="shared" si="672"/>
        <v>1.5</v>
      </c>
      <c r="AE566" s="2142" t="str">
        <f t="shared" si="649"/>
        <v/>
      </c>
      <c r="AG566" s="2118" t="s">
        <v>1816</v>
      </c>
    </row>
    <row r="567" spans="1:33" ht="43.5" hidden="1" outlineLevel="3" x14ac:dyDescent="0.2">
      <c r="A567" s="1360">
        <f t="shared" si="682"/>
        <v>157</v>
      </c>
      <c r="B567" s="1389" t="s">
        <v>1607</v>
      </c>
      <c r="C567" s="532" t="s">
        <v>605</v>
      </c>
      <c r="D567" s="1391">
        <v>4</v>
      </c>
      <c r="E567" s="499" t="s">
        <v>462</v>
      </c>
      <c r="F567" s="2046" t="s">
        <v>303</v>
      </c>
      <c r="G567" s="1383">
        <v>0.248</v>
      </c>
      <c r="H567" s="1373"/>
      <c r="I567" s="1359">
        <f t="shared" si="673"/>
        <v>0</v>
      </c>
      <c r="J567" s="1374" t="str">
        <f t="shared" si="674"/>
        <v>0:0:00</v>
      </c>
      <c r="K567" s="500">
        <v>1000</v>
      </c>
      <c r="L567" s="2009">
        <v>23.6</v>
      </c>
      <c r="M567" s="1375">
        <f t="shared" si="675"/>
        <v>0</v>
      </c>
      <c r="N567" s="1376">
        <v>1</v>
      </c>
      <c r="O567" s="1377">
        <f t="shared" si="676"/>
        <v>0</v>
      </c>
      <c r="P567" s="1375">
        <f t="shared" si="677"/>
        <v>0</v>
      </c>
      <c r="Q567" s="1378">
        <f t="shared" si="678"/>
        <v>0</v>
      </c>
      <c r="R567" s="1375">
        <f t="shared" si="679"/>
        <v>0</v>
      </c>
      <c r="S567" s="1375">
        <f t="shared" si="680"/>
        <v>0</v>
      </c>
      <c r="T567" s="1375">
        <f t="shared" si="681"/>
        <v>0</v>
      </c>
      <c r="U567" s="2028">
        <f t="shared" si="449"/>
        <v>0</v>
      </c>
      <c r="V567" s="1357"/>
      <c r="W567" s="1357"/>
      <c r="X567" s="1357"/>
      <c r="Y567" s="1357"/>
      <c r="AD567" s="2141">
        <f t="shared" si="672"/>
        <v>2.6</v>
      </c>
      <c r="AE567" s="2142" t="str">
        <f t="shared" si="649"/>
        <v/>
      </c>
      <c r="AG567" s="2118" t="s">
        <v>1816</v>
      </c>
    </row>
    <row r="568" spans="1:33" ht="43.5" hidden="1" outlineLevel="3" x14ac:dyDescent="0.2">
      <c r="A568" s="1360">
        <f t="shared" si="682"/>
        <v>158</v>
      </c>
      <c r="B568" s="1389" t="s">
        <v>1608</v>
      </c>
      <c r="C568" s="532" t="s">
        <v>605</v>
      </c>
      <c r="D568" s="1391">
        <v>2</v>
      </c>
      <c r="E568" s="499" t="s">
        <v>462</v>
      </c>
      <c r="F568" s="2046" t="s">
        <v>303</v>
      </c>
      <c r="G568" s="1383">
        <v>0.248</v>
      </c>
      <c r="H568" s="1373">
        <f>H567</f>
        <v>0</v>
      </c>
      <c r="I568" s="1359">
        <f t="shared" si="673"/>
        <v>0</v>
      </c>
      <c r="J568" s="1374" t="str">
        <f t="shared" si="674"/>
        <v>0:0:00</v>
      </c>
      <c r="K568" s="500">
        <v>1000</v>
      </c>
      <c r="L568" s="2009">
        <v>15.69</v>
      </c>
      <c r="M568" s="1375">
        <f t="shared" si="675"/>
        <v>0</v>
      </c>
      <c r="N568" s="1376">
        <v>1</v>
      </c>
      <c r="O568" s="1377">
        <f t="shared" si="676"/>
        <v>0</v>
      </c>
      <c r="P568" s="1375">
        <f t="shared" si="677"/>
        <v>0</v>
      </c>
      <c r="Q568" s="1378">
        <f t="shared" si="678"/>
        <v>0</v>
      </c>
      <c r="R568" s="1375">
        <f t="shared" si="679"/>
        <v>0</v>
      </c>
      <c r="S568" s="1375">
        <f t="shared" si="680"/>
        <v>0</v>
      </c>
      <c r="T568" s="1375">
        <f t="shared" si="681"/>
        <v>0</v>
      </c>
      <c r="U568" s="2028">
        <f t="shared" si="449"/>
        <v>0</v>
      </c>
      <c r="V568" s="1357"/>
      <c r="W568" s="1357"/>
      <c r="X568" s="1357"/>
      <c r="Y568" s="1357"/>
      <c r="AD568" s="2141">
        <f t="shared" si="672"/>
        <v>1.5</v>
      </c>
      <c r="AE568" s="2142" t="str">
        <f t="shared" si="649"/>
        <v/>
      </c>
      <c r="AG568" s="2118" t="s">
        <v>1816</v>
      </c>
    </row>
    <row r="569" spans="1:33" ht="43.5" hidden="1" outlineLevel="3" x14ac:dyDescent="0.2">
      <c r="A569" s="1360">
        <f t="shared" si="682"/>
        <v>159</v>
      </c>
      <c r="B569" s="1389" t="s">
        <v>1608</v>
      </c>
      <c r="C569" s="532" t="s">
        <v>605</v>
      </c>
      <c r="D569" s="1391">
        <v>2</v>
      </c>
      <c r="E569" s="499" t="s">
        <v>462</v>
      </c>
      <c r="F569" s="2046" t="s">
        <v>303</v>
      </c>
      <c r="G569" s="1383">
        <v>0.248</v>
      </c>
      <c r="H569" s="1373">
        <f>H567</f>
        <v>0</v>
      </c>
      <c r="I569" s="1359">
        <f t="shared" si="673"/>
        <v>0</v>
      </c>
      <c r="J569" s="1374" t="str">
        <f t="shared" si="674"/>
        <v>0:0:00</v>
      </c>
      <c r="K569" s="500">
        <v>1000</v>
      </c>
      <c r="L569" s="2009">
        <v>15.69</v>
      </c>
      <c r="M569" s="1375">
        <f t="shared" si="675"/>
        <v>0</v>
      </c>
      <c r="N569" s="1376">
        <v>1</v>
      </c>
      <c r="O569" s="1377">
        <f t="shared" si="676"/>
        <v>0</v>
      </c>
      <c r="P569" s="1375">
        <f t="shared" si="677"/>
        <v>0</v>
      </c>
      <c r="Q569" s="1378">
        <f t="shared" si="678"/>
        <v>0</v>
      </c>
      <c r="R569" s="1375">
        <f t="shared" si="679"/>
        <v>0</v>
      </c>
      <c r="S569" s="1375">
        <f t="shared" si="680"/>
        <v>0</v>
      </c>
      <c r="T569" s="1375">
        <f t="shared" si="681"/>
        <v>0</v>
      </c>
      <c r="U569" s="2028">
        <f t="shared" si="449"/>
        <v>0</v>
      </c>
      <c r="V569" s="1357"/>
      <c r="W569" s="1357"/>
      <c r="X569" s="1357"/>
      <c r="Y569" s="1357"/>
      <c r="AD569" s="2141">
        <f t="shared" si="672"/>
        <v>1.5</v>
      </c>
      <c r="AE569" s="2142" t="str">
        <f t="shared" si="649"/>
        <v/>
      </c>
      <c r="AG569" s="2118" t="s">
        <v>1816</v>
      </c>
    </row>
    <row r="570" spans="1:33" ht="43.5" hidden="1" outlineLevel="3" x14ac:dyDescent="0.2">
      <c r="A570" s="1360">
        <f t="shared" si="682"/>
        <v>160</v>
      </c>
      <c r="B570" s="1389" t="s">
        <v>1608</v>
      </c>
      <c r="C570" s="532" t="s">
        <v>605</v>
      </c>
      <c r="D570" s="1391">
        <v>2</v>
      </c>
      <c r="E570" s="499" t="s">
        <v>462</v>
      </c>
      <c r="F570" s="2046" t="s">
        <v>303</v>
      </c>
      <c r="G570" s="1383">
        <v>0.248</v>
      </c>
      <c r="H570" s="1373">
        <f>H567</f>
        <v>0</v>
      </c>
      <c r="I570" s="1359">
        <f t="shared" si="673"/>
        <v>0</v>
      </c>
      <c r="J570" s="1374" t="str">
        <f t="shared" si="674"/>
        <v>0:0:00</v>
      </c>
      <c r="K570" s="500">
        <v>1000</v>
      </c>
      <c r="L570" s="2009">
        <v>15.69</v>
      </c>
      <c r="M570" s="1375">
        <f t="shared" si="675"/>
        <v>0</v>
      </c>
      <c r="N570" s="1376">
        <v>1</v>
      </c>
      <c r="O570" s="1377">
        <f t="shared" si="676"/>
        <v>0</v>
      </c>
      <c r="P570" s="1375">
        <f t="shared" si="677"/>
        <v>0</v>
      </c>
      <c r="Q570" s="1378">
        <f t="shared" si="678"/>
        <v>0</v>
      </c>
      <c r="R570" s="1375">
        <f t="shared" si="679"/>
        <v>0</v>
      </c>
      <c r="S570" s="1375">
        <f t="shared" si="680"/>
        <v>0</v>
      </c>
      <c r="T570" s="1375">
        <f t="shared" si="681"/>
        <v>0</v>
      </c>
      <c r="U570" s="2028">
        <f t="shared" si="449"/>
        <v>0</v>
      </c>
      <c r="V570" s="1357"/>
      <c r="W570" s="1357"/>
      <c r="X570" s="1357"/>
      <c r="Y570" s="1357"/>
      <c r="AD570" s="2141">
        <f t="shared" si="672"/>
        <v>1.5</v>
      </c>
      <c r="AE570" s="2142" t="str">
        <f t="shared" si="649"/>
        <v/>
      </c>
      <c r="AG570" s="2118" t="s">
        <v>1816</v>
      </c>
    </row>
    <row r="571" spans="1:33" ht="28.5" hidden="1" outlineLevel="3" x14ac:dyDescent="0.2">
      <c r="A571" s="1360">
        <f t="shared" si="682"/>
        <v>161</v>
      </c>
      <c r="B571" s="1372" t="s">
        <v>1609</v>
      </c>
      <c r="C571" s="532" t="s">
        <v>606</v>
      </c>
      <c r="D571" s="1391">
        <v>4</v>
      </c>
      <c r="E571" s="499" t="s">
        <v>462</v>
      </c>
      <c r="F571" s="2046" t="s">
        <v>303</v>
      </c>
      <c r="G571" s="1383">
        <v>0.154</v>
      </c>
      <c r="H571" s="2049">
        <f>IF(H573&gt;0,1,0)</f>
        <v>0</v>
      </c>
      <c r="I571" s="1359">
        <f t="shared" si="673"/>
        <v>0</v>
      </c>
      <c r="J571" s="1374" t="str">
        <f t="shared" ref="J571" si="683">CONCATENATE(TRUNC(I571,0),":",INT((I571-(TRUNC(I571,0)))*60),":","00")</f>
        <v>0:0:00</v>
      </c>
      <c r="K571" s="500">
        <v>1</v>
      </c>
      <c r="L571" s="2009">
        <v>14.65</v>
      </c>
      <c r="M571" s="1375">
        <f t="shared" ref="M571" si="684">H571*L571/K571</f>
        <v>0</v>
      </c>
      <c r="N571" s="1376">
        <v>1</v>
      </c>
      <c r="O571" s="1377">
        <f t="shared" ref="O571" si="685">M571*N571</f>
        <v>0</v>
      </c>
      <c r="P571" s="1375">
        <f t="shared" ref="P571" si="686">(M571+O571)*0.15</f>
        <v>0</v>
      </c>
      <c r="Q571" s="1378">
        <f t="shared" ref="Q571" si="687">M571+O571+P571</f>
        <v>0</v>
      </c>
      <c r="R571" s="1375">
        <f t="shared" ref="R571" si="688">Q571*$R$1</f>
        <v>0</v>
      </c>
      <c r="S571" s="1375">
        <f t="shared" ref="S571" si="689">(Q571+R571)*$S$1</f>
        <v>0</v>
      </c>
      <c r="T571" s="1375">
        <f t="shared" ref="T571" si="690">Q571+R571+S571</f>
        <v>0</v>
      </c>
      <c r="U571" s="2028">
        <f t="shared" ref="U571" si="691">IF(T571&gt;0,1,0)</f>
        <v>0</v>
      </c>
      <c r="V571" s="1357"/>
      <c r="W571" s="1357"/>
      <c r="X571" s="1357"/>
      <c r="Y571" s="1357"/>
      <c r="AD571" s="2141">
        <f t="shared" si="672"/>
        <v>2.6</v>
      </c>
      <c r="AE571" s="2142" t="str">
        <f t="shared" si="649"/>
        <v/>
      </c>
      <c r="AG571" s="2118" t="s">
        <v>1816</v>
      </c>
    </row>
    <row r="572" spans="1:33" ht="28.5" hidden="1" outlineLevel="3" x14ac:dyDescent="0.2">
      <c r="A572" s="1360">
        <f t="shared" si="682"/>
        <v>162</v>
      </c>
      <c r="B572" s="1372" t="s">
        <v>1610</v>
      </c>
      <c r="C572" s="532" t="s">
        <v>606</v>
      </c>
      <c r="D572" s="1391">
        <v>4</v>
      </c>
      <c r="E572" s="499" t="s">
        <v>462</v>
      </c>
      <c r="F572" s="2046" t="s">
        <v>303</v>
      </c>
      <c r="G572" s="1383">
        <v>0.17199999999999999</v>
      </c>
      <c r="H572" s="1373">
        <f>IF(H573&gt;0,1,0)</f>
        <v>0</v>
      </c>
      <c r="I572" s="1359">
        <f t="shared" si="673"/>
        <v>0</v>
      </c>
      <c r="J572" s="1374" t="str">
        <f t="shared" si="674"/>
        <v>0:0:00</v>
      </c>
      <c r="K572" s="500">
        <v>1</v>
      </c>
      <c r="L572" s="2009">
        <v>16.37</v>
      </c>
      <c r="M572" s="1375">
        <f t="shared" si="675"/>
        <v>0</v>
      </c>
      <c r="N572" s="1376">
        <v>1</v>
      </c>
      <c r="O572" s="1377">
        <f t="shared" si="676"/>
        <v>0</v>
      </c>
      <c r="P572" s="1375">
        <f t="shared" si="677"/>
        <v>0</v>
      </c>
      <c r="Q572" s="1378">
        <f t="shared" si="678"/>
        <v>0</v>
      </c>
      <c r="R572" s="1375">
        <f t="shared" si="679"/>
        <v>0</v>
      </c>
      <c r="S572" s="1375">
        <f t="shared" si="680"/>
        <v>0</v>
      </c>
      <c r="T572" s="1375">
        <f t="shared" si="681"/>
        <v>0</v>
      </c>
      <c r="U572" s="2028">
        <f t="shared" si="449"/>
        <v>0</v>
      </c>
      <c r="V572" s="1357"/>
      <c r="W572" s="1357"/>
      <c r="X572" s="1357"/>
      <c r="Y572" s="1357"/>
      <c r="AD572" s="2141">
        <f t="shared" si="672"/>
        <v>2.6</v>
      </c>
      <c r="AE572" s="2142" t="str">
        <f t="shared" si="649"/>
        <v/>
      </c>
      <c r="AG572" s="2118" t="s">
        <v>1816</v>
      </c>
    </row>
    <row r="573" spans="1:33" ht="14.25" hidden="1" outlineLevel="3" x14ac:dyDescent="0.2">
      <c r="A573" s="1360">
        <f t="shared" si="682"/>
        <v>163</v>
      </c>
      <c r="B573" s="1372" t="s">
        <v>1611</v>
      </c>
      <c r="C573" s="532" t="s">
        <v>606</v>
      </c>
      <c r="D573" s="1391">
        <v>4</v>
      </c>
      <c r="E573" s="499" t="s">
        <v>462</v>
      </c>
      <c r="F573" s="2046" t="s">
        <v>303</v>
      </c>
      <c r="G573" s="1383">
        <v>8.4000000000000005E-2</v>
      </c>
      <c r="H573" s="1373">
        <f>IF((H556+H559+H564+H567)&gt;0,Исх!T42,0)</f>
        <v>0</v>
      </c>
      <c r="I573" s="1359">
        <f t="shared" si="673"/>
        <v>0</v>
      </c>
      <c r="J573" s="1374" t="str">
        <f t="shared" ref="J573" si="692">CONCATENATE(TRUNC(I573,0),":",INT((I573-(TRUNC(I573,0)))*60),":","00")</f>
        <v>0:0:00</v>
      </c>
      <c r="K573" s="500">
        <v>1</v>
      </c>
      <c r="L573" s="2009">
        <v>7.99</v>
      </c>
      <c r="M573" s="1375">
        <f t="shared" ref="M573" si="693">H573*L573/K573</f>
        <v>0</v>
      </c>
      <c r="N573" s="1376">
        <v>1</v>
      </c>
      <c r="O573" s="1377">
        <f t="shared" ref="O573" si="694">M573*N573</f>
        <v>0</v>
      </c>
      <c r="P573" s="1375">
        <f t="shared" ref="P573" si="695">(M573+O573)*0.15</f>
        <v>0</v>
      </c>
      <c r="Q573" s="1378">
        <f t="shared" ref="Q573" si="696">M573+O573+P573</f>
        <v>0</v>
      </c>
      <c r="R573" s="1375">
        <f t="shared" ref="R573" si="697">Q573*$R$1</f>
        <v>0</v>
      </c>
      <c r="S573" s="1375">
        <f t="shared" ref="S573" si="698">(Q573+R573)*$S$1</f>
        <v>0</v>
      </c>
      <c r="T573" s="1375">
        <f t="shared" ref="T573" si="699">Q573+R573+S573</f>
        <v>0</v>
      </c>
      <c r="U573" s="2028">
        <f t="shared" ref="U573" si="700">IF(T573&gt;0,1,0)</f>
        <v>0</v>
      </c>
      <c r="V573" s="1357"/>
      <c r="W573" s="1357"/>
      <c r="X573" s="1357"/>
      <c r="Y573" s="1357"/>
      <c r="AD573" s="2141">
        <f t="shared" si="672"/>
        <v>2.6</v>
      </c>
      <c r="AE573" s="2142" t="str">
        <f t="shared" si="649"/>
        <v/>
      </c>
      <c r="AG573" s="2118" t="s">
        <v>1816</v>
      </c>
    </row>
    <row r="574" spans="1:33" ht="15" hidden="1" outlineLevel="1" x14ac:dyDescent="0.2">
      <c r="A574" s="1360"/>
      <c r="B574" s="1366" t="s">
        <v>466</v>
      </c>
      <c r="C574" s="2050">
        <f>IF(H575&gt;0,"Шлейф в одну сторону",0)</f>
        <v>0</v>
      </c>
      <c r="D574" s="2152"/>
      <c r="E574" s="523" t="s">
        <v>218</v>
      </c>
      <c r="F574" s="2164"/>
      <c r="G574" s="2178"/>
      <c r="H574" s="1367"/>
      <c r="I574" s="2043">
        <f>I575+I577</f>
        <v>0</v>
      </c>
      <c r="J574" s="524"/>
      <c r="K574" s="524"/>
      <c r="L574" s="526"/>
      <c r="M574" s="1368"/>
      <c r="N574" s="524"/>
      <c r="O574" s="1369"/>
      <c r="P574" s="1368"/>
      <c r="Q574" s="1370"/>
      <c r="R574" s="1368"/>
      <c r="S574" s="1371">
        <f>SUM(T575:T577)</f>
        <v>0</v>
      </c>
      <c r="T574" s="1370"/>
      <c r="U574" s="2028">
        <f t="shared" si="449"/>
        <v>0</v>
      </c>
      <c r="V574" s="1357"/>
      <c r="W574" s="1357"/>
      <c r="X574" s="1357"/>
      <c r="Y574" s="1357"/>
      <c r="AD574" s="2141" t="str">
        <f t="shared" si="672"/>
        <v/>
      </c>
      <c r="AE574" s="2142" t="str">
        <f t="shared" si="649"/>
        <v/>
      </c>
      <c r="AG574" s="2118" t="s">
        <v>1816</v>
      </c>
    </row>
    <row r="575" spans="1:33" ht="28.5" hidden="1" outlineLevel="2" x14ac:dyDescent="0.2">
      <c r="A575" s="1360">
        <f>A573+1</f>
        <v>164</v>
      </c>
      <c r="B575" s="1372" t="s">
        <v>1612</v>
      </c>
      <c r="C575" s="532" t="s">
        <v>1613</v>
      </c>
      <c r="D575" s="1358">
        <v>4</v>
      </c>
      <c r="E575" s="499" t="s">
        <v>462</v>
      </c>
      <c r="F575" s="2024" t="s">
        <v>303</v>
      </c>
      <c r="G575" s="1383">
        <v>0.40200000000000002</v>
      </c>
      <c r="H575" s="1373"/>
      <c r="I575" s="1359">
        <f>IF(G575=0,0,IF(H575&gt;0,IF((G575*H575/K575)&lt;0.084,0.084,(G575*H575/K575)),0))</f>
        <v>0</v>
      </c>
      <c r="J575" s="1374" t="str">
        <f>CONCATENATE(TRUNC(I575,0),":",INT((I575-(TRUNC(I575,0)))*60),":","00")</f>
        <v>0:0:00</v>
      </c>
      <c r="K575" s="500">
        <v>1000</v>
      </c>
      <c r="L575" s="2009">
        <v>38.24</v>
      </c>
      <c r="M575" s="1375">
        <f>H575*L575/K575</f>
        <v>0</v>
      </c>
      <c r="N575" s="1376">
        <v>1</v>
      </c>
      <c r="O575" s="1377">
        <f>M575*N575</f>
        <v>0</v>
      </c>
      <c r="P575" s="1375">
        <f>(M575+O575)*0.15</f>
        <v>0</v>
      </c>
      <c r="Q575" s="1378">
        <f>M575+O575+P575</f>
        <v>0</v>
      </c>
      <c r="R575" s="1375">
        <f>Q575*$R$1</f>
        <v>0</v>
      </c>
      <c r="S575" s="1375">
        <f>(Q575+R575)*$S$1</f>
        <v>0</v>
      </c>
      <c r="T575" s="1375">
        <f>Q575+R575+S575</f>
        <v>0</v>
      </c>
      <c r="U575" s="2028">
        <f t="shared" si="449"/>
        <v>0</v>
      </c>
      <c r="V575" s="1357"/>
      <c r="W575" s="1357"/>
      <c r="X575" s="1357"/>
      <c r="Y575" s="1357"/>
      <c r="AD575" s="2141">
        <f t="shared" si="672"/>
        <v>2.6</v>
      </c>
      <c r="AE575" s="2142" t="str">
        <f t="shared" si="649"/>
        <v/>
      </c>
      <c r="AG575" s="2118" t="s">
        <v>1816</v>
      </c>
    </row>
    <row r="576" spans="1:33" ht="28.5" hidden="1" outlineLevel="2" x14ac:dyDescent="0.2">
      <c r="A576" s="1360">
        <f>A575+1</f>
        <v>165</v>
      </c>
      <c r="B576" s="1372" t="s">
        <v>1614</v>
      </c>
      <c r="C576" s="532" t="s">
        <v>1613</v>
      </c>
      <c r="D576" s="1358">
        <v>2</v>
      </c>
      <c r="E576" s="499" t="s">
        <v>462</v>
      </c>
      <c r="F576" s="2024" t="s">
        <v>303</v>
      </c>
      <c r="G576" s="1383">
        <v>0.40200000000000002</v>
      </c>
      <c r="H576" s="1373">
        <f>H575</f>
        <v>0</v>
      </c>
      <c r="I576" s="1359">
        <f>IF(G576=0,0,IF(H576&gt;0,IF((G576*H576/K576)&lt;0.084,0.084,(G576*H576/K576)),0))</f>
        <v>0</v>
      </c>
      <c r="J576" s="1374" t="str">
        <f>CONCATENATE(TRUNC(I576,0),":",INT((I576-(TRUNC(I576,0)))*60),":","00")</f>
        <v>0:0:00</v>
      </c>
      <c r="K576" s="500">
        <v>1000</v>
      </c>
      <c r="L576" s="2009">
        <v>25.42</v>
      </c>
      <c r="M576" s="1375">
        <f>H576*L576/K576</f>
        <v>0</v>
      </c>
      <c r="N576" s="1376">
        <v>1</v>
      </c>
      <c r="O576" s="1377">
        <f>M576*N576</f>
        <v>0</v>
      </c>
      <c r="P576" s="1375">
        <f>(M576+O576)*0.15</f>
        <v>0</v>
      </c>
      <c r="Q576" s="1378">
        <f>M576+O576+P576</f>
        <v>0</v>
      </c>
      <c r="R576" s="1375">
        <f>Q576*$R$1</f>
        <v>0</v>
      </c>
      <c r="S576" s="1375">
        <f>(Q576+R576)*$S$1</f>
        <v>0</v>
      </c>
      <c r="T576" s="1375">
        <f>Q576+R576+S576</f>
        <v>0</v>
      </c>
      <c r="U576" s="2028">
        <f t="shared" si="449"/>
        <v>0</v>
      </c>
      <c r="V576" s="1357"/>
      <c r="W576" s="1357"/>
      <c r="X576" s="1357"/>
      <c r="Y576" s="1357"/>
      <c r="AD576" s="2141">
        <f t="shared" si="672"/>
        <v>1.5</v>
      </c>
      <c r="AE576" s="2142" t="str">
        <f t="shared" si="649"/>
        <v/>
      </c>
      <c r="AG576" s="2118" t="s">
        <v>1816</v>
      </c>
    </row>
    <row r="577" spans="1:33" ht="28.5" hidden="1" outlineLevel="2" x14ac:dyDescent="0.2">
      <c r="A577" s="1360">
        <f>A576+1</f>
        <v>166</v>
      </c>
      <c r="B577" s="1372" t="s">
        <v>1615</v>
      </c>
      <c r="C577" s="532" t="s">
        <v>1613</v>
      </c>
      <c r="D577" s="1358">
        <v>4</v>
      </c>
      <c r="E577" s="499" t="s">
        <v>462</v>
      </c>
      <c r="F577" s="2024" t="s">
        <v>303</v>
      </c>
      <c r="G577" s="1383">
        <v>9.0999999999999998E-2</v>
      </c>
      <c r="H577" s="1373">
        <f>IF(H575&gt;0,1,0)</f>
        <v>0</v>
      </c>
      <c r="I577" s="1359">
        <f>IF(G577=0,0,IF(H577&gt;0,IF((G577*H577/K577)&lt;0.084,0.084,(G577*H577/K577)),0))</f>
        <v>0</v>
      </c>
      <c r="J577" s="1374" t="str">
        <f>CONCATENATE(TRUNC(I577,0),":",INT((I577-(TRUNC(I577,0)))*60),":","00")</f>
        <v>0:0:00</v>
      </c>
      <c r="K577" s="500">
        <v>1</v>
      </c>
      <c r="L577" s="2009">
        <v>8.66</v>
      </c>
      <c r="M577" s="1375">
        <f>H577*L577/K577</f>
        <v>0</v>
      </c>
      <c r="N577" s="1376">
        <v>1</v>
      </c>
      <c r="O577" s="1377">
        <f>M577*N577</f>
        <v>0</v>
      </c>
      <c r="P577" s="1375">
        <f>(M577+O577)*0.15</f>
        <v>0</v>
      </c>
      <c r="Q577" s="1378">
        <f>M577+O577+P577</f>
        <v>0</v>
      </c>
      <c r="R577" s="1375">
        <f>Q577*$R$1</f>
        <v>0</v>
      </c>
      <c r="S577" s="1375">
        <f>(Q577+R577)*$S$1</f>
        <v>0</v>
      </c>
      <c r="T577" s="1375">
        <f>Q577+R577+S577</f>
        <v>0</v>
      </c>
      <c r="U577" s="2028">
        <f t="shared" si="449"/>
        <v>0</v>
      </c>
      <c r="V577" s="1357"/>
      <c r="W577" s="1357"/>
      <c r="X577" s="1357"/>
      <c r="Y577" s="1357"/>
      <c r="AD577" s="2141">
        <f t="shared" si="672"/>
        <v>2.6</v>
      </c>
      <c r="AE577" s="2142" t="str">
        <f t="shared" si="649"/>
        <v/>
      </c>
      <c r="AG577" s="2118" t="s">
        <v>1816</v>
      </c>
    </row>
    <row r="578" spans="1:33" ht="15" hidden="1" outlineLevel="1" x14ac:dyDescent="0.2">
      <c r="A578" s="1360"/>
      <c r="B578" s="1366" t="s">
        <v>1161</v>
      </c>
      <c r="C578" s="2050">
        <f>IF((H579+H580)&gt;0,"Передний шлейф",0)</f>
        <v>0</v>
      </c>
      <c r="D578" s="2152"/>
      <c r="E578" s="523" t="s">
        <v>218</v>
      </c>
      <c r="F578" s="2164"/>
      <c r="G578" s="2178"/>
      <c r="H578" s="1367"/>
      <c r="I578" s="2043">
        <f>SUM(I579:I581)</f>
        <v>0</v>
      </c>
      <c r="J578" s="524"/>
      <c r="K578" s="524"/>
      <c r="L578" s="526"/>
      <c r="M578" s="1368"/>
      <c r="N578" s="524"/>
      <c r="O578" s="1369"/>
      <c r="P578" s="1368"/>
      <c r="Q578" s="1370"/>
      <c r="R578" s="1368"/>
      <c r="S578" s="1371">
        <f>SUM(T579:T581)</f>
        <v>0</v>
      </c>
      <c r="T578" s="1370"/>
      <c r="U578" s="2028">
        <f t="shared" si="449"/>
        <v>0</v>
      </c>
      <c r="V578" s="1357"/>
      <c r="W578" s="1357"/>
      <c r="X578" s="1357"/>
      <c r="Y578" s="1357"/>
      <c r="AD578" s="2141" t="str">
        <f t="shared" si="672"/>
        <v/>
      </c>
      <c r="AE578" s="2142" t="str">
        <f t="shared" si="649"/>
        <v/>
      </c>
      <c r="AG578" s="2118" t="s">
        <v>1816</v>
      </c>
    </row>
    <row r="579" spans="1:33" ht="42.75" hidden="1" outlineLevel="3" x14ac:dyDescent="0.2">
      <c r="A579" s="1360">
        <f>A577+1</f>
        <v>167</v>
      </c>
      <c r="B579" s="1372" t="s">
        <v>1616</v>
      </c>
      <c r="C579" s="532" t="s">
        <v>1162</v>
      </c>
      <c r="D579" s="1358">
        <v>4</v>
      </c>
      <c r="E579" s="499" t="s">
        <v>462</v>
      </c>
      <c r="F579" s="2024" t="s">
        <v>303</v>
      </c>
      <c r="G579" s="1355">
        <v>0.54700000000000004</v>
      </c>
      <c r="H579" s="1373"/>
      <c r="I579" s="1359">
        <f>IF(G579=0,0,IF(H579&gt;0,IF((G579*H579/K579)&lt;0.084,0.084,(G579*H579/K579)),0))</f>
        <v>0</v>
      </c>
      <c r="J579" s="1374" t="str">
        <f>CONCATENATE(TRUNC(I579,0),":",INT((I579-(TRUNC(I579,0)))*60),":","00")</f>
        <v>0:0:00</v>
      </c>
      <c r="K579" s="500">
        <v>1000</v>
      </c>
      <c r="L579" s="2009">
        <v>52.05</v>
      </c>
      <c r="M579" s="1375">
        <f>H579*L579/K579</f>
        <v>0</v>
      </c>
      <c r="N579" s="1376">
        <v>1</v>
      </c>
      <c r="O579" s="1377">
        <f>M579*N579</f>
        <v>0</v>
      </c>
      <c r="P579" s="1375">
        <f>(M579+O579)*0.15</f>
        <v>0</v>
      </c>
      <c r="Q579" s="1378">
        <f>M579+O579+P579</f>
        <v>0</v>
      </c>
      <c r="R579" s="1375">
        <f>Q579*$R$1</f>
        <v>0</v>
      </c>
      <c r="S579" s="1375">
        <f>(Q579+R579)*$S$1</f>
        <v>0</v>
      </c>
      <c r="T579" s="1375">
        <f>Q579+R579+S579</f>
        <v>0</v>
      </c>
      <c r="U579" s="2028">
        <f t="shared" si="449"/>
        <v>0</v>
      </c>
      <c r="V579" s="1357"/>
      <c r="W579" s="1357"/>
      <c r="X579" s="1357"/>
      <c r="Y579" s="1357"/>
      <c r="AD579" s="2141">
        <f t="shared" si="672"/>
        <v>2.6</v>
      </c>
      <c r="AE579" s="2142" t="str">
        <f t="shared" si="649"/>
        <v/>
      </c>
      <c r="AG579" s="2118" t="s">
        <v>1816</v>
      </c>
    </row>
    <row r="580" spans="1:33" ht="42.75" hidden="1" outlineLevel="3" x14ac:dyDescent="0.2">
      <c r="A580" s="1360">
        <f>A579+1</f>
        <v>168</v>
      </c>
      <c r="B580" s="1372" t="s">
        <v>1617</v>
      </c>
      <c r="C580" s="532" t="s">
        <v>1163</v>
      </c>
      <c r="D580" s="1358">
        <v>4</v>
      </c>
      <c r="E580" s="499" t="s">
        <v>462</v>
      </c>
      <c r="F580" s="2024" t="s">
        <v>303</v>
      </c>
      <c r="G580" s="1355">
        <v>0.47599999999999998</v>
      </c>
      <c r="H580" s="1373"/>
      <c r="I580" s="1359">
        <f>IF(G580=0,0,IF(H580&gt;0,IF((G580*H580/K580)&lt;0.084,0.084,(G580*H580/K580)),0))</f>
        <v>0</v>
      </c>
      <c r="J580" s="1374" t="str">
        <f>CONCATENATE(TRUNC(I580,0),":",INT((I580-(TRUNC(I580,0)))*60),":","00")</f>
        <v>0:0:00</v>
      </c>
      <c r="K580" s="500">
        <v>1000</v>
      </c>
      <c r="L580" s="2010">
        <v>45.29</v>
      </c>
      <c r="M580" s="1375">
        <f>H580*L580/K580</f>
        <v>0</v>
      </c>
      <c r="N580" s="1376">
        <v>1</v>
      </c>
      <c r="O580" s="1377">
        <f>M580*N580</f>
        <v>0</v>
      </c>
      <c r="P580" s="1375">
        <f>(M580+O580)*0.15</f>
        <v>0</v>
      </c>
      <c r="Q580" s="1378">
        <f>M580+O580+P580</f>
        <v>0</v>
      </c>
      <c r="R580" s="1375">
        <f>Q580*$R$1</f>
        <v>0</v>
      </c>
      <c r="S580" s="1375">
        <f>(Q580+R580)*$S$1</f>
        <v>0</v>
      </c>
      <c r="T580" s="1375">
        <f>Q580+R580+S580</f>
        <v>0</v>
      </c>
      <c r="U580" s="2028">
        <f t="shared" si="449"/>
        <v>0</v>
      </c>
      <c r="V580" s="1357"/>
      <c r="W580" s="1357"/>
      <c r="X580" s="1357"/>
      <c r="Y580" s="1357"/>
      <c r="AD580" s="2141">
        <f t="shared" si="672"/>
        <v>2.6</v>
      </c>
      <c r="AE580" s="2142" t="str">
        <f t="shared" si="649"/>
        <v/>
      </c>
      <c r="AG580" s="2118" t="s">
        <v>1816</v>
      </c>
    </row>
    <row r="581" spans="1:33" ht="14.25" hidden="1" outlineLevel="3" x14ac:dyDescent="0.2">
      <c r="A581" s="1360">
        <f>A580+1</f>
        <v>169</v>
      </c>
      <c r="B581" s="1372" t="s">
        <v>1618</v>
      </c>
      <c r="C581" s="532" t="s">
        <v>1164</v>
      </c>
      <c r="D581" s="1358">
        <v>4</v>
      </c>
      <c r="E581" s="499" t="s">
        <v>462</v>
      </c>
      <c r="F581" s="2024" t="s">
        <v>303</v>
      </c>
      <c r="G581" s="1355">
        <v>0.245</v>
      </c>
      <c r="H581" s="1373">
        <f>IF(SUM(H579:H580)&gt;0,1,0)</f>
        <v>0</v>
      </c>
      <c r="I581" s="1359">
        <f>IF(G581=0,0,IF(H581&gt;0,IF((G581*H581/K581)&lt;0.084,0.084,(G581*H581/K581)),0))</f>
        <v>0</v>
      </c>
      <c r="J581" s="1374" t="str">
        <f>CONCATENATE(TRUNC(I581,0),":",INT((I581-(TRUNC(I581,0)))*60),":","00")</f>
        <v>0:0:00</v>
      </c>
      <c r="K581" s="500">
        <v>1</v>
      </c>
      <c r="L581" s="2009">
        <v>23.31</v>
      </c>
      <c r="M581" s="1375">
        <f>H581*L581/K581</f>
        <v>0</v>
      </c>
      <c r="N581" s="1376">
        <v>1</v>
      </c>
      <c r="O581" s="1377">
        <f>M581*N581</f>
        <v>0</v>
      </c>
      <c r="P581" s="1375">
        <f>(M581+O581)*0.15</f>
        <v>0</v>
      </c>
      <c r="Q581" s="1378">
        <f>M581+O581+P581</f>
        <v>0</v>
      </c>
      <c r="R581" s="1375">
        <f>Q581*$R$1</f>
        <v>0</v>
      </c>
      <c r="S581" s="1375">
        <f>(Q581+R581)*$S$1</f>
        <v>0</v>
      </c>
      <c r="T581" s="1375">
        <f>Q581+R581+S581</f>
        <v>0</v>
      </c>
      <c r="U581" s="2028">
        <f t="shared" si="449"/>
        <v>0</v>
      </c>
      <c r="V581" s="1357"/>
      <c r="W581" s="1357"/>
      <c r="X581" s="1357"/>
      <c r="Y581" s="1357"/>
      <c r="AD581" s="2141">
        <f t="shared" si="672"/>
        <v>2.6</v>
      </c>
      <c r="AE581" s="2142" t="str">
        <f t="shared" si="649"/>
        <v/>
      </c>
      <c r="AG581" s="2118" t="s">
        <v>1816</v>
      </c>
    </row>
    <row r="582" spans="1:33" ht="15" hidden="1" outlineLevel="1" x14ac:dyDescent="0.2">
      <c r="A582" s="1360"/>
      <c r="B582" s="1366" t="s">
        <v>1619</v>
      </c>
      <c r="C582" s="522"/>
      <c r="D582" s="2152"/>
      <c r="E582" s="523" t="s">
        <v>218</v>
      </c>
      <c r="F582" s="2164"/>
      <c r="G582" s="2178"/>
      <c r="H582" s="1367"/>
      <c r="I582" s="2043">
        <f>I584+I585+I586+I588+I589+I590+I591+I592</f>
        <v>0</v>
      </c>
      <c r="J582" s="524"/>
      <c r="K582" s="524"/>
      <c r="L582" s="526"/>
      <c r="M582" s="1368"/>
      <c r="N582" s="524"/>
      <c r="O582" s="1369"/>
      <c r="P582" s="1368"/>
      <c r="Q582" s="1370"/>
      <c r="R582" s="1368"/>
      <c r="S582" s="1371">
        <f>SUM(T583:T592)</f>
        <v>0</v>
      </c>
      <c r="T582" s="1370"/>
      <c r="U582" s="2028">
        <f t="shared" si="449"/>
        <v>0</v>
      </c>
      <c r="V582" s="1357"/>
      <c r="W582" s="1357"/>
      <c r="X582" s="1357"/>
      <c r="Y582" s="1357"/>
      <c r="AD582" s="2141" t="str">
        <f t="shared" si="672"/>
        <v/>
      </c>
      <c r="AE582" s="2142" t="str">
        <f t="shared" si="649"/>
        <v/>
      </c>
      <c r="AG582" s="2118" t="s">
        <v>1816</v>
      </c>
    </row>
    <row r="583" spans="1:33" ht="14.25" hidden="1" outlineLevel="2" x14ac:dyDescent="0.2">
      <c r="A583" s="1360"/>
      <c r="B583" s="1384" t="s">
        <v>1860</v>
      </c>
      <c r="C583" s="528"/>
      <c r="D583" s="2155"/>
      <c r="E583" s="529" t="s">
        <v>218</v>
      </c>
      <c r="F583" s="2166"/>
      <c r="G583" s="2184"/>
      <c r="H583" s="1385"/>
      <c r="I583" s="530"/>
      <c r="J583" s="530"/>
      <c r="K583" s="530"/>
      <c r="L583" s="531"/>
      <c r="M583" s="1386"/>
      <c r="N583" s="530"/>
      <c r="O583" s="1387"/>
      <c r="P583" s="1386"/>
      <c r="Q583" s="1388"/>
      <c r="R583" s="1386"/>
      <c r="S583" s="1386"/>
      <c r="T583" s="1388"/>
      <c r="U583" s="2028">
        <f t="shared" si="449"/>
        <v>0</v>
      </c>
      <c r="V583" s="1357"/>
      <c r="W583" s="1357"/>
      <c r="X583" s="1357"/>
      <c r="Y583" s="1357"/>
      <c r="AD583" s="2141" t="str">
        <f t="shared" si="672"/>
        <v/>
      </c>
      <c r="AE583" s="2142" t="str">
        <f t="shared" si="649"/>
        <v/>
      </c>
      <c r="AG583" s="2118" t="s">
        <v>1816</v>
      </c>
    </row>
    <row r="584" spans="1:33" ht="28.5" hidden="1" outlineLevel="3" x14ac:dyDescent="0.2">
      <c r="A584" s="1360">
        <f>A581+1</f>
        <v>170</v>
      </c>
      <c r="B584" s="1389" t="s">
        <v>1861</v>
      </c>
      <c r="C584" s="585" t="s">
        <v>1862</v>
      </c>
      <c r="D584" s="1390">
        <v>4</v>
      </c>
      <c r="E584" s="499" t="s">
        <v>462</v>
      </c>
      <c r="F584" s="2046" t="s">
        <v>303</v>
      </c>
      <c r="G584" s="1355">
        <v>1.4999999999999999E-2</v>
      </c>
      <c r="H584" s="1373"/>
      <c r="I584" s="1359">
        <f t="shared" ref="I584:I586" si="701">IF(G584=0,0,IF(H584&gt;0,IF((G584*H584/K584)&lt;0.084,0.084,(G584*H584/K584)),0))</f>
        <v>0</v>
      </c>
      <c r="J584" s="1374" t="str">
        <f t="shared" ref="J584:J586" si="702">CONCATENATE(TRUNC(I584,0),":",INT((I584-(TRUNC(I584,0)))*60),":","00")</f>
        <v>0:0:00</v>
      </c>
      <c r="K584" s="500">
        <v>1</v>
      </c>
      <c r="L584" s="2009">
        <v>1.43</v>
      </c>
      <c r="M584" s="1375">
        <f t="shared" ref="M584:M586" si="703">H584*L584/K584</f>
        <v>0</v>
      </c>
      <c r="N584" s="1376">
        <v>1</v>
      </c>
      <c r="O584" s="1377">
        <f t="shared" ref="O584:O586" si="704">M584*N584</f>
        <v>0</v>
      </c>
      <c r="P584" s="1375">
        <f t="shared" ref="P584:P586" si="705">(M584+O584)*0.15</f>
        <v>0</v>
      </c>
      <c r="Q584" s="1378">
        <f t="shared" ref="Q584:Q586" si="706">M584+O584+P584</f>
        <v>0</v>
      </c>
      <c r="R584" s="1375">
        <f t="shared" ref="R584:R586" si="707">Q584*$R$1</f>
        <v>0</v>
      </c>
      <c r="S584" s="1375">
        <f t="shared" ref="S584:S586" si="708">(Q584+R584)*$S$1</f>
        <v>0</v>
      </c>
      <c r="T584" s="1375">
        <f t="shared" ref="T584:T586" si="709">Q584+R584+S584</f>
        <v>0</v>
      </c>
      <c r="U584" s="2028">
        <f t="shared" si="449"/>
        <v>0</v>
      </c>
      <c r="V584" s="1357"/>
      <c r="W584" s="1357"/>
      <c r="X584" s="1357"/>
      <c r="Y584" s="1357"/>
      <c r="AD584" s="2141">
        <f t="shared" si="672"/>
        <v>2.6</v>
      </c>
      <c r="AE584" s="2142" t="str">
        <f t="shared" si="649"/>
        <v/>
      </c>
      <c r="AG584" s="2118" t="s">
        <v>1816</v>
      </c>
    </row>
    <row r="585" spans="1:33" ht="38.25" hidden="1" outlineLevel="3" x14ac:dyDescent="0.2">
      <c r="A585" s="1360">
        <f>A584+1</f>
        <v>171</v>
      </c>
      <c r="B585" s="1389" t="s">
        <v>1863</v>
      </c>
      <c r="C585" s="585" t="s">
        <v>1864</v>
      </c>
      <c r="D585" s="1390">
        <v>4</v>
      </c>
      <c r="E585" s="499" t="s">
        <v>462</v>
      </c>
      <c r="F585" s="2046" t="s">
        <v>303</v>
      </c>
      <c r="G585" s="1355">
        <v>1.7000000000000001E-2</v>
      </c>
      <c r="H585" s="1373"/>
      <c r="I585" s="1359">
        <f t="shared" si="701"/>
        <v>0</v>
      </c>
      <c r="J585" s="1374" t="str">
        <f t="shared" si="702"/>
        <v>0:0:00</v>
      </c>
      <c r="K585" s="500">
        <v>1</v>
      </c>
      <c r="L585" s="2009">
        <v>1.62</v>
      </c>
      <c r="M585" s="1375">
        <f t="shared" si="703"/>
        <v>0</v>
      </c>
      <c r="N585" s="1376">
        <v>1</v>
      </c>
      <c r="O585" s="1377">
        <f t="shared" si="704"/>
        <v>0</v>
      </c>
      <c r="P585" s="1375">
        <f t="shared" si="705"/>
        <v>0</v>
      </c>
      <c r="Q585" s="1378">
        <f t="shared" si="706"/>
        <v>0</v>
      </c>
      <c r="R585" s="1375">
        <f t="shared" si="707"/>
        <v>0</v>
      </c>
      <c r="S585" s="1375">
        <f t="shared" si="708"/>
        <v>0</v>
      </c>
      <c r="T585" s="1375">
        <f t="shared" si="709"/>
        <v>0</v>
      </c>
      <c r="U585" s="2028">
        <f t="shared" si="449"/>
        <v>0</v>
      </c>
      <c r="V585" s="1357"/>
      <c r="W585" s="1357"/>
      <c r="X585" s="1357"/>
      <c r="Y585" s="1357"/>
      <c r="AD585" s="2141">
        <f t="shared" si="672"/>
        <v>2.6</v>
      </c>
      <c r="AE585" s="2142" t="str">
        <f t="shared" si="649"/>
        <v/>
      </c>
      <c r="AG585" s="2118" t="s">
        <v>1816</v>
      </c>
    </row>
    <row r="586" spans="1:33" ht="38.25" hidden="1" outlineLevel="3" x14ac:dyDescent="0.2">
      <c r="A586" s="1360">
        <f>A585+1</f>
        <v>172</v>
      </c>
      <c r="B586" s="1389" t="s">
        <v>1865</v>
      </c>
      <c r="C586" s="585" t="s">
        <v>1866</v>
      </c>
      <c r="D586" s="1390">
        <v>4</v>
      </c>
      <c r="E586" s="499" t="s">
        <v>462</v>
      </c>
      <c r="F586" s="2046" t="s">
        <v>303</v>
      </c>
      <c r="G586" s="1355">
        <v>0.02</v>
      </c>
      <c r="H586" s="1373"/>
      <c r="I586" s="1359">
        <f t="shared" si="701"/>
        <v>0</v>
      </c>
      <c r="J586" s="1374" t="str">
        <f t="shared" si="702"/>
        <v>0:0:00</v>
      </c>
      <c r="K586" s="500">
        <v>1</v>
      </c>
      <c r="L586" s="2009">
        <v>1.9</v>
      </c>
      <c r="M586" s="1375">
        <f t="shared" si="703"/>
        <v>0</v>
      </c>
      <c r="N586" s="1376">
        <v>1</v>
      </c>
      <c r="O586" s="1377">
        <f t="shared" si="704"/>
        <v>0</v>
      </c>
      <c r="P586" s="1375">
        <f t="shared" si="705"/>
        <v>0</v>
      </c>
      <c r="Q586" s="1378">
        <f t="shared" si="706"/>
        <v>0</v>
      </c>
      <c r="R586" s="1375">
        <f t="shared" si="707"/>
        <v>0</v>
      </c>
      <c r="S586" s="1375">
        <f t="shared" si="708"/>
        <v>0</v>
      </c>
      <c r="T586" s="1375">
        <f t="shared" si="709"/>
        <v>0</v>
      </c>
      <c r="U586" s="2028">
        <f t="shared" si="449"/>
        <v>0</v>
      </c>
      <c r="V586" s="1357"/>
      <c r="W586" s="1357"/>
      <c r="X586" s="1357"/>
      <c r="Y586" s="1357"/>
      <c r="AD586" s="2141">
        <f t="shared" si="672"/>
        <v>2.6</v>
      </c>
      <c r="AE586" s="2142" t="str">
        <f t="shared" si="649"/>
        <v/>
      </c>
      <c r="AG586" s="2118" t="s">
        <v>1816</v>
      </c>
    </row>
    <row r="587" spans="1:33" ht="14.25" hidden="1" outlineLevel="2" x14ac:dyDescent="0.2">
      <c r="A587" s="1360"/>
      <c r="B587" s="1384" t="s">
        <v>1867</v>
      </c>
      <c r="C587" s="528"/>
      <c r="D587" s="2155"/>
      <c r="E587" s="529" t="s">
        <v>218</v>
      </c>
      <c r="F587" s="2166"/>
      <c r="G587" s="2184"/>
      <c r="H587" s="1385"/>
      <c r="I587" s="1436"/>
      <c r="J587" s="530"/>
      <c r="K587" s="530"/>
      <c r="L587" s="533"/>
      <c r="M587" s="1386"/>
      <c r="N587" s="530"/>
      <c r="O587" s="1387"/>
      <c r="P587" s="1386"/>
      <c r="Q587" s="1388"/>
      <c r="R587" s="1386"/>
      <c r="S587" s="1386"/>
      <c r="T587" s="1388"/>
      <c r="U587" s="2028">
        <f t="shared" si="449"/>
        <v>0</v>
      </c>
      <c r="V587" s="1357"/>
      <c r="W587" s="1357"/>
      <c r="X587" s="1357"/>
      <c r="Y587" s="1357"/>
      <c r="AD587" s="2141" t="str">
        <f t="shared" si="672"/>
        <v/>
      </c>
      <c r="AE587" s="2142" t="str">
        <f t="shared" si="649"/>
        <v/>
      </c>
      <c r="AG587" s="2118" t="s">
        <v>1816</v>
      </c>
    </row>
    <row r="588" spans="1:33" ht="28.5" hidden="1" outlineLevel="3" x14ac:dyDescent="0.2">
      <c r="A588" s="1360">
        <f>A586+1</f>
        <v>173</v>
      </c>
      <c r="B588" s="1389" t="s">
        <v>1868</v>
      </c>
      <c r="C588" s="585" t="s">
        <v>1869</v>
      </c>
      <c r="D588" s="1358">
        <v>4</v>
      </c>
      <c r="E588" s="499" t="s">
        <v>462</v>
      </c>
      <c r="F588" s="2046" t="s">
        <v>303</v>
      </c>
      <c r="G588" s="1355">
        <v>1.2E-2</v>
      </c>
      <c r="H588" s="1373"/>
      <c r="I588" s="1359">
        <f t="shared" ref="I588:I592" si="710">IF(G588=0,0,IF(H588&gt;0,IF((G588*H588/K588)&lt;0.084,0.084,(G588*H588/K588)),0))</f>
        <v>0</v>
      </c>
      <c r="J588" s="1374" t="str">
        <f t="shared" ref="J588:J592" si="711">CONCATENATE(TRUNC(I588,0),":",INT((I588-(TRUNC(I588,0)))*60),":","00")</f>
        <v>0:0:00</v>
      </c>
      <c r="K588" s="500">
        <v>1</v>
      </c>
      <c r="L588" s="2009">
        <v>1.1399999999999999</v>
      </c>
      <c r="M588" s="1375">
        <f t="shared" ref="M588:M592" si="712">H588*L588/K588</f>
        <v>0</v>
      </c>
      <c r="N588" s="1376">
        <v>1</v>
      </c>
      <c r="O588" s="1377">
        <f t="shared" ref="O588:O592" si="713">M588*N588</f>
        <v>0</v>
      </c>
      <c r="P588" s="1375">
        <f t="shared" ref="P588:P592" si="714">(M588+O588)*0.15</f>
        <v>0</v>
      </c>
      <c r="Q588" s="1378">
        <f t="shared" ref="Q588:Q592" si="715">M588+O588+P588</f>
        <v>0</v>
      </c>
      <c r="R588" s="1375">
        <f t="shared" ref="R588:R592" si="716">Q588*$R$1</f>
        <v>0</v>
      </c>
      <c r="S588" s="1375">
        <f t="shared" ref="S588:S592" si="717">(Q588+R588)*$S$1</f>
        <v>0</v>
      </c>
      <c r="T588" s="1375">
        <f t="shared" ref="T588:T592" si="718">Q588+R588+S588</f>
        <v>0</v>
      </c>
      <c r="U588" s="2028">
        <f t="shared" si="449"/>
        <v>0</v>
      </c>
      <c r="V588" s="1357"/>
      <c r="W588" s="1357"/>
      <c r="X588" s="1357"/>
      <c r="Y588" s="1357"/>
      <c r="AD588" s="2141">
        <f t="shared" si="672"/>
        <v>2.6</v>
      </c>
      <c r="AE588" s="2142" t="str">
        <f t="shared" si="649"/>
        <v/>
      </c>
      <c r="AG588" s="2118" t="s">
        <v>1816</v>
      </c>
    </row>
    <row r="589" spans="1:33" ht="38.25" hidden="1" outlineLevel="3" x14ac:dyDescent="0.2">
      <c r="A589" s="1360">
        <f>A588+1</f>
        <v>174</v>
      </c>
      <c r="B589" s="1389" t="s">
        <v>1870</v>
      </c>
      <c r="C589" s="585" t="s">
        <v>1871</v>
      </c>
      <c r="D589" s="1358">
        <v>4</v>
      </c>
      <c r="E589" s="499" t="s">
        <v>462</v>
      </c>
      <c r="F589" s="2046" t="s">
        <v>303</v>
      </c>
      <c r="G589" s="1355">
        <v>1.4999999999999999E-2</v>
      </c>
      <c r="H589" s="1373"/>
      <c r="I589" s="1359">
        <f t="shared" si="710"/>
        <v>0</v>
      </c>
      <c r="J589" s="1374" t="str">
        <f t="shared" si="711"/>
        <v>0:0:00</v>
      </c>
      <c r="K589" s="500">
        <v>1</v>
      </c>
      <c r="L589" s="2009">
        <v>1.43</v>
      </c>
      <c r="M589" s="1375">
        <f t="shared" si="712"/>
        <v>0</v>
      </c>
      <c r="N589" s="1376">
        <v>1</v>
      </c>
      <c r="O589" s="1377">
        <f t="shared" si="713"/>
        <v>0</v>
      </c>
      <c r="P589" s="1375">
        <f t="shared" si="714"/>
        <v>0</v>
      </c>
      <c r="Q589" s="1378">
        <f t="shared" si="715"/>
        <v>0</v>
      </c>
      <c r="R589" s="1375">
        <f t="shared" si="716"/>
        <v>0</v>
      </c>
      <c r="S589" s="1375">
        <f t="shared" si="717"/>
        <v>0</v>
      </c>
      <c r="T589" s="1375">
        <f t="shared" si="718"/>
        <v>0</v>
      </c>
      <c r="U589" s="2028">
        <f t="shared" si="449"/>
        <v>0</v>
      </c>
      <c r="V589" s="1357"/>
      <c r="W589" s="1357"/>
      <c r="X589" s="1357"/>
      <c r="Y589" s="1357"/>
      <c r="AD589" s="2141">
        <f t="shared" si="672"/>
        <v>2.6</v>
      </c>
      <c r="AE589" s="2142" t="str">
        <f t="shared" si="649"/>
        <v/>
      </c>
      <c r="AG589" s="2118" t="s">
        <v>1816</v>
      </c>
    </row>
    <row r="590" spans="1:33" ht="38.25" hidden="1" outlineLevel="3" x14ac:dyDescent="0.2">
      <c r="A590" s="1360">
        <f t="shared" ref="A590:A592" si="719">A589+1</f>
        <v>175</v>
      </c>
      <c r="B590" s="1389" t="s">
        <v>1872</v>
      </c>
      <c r="C590" s="585" t="s">
        <v>1873</v>
      </c>
      <c r="D590" s="1358">
        <v>4</v>
      </c>
      <c r="E590" s="499" t="s">
        <v>462</v>
      </c>
      <c r="F590" s="2046" t="s">
        <v>303</v>
      </c>
      <c r="G590" s="1355">
        <v>1.7999999999999999E-2</v>
      </c>
      <c r="H590" s="1373"/>
      <c r="I590" s="1359">
        <f t="shared" si="710"/>
        <v>0</v>
      </c>
      <c r="J590" s="1374" t="str">
        <f t="shared" si="711"/>
        <v>0:0:00</v>
      </c>
      <c r="K590" s="500">
        <v>1</v>
      </c>
      <c r="L590" s="2009">
        <v>1.71</v>
      </c>
      <c r="M590" s="1375">
        <f t="shared" si="712"/>
        <v>0</v>
      </c>
      <c r="N590" s="1376">
        <v>1</v>
      </c>
      <c r="O590" s="1377">
        <f t="shared" si="713"/>
        <v>0</v>
      </c>
      <c r="P590" s="1375">
        <f t="shared" si="714"/>
        <v>0</v>
      </c>
      <c r="Q590" s="1378">
        <f t="shared" si="715"/>
        <v>0</v>
      </c>
      <c r="R590" s="1375">
        <f t="shared" si="716"/>
        <v>0</v>
      </c>
      <c r="S590" s="1375">
        <f t="shared" si="717"/>
        <v>0</v>
      </c>
      <c r="T590" s="1375">
        <f t="shared" si="718"/>
        <v>0</v>
      </c>
      <c r="U590" s="2028">
        <f t="shared" si="449"/>
        <v>0</v>
      </c>
      <c r="V590" s="1357"/>
      <c r="W590" s="1357"/>
      <c r="X590" s="1357"/>
      <c r="Y590" s="1357"/>
      <c r="AD590" s="2141">
        <f t="shared" si="672"/>
        <v>2.6</v>
      </c>
      <c r="AE590" s="2142" t="str">
        <f t="shared" si="649"/>
        <v/>
      </c>
      <c r="AG590" s="2118" t="s">
        <v>1816</v>
      </c>
    </row>
    <row r="591" spans="1:33" ht="14.25" hidden="1" outlineLevel="3" x14ac:dyDescent="0.2">
      <c r="A591" s="1360">
        <f t="shared" si="719"/>
        <v>176</v>
      </c>
      <c r="B591" s="1389" t="s">
        <v>1874</v>
      </c>
      <c r="C591" s="585" t="s">
        <v>1619</v>
      </c>
      <c r="D591" s="1358">
        <v>4</v>
      </c>
      <c r="E591" s="499" t="s">
        <v>462</v>
      </c>
      <c r="F591" s="2046" t="s">
        <v>303</v>
      </c>
      <c r="G591" s="1355">
        <v>1</v>
      </c>
      <c r="H591" s="1373">
        <f>IF((H584+H585+H586+H588+H589+H590)&gt;0,1,0)</f>
        <v>0</v>
      </c>
      <c r="I591" s="1359">
        <f t="shared" si="710"/>
        <v>0</v>
      </c>
      <c r="J591" s="1374" t="str">
        <f t="shared" si="711"/>
        <v>0:0:00</v>
      </c>
      <c r="K591" s="500">
        <v>1</v>
      </c>
      <c r="L591" s="2009">
        <v>95.15</v>
      </c>
      <c r="M591" s="1375">
        <f t="shared" si="712"/>
        <v>0</v>
      </c>
      <c r="N591" s="1376">
        <v>1</v>
      </c>
      <c r="O591" s="1377">
        <f t="shared" si="713"/>
        <v>0</v>
      </c>
      <c r="P591" s="1375">
        <f t="shared" si="714"/>
        <v>0</v>
      </c>
      <c r="Q591" s="1378">
        <f t="shared" si="715"/>
        <v>0</v>
      </c>
      <c r="R591" s="1375">
        <f t="shared" si="716"/>
        <v>0</v>
      </c>
      <c r="S591" s="1375">
        <f t="shared" si="717"/>
        <v>0</v>
      </c>
      <c r="T591" s="1375">
        <f t="shared" si="718"/>
        <v>0</v>
      </c>
      <c r="U591" s="2028">
        <f t="shared" si="449"/>
        <v>0</v>
      </c>
      <c r="V591" s="1357"/>
      <c r="W591" s="1357"/>
      <c r="X591" s="1357"/>
      <c r="Y591" s="1357"/>
      <c r="AD591" s="2141">
        <f t="shared" si="672"/>
        <v>2.6</v>
      </c>
      <c r="AE591" s="2142" t="str">
        <f t="shared" si="649"/>
        <v/>
      </c>
      <c r="AG591" s="2118" t="s">
        <v>1816</v>
      </c>
    </row>
    <row r="592" spans="1:33" ht="14.25" hidden="1" outlineLevel="3" x14ac:dyDescent="0.2">
      <c r="A592" s="1360">
        <f t="shared" si="719"/>
        <v>177</v>
      </c>
      <c r="B592" s="1389" t="s">
        <v>1875</v>
      </c>
      <c r="C592" s="585" t="s">
        <v>1619</v>
      </c>
      <c r="D592" s="1358">
        <v>4</v>
      </c>
      <c r="E592" s="499" t="s">
        <v>462</v>
      </c>
      <c r="F592" s="2046" t="s">
        <v>303</v>
      </c>
      <c r="G592" s="1355">
        <v>0.5</v>
      </c>
      <c r="H592" s="1373">
        <f>H591</f>
        <v>0</v>
      </c>
      <c r="I592" s="1359">
        <f t="shared" si="710"/>
        <v>0</v>
      </c>
      <c r="J592" s="1374" t="str">
        <f t="shared" si="711"/>
        <v>0:0:00</v>
      </c>
      <c r="K592" s="500">
        <v>1</v>
      </c>
      <c r="L592" s="2009">
        <v>47.58</v>
      </c>
      <c r="M592" s="1375">
        <f t="shared" si="712"/>
        <v>0</v>
      </c>
      <c r="N592" s="1376">
        <v>1</v>
      </c>
      <c r="O592" s="1377">
        <f t="shared" si="713"/>
        <v>0</v>
      </c>
      <c r="P592" s="1375">
        <f t="shared" si="714"/>
        <v>0</v>
      </c>
      <c r="Q592" s="1378">
        <f t="shared" si="715"/>
        <v>0</v>
      </c>
      <c r="R592" s="1375">
        <f t="shared" si="716"/>
        <v>0</v>
      </c>
      <c r="S592" s="1375">
        <f t="shared" si="717"/>
        <v>0</v>
      </c>
      <c r="T592" s="1375">
        <f t="shared" si="718"/>
        <v>0</v>
      </c>
      <c r="U592" s="2028">
        <f t="shared" si="449"/>
        <v>0</v>
      </c>
      <c r="V592" s="1357"/>
      <c r="W592" s="1357"/>
      <c r="X592" s="1357"/>
      <c r="Y592" s="1357"/>
      <c r="AD592" s="2141">
        <f t="shared" si="672"/>
        <v>2.6</v>
      </c>
      <c r="AE592" s="2142" t="str">
        <f t="shared" si="649"/>
        <v/>
      </c>
      <c r="AG592" s="2118" t="s">
        <v>1816</v>
      </c>
    </row>
    <row r="593" spans="1:33" ht="15" hidden="1" outlineLevel="1" x14ac:dyDescent="0.2">
      <c r="A593" s="1360"/>
      <c r="B593" s="1366" t="s">
        <v>1620</v>
      </c>
      <c r="C593" s="522"/>
      <c r="D593" s="2152"/>
      <c r="E593" s="523" t="s">
        <v>218</v>
      </c>
      <c r="F593" s="2164"/>
      <c r="G593" s="2178"/>
      <c r="H593" s="1367"/>
      <c r="I593" s="2043">
        <f>I594+I596+I597</f>
        <v>0</v>
      </c>
      <c r="J593" s="524"/>
      <c r="K593" s="524"/>
      <c r="L593" s="526"/>
      <c r="M593" s="1368"/>
      <c r="N593" s="524"/>
      <c r="O593" s="1369"/>
      <c r="P593" s="1368"/>
      <c r="Q593" s="1370"/>
      <c r="R593" s="1368"/>
      <c r="S593" s="1371">
        <f>SUM(T594:T597)</f>
        <v>0</v>
      </c>
      <c r="T593" s="1370"/>
      <c r="U593" s="2028">
        <f t="shared" ref="U593:U597" si="720">IF(T593&gt;0,1,0)</f>
        <v>0</v>
      </c>
      <c r="V593" s="1357"/>
      <c r="W593" s="1357"/>
      <c r="X593" s="1357"/>
      <c r="Y593" s="1357"/>
      <c r="AD593" s="2141" t="str">
        <f t="shared" si="672"/>
        <v/>
      </c>
      <c r="AE593" s="2142" t="str">
        <f t="shared" si="649"/>
        <v/>
      </c>
      <c r="AG593" s="2118" t="s">
        <v>1821</v>
      </c>
    </row>
    <row r="594" spans="1:33" ht="28.5" hidden="1" outlineLevel="3" x14ac:dyDescent="0.2">
      <c r="A594" s="1360">
        <f>A592+1</f>
        <v>178</v>
      </c>
      <c r="B594" s="2051" t="s">
        <v>1795</v>
      </c>
      <c r="C594" s="2052" t="s">
        <v>1620</v>
      </c>
      <c r="D594" s="2053">
        <v>5</v>
      </c>
      <c r="E594" s="2054" t="s">
        <v>462</v>
      </c>
      <c r="F594" s="2120" t="s">
        <v>1621</v>
      </c>
      <c r="G594" s="2055">
        <v>1.25</v>
      </c>
      <c r="H594" s="1373"/>
      <c r="I594" s="1359">
        <f>IF(G594=0,0,IF(H594&gt;0,IF((G594*H594/K594)&lt;0.084,0.084,(G594*H594/K594)),0))</f>
        <v>0</v>
      </c>
      <c r="J594" s="1374" t="str">
        <f>CONCATENATE(TRUNC(I594,0),":",INT((I594-(TRUNC(I594,0)))*60),":","00")</f>
        <v>0:0:00</v>
      </c>
      <c r="K594" s="500">
        <v>1000</v>
      </c>
      <c r="L594" s="2009">
        <v>142.31</v>
      </c>
      <c r="M594" s="1375">
        <f>H594*L594/K594</f>
        <v>0</v>
      </c>
      <c r="N594" s="1376">
        <v>1</v>
      </c>
      <c r="O594" s="1377">
        <f>M594*N594</f>
        <v>0</v>
      </c>
      <c r="P594" s="1375">
        <f>(M594+O594)*0.15</f>
        <v>0</v>
      </c>
      <c r="Q594" s="1378">
        <f>M594+O594+P594</f>
        <v>0</v>
      </c>
      <c r="R594" s="1375">
        <f>Q594*$R$1</f>
        <v>0</v>
      </c>
      <c r="S594" s="1375">
        <f>(Q594+R594)*$S$1</f>
        <v>0</v>
      </c>
      <c r="T594" s="1375">
        <f>Q594+R594+S594</f>
        <v>0</v>
      </c>
      <c r="U594" s="2028">
        <f t="shared" si="720"/>
        <v>0</v>
      </c>
      <c r="V594" s="1357"/>
      <c r="W594" s="1357"/>
      <c r="X594" s="1357"/>
      <c r="Y594" s="1357"/>
      <c r="AD594" s="2141">
        <f t="shared" si="672"/>
        <v>2.6</v>
      </c>
      <c r="AE594" s="2142" t="str">
        <f t="shared" si="649"/>
        <v/>
      </c>
      <c r="AG594" s="2118" t="s">
        <v>1821</v>
      </c>
    </row>
    <row r="595" spans="1:33" ht="28.5" hidden="1" outlineLevel="3" x14ac:dyDescent="0.2">
      <c r="A595" s="1360">
        <f>A594+1</f>
        <v>179</v>
      </c>
      <c r="B595" s="2051" t="s">
        <v>1796</v>
      </c>
      <c r="C595" s="2052" t="s">
        <v>1620</v>
      </c>
      <c r="D595" s="2053">
        <v>4</v>
      </c>
      <c r="E595" s="2054" t="s">
        <v>462</v>
      </c>
      <c r="F595" s="2120" t="s">
        <v>1621</v>
      </c>
      <c r="G595" s="2055">
        <v>1.25</v>
      </c>
      <c r="H595" s="1373">
        <f>H594</f>
        <v>0</v>
      </c>
      <c r="I595" s="1359">
        <f>IF(G595=0,0,IF(H595&gt;0,IF((G595*H595/K595)&lt;0.084,0.084,(G595*H595/K595)),0))</f>
        <v>0</v>
      </c>
      <c r="J595" s="1374" t="str">
        <f>CONCATENATE(TRUNC(I595,0),":",INT((I595-(TRUNC(I595,0)))*60),":","00")</f>
        <v>0:0:00</v>
      </c>
      <c r="K595" s="500">
        <v>1000</v>
      </c>
      <c r="L595" s="2010">
        <v>118.94</v>
      </c>
      <c r="M595" s="1375">
        <f>H595*L595/K595</f>
        <v>0</v>
      </c>
      <c r="N595" s="1376">
        <v>1</v>
      </c>
      <c r="O595" s="1377">
        <f>M595*N595</f>
        <v>0</v>
      </c>
      <c r="P595" s="1375">
        <f>(M595+O595)*0.15</f>
        <v>0</v>
      </c>
      <c r="Q595" s="1378">
        <f>M595+O595+P595</f>
        <v>0</v>
      </c>
      <c r="R595" s="1375">
        <f>Q595*$R$1</f>
        <v>0</v>
      </c>
      <c r="S595" s="1375">
        <f>(Q595+R595)*$S$1</f>
        <v>0</v>
      </c>
      <c r="T595" s="1375">
        <f>Q595+R595+S595</f>
        <v>0</v>
      </c>
      <c r="U595" s="2028">
        <f t="shared" si="720"/>
        <v>0</v>
      </c>
      <c r="V595" s="1357"/>
      <c r="W595" s="1357"/>
      <c r="X595" s="1357"/>
      <c r="Y595" s="1357"/>
      <c r="AD595" s="2141">
        <f t="shared" si="672"/>
        <v>2.6</v>
      </c>
      <c r="AE595" s="2142" t="str">
        <f t="shared" si="649"/>
        <v/>
      </c>
      <c r="AG595" s="2118" t="s">
        <v>1821</v>
      </c>
    </row>
    <row r="596" spans="1:33" ht="14.25" hidden="1" outlineLevel="3" x14ac:dyDescent="0.2">
      <c r="A596" s="1360">
        <f>A595+1</f>
        <v>180</v>
      </c>
      <c r="B596" s="2051" t="s">
        <v>1797</v>
      </c>
      <c r="C596" s="2052" t="s">
        <v>1620</v>
      </c>
      <c r="D596" s="2053">
        <v>5</v>
      </c>
      <c r="E596" s="2054" t="s">
        <v>462</v>
      </c>
      <c r="F596" s="2120" t="s">
        <v>303</v>
      </c>
      <c r="G596" s="2055">
        <v>1</v>
      </c>
      <c r="H596" s="1373">
        <f>IF(H594&gt;0,1,0)</f>
        <v>0</v>
      </c>
      <c r="I596" s="1359">
        <f>IF(G596=0,0,IF(H596&gt;0,IF((G596*H596/K596)&lt;0.084,0.084,(G596*H596/K596)),0))</f>
        <v>0</v>
      </c>
      <c r="J596" s="1374" t="str">
        <f>CONCATENATE(TRUNC(I596,0),":",INT((I596-(TRUNC(I596,0)))*60),":","00")</f>
        <v>0:0:00</v>
      </c>
      <c r="K596" s="500">
        <v>1</v>
      </c>
      <c r="L596" s="2009">
        <v>113.85</v>
      </c>
      <c r="M596" s="1375">
        <f>H596*L596/K596</f>
        <v>0</v>
      </c>
      <c r="N596" s="1376">
        <v>1</v>
      </c>
      <c r="O596" s="1377">
        <f>M596*N596</f>
        <v>0</v>
      </c>
      <c r="P596" s="1375">
        <f>(M596+O596)*0.15</f>
        <v>0</v>
      </c>
      <c r="Q596" s="1378">
        <f>M596+O596+P596</f>
        <v>0</v>
      </c>
      <c r="R596" s="1375">
        <f>Q596*$R$1</f>
        <v>0</v>
      </c>
      <c r="S596" s="1375">
        <f>(Q596+R596)*$S$1</f>
        <v>0</v>
      </c>
      <c r="T596" s="1375">
        <f>Q596+R596+S596</f>
        <v>0</v>
      </c>
      <c r="U596" s="2028">
        <f t="shared" ref="U596" si="721">IF(T596&gt;0,1,0)</f>
        <v>0</v>
      </c>
      <c r="V596" s="1357"/>
      <c r="W596" s="1357"/>
      <c r="X596" s="1357"/>
      <c r="Y596" s="1357"/>
      <c r="AD596" s="2141">
        <f t="shared" si="672"/>
        <v>2.6</v>
      </c>
      <c r="AE596" s="2142" t="str">
        <f t="shared" si="649"/>
        <v/>
      </c>
      <c r="AG596" s="2118" t="s">
        <v>1821</v>
      </c>
    </row>
    <row r="597" spans="1:33" ht="14.25" hidden="1" outlineLevel="3" x14ac:dyDescent="0.2">
      <c r="A597" s="1360">
        <f>A596+1</f>
        <v>181</v>
      </c>
      <c r="B597" s="2051" t="s">
        <v>1798</v>
      </c>
      <c r="C597" s="2052" t="s">
        <v>1620</v>
      </c>
      <c r="D597" s="2053">
        <v>5</v>
      </c>
      <c r="E597" s="2054" t="s">
        <v>462</v>
      </c>
      <c r="F597" s="2120" t="s">
        <v>303</v>
      </c>
      <c r="G597" s="2055">
        <v>0.25</v>
      </c>
      <c r="H597" s="1373">
        <f>IF(H594&gt;0,1,0)</f>
        <v>0</v>
      </c>
      <c r="I597" s="1359">
        <f>IF(G597=0,0,IF(H597&gt;0,IF((G597*H597/K597)&lt;0.084,0.084,(G597*H597/K597)),0))</f>
        <v>0</v>
      </c>
      <c r="J597" s="1374" t="str">
        <f>CONCATENATE(TRUNC(I597,0),":",INT((I597-(TRUNC(I597,0)))*60),":","00")</f>
        <v>0:0:00</v>
      </c>
      <c r="K597" s="500">
        <v>1</v>
      </c>
      <c r="L597" s="2009">
        <v>28.46</v>
      </c>
      <c r="M597" s="1375">
        <f>H597*L597/K597</f>
        <v>0</v>
      </c>
      <c r="N597" s="1376">
        <v>1</v>
      </c>
      <c r="O597" s="1377">
        <f>M597*N597</f>
        <v>0</v>
      </c>
      <c r="P597" s="1375">
        <f>(M597+O597)*0.15</f>
        <v>0</v>
      </c>
      <c r="Q597" s="1378">
        <f>M597+O597+P597</f>
        <v>0</v>
      </c>
      <c r="R597" s="1375">
        <f>Q597*$R$1</f>
        <v>0</v>
      </c>
      <c r="S597" s="1375">
        <f>(Q597+R597)*$S$1</f>
        <v>0</v>
      </c>
      <c r="T597" s="1375">
        <f>Q597+R597+S597</f>
        <v>0</v>
      </c>
      <c r="U597" s="2028">
        <f t="shared" si="720"/>
        <v>0</v>
      </c>
      <c r="V597" s="1357"/>
      <c r="W597" s="1357"/>
      <c r="X597" s="1357"/>
      <c r="Y597" s="1357"/>
      <c r="AD597" s="2141">
        <f t="shared" si="672"/>
        <v>2.6</v>
      </c>
      <c r="AE597" s="2142" t="str">
        <f t="shared" si="649"/>
        <v/>
      </c>
      <c r="AG597" s="2118" t="s">
        <v>1821</v>
      </c>
    </row>
    <row r="598" spans="1:33" ht="30" hidden="1" outlineLevel="1" x14ac:dyDescent="0.2">
      <c r="A598" s="1360"/>
      <c r="B598" s="1366" t="s">
        <v>1622</v>
      </c>
      <c r="C598" s="522"/>
      <c r="D598" s="2152"/>
      <c r="E598" s="523" t="s">
        <v>218</v>
      </c>
      <c r="F598" s="2164"/>
      <c r="G598" s="2178"/>
      <c r="H598" s="1367"/>
      <c r="I598" s="2043">
        <f>I599+I601</f>
        <v>0</v>
      </c>
      <c r="J598" s="524"/>
      <c r="K598" s="524"/>
      <c r="L598" s="526"/>
      <c r="M598" s="1368"/>
      <c r="N598" s="524"/>
      <c r="O598" s="1369"/>
      <c r="P598" s="1368"/>
      <c r="Q598" s="1370"/>
      <c r="R598" s="1368"/>
      <c r="S598" s="1371">
        <f>SUM(T599:T601)</f>
        <v>0</v>
      </c>
      <c r="T598" s="1370"/>
      <c r="U598" s="2028">
        <f t="shared" ref="U598:U601" si="722">IF(T598&gt;0,1,0)</f>
        <v>0</v>
      </c>
      <c r="V598" s="1357"/>
      <c r="W598" s="1357"/>
      <c r="X598" s="1357"/>
      <c r="Y598" s="1357"/>
      <c r="AD598" s="2141" t="str">
        <f t="shared" si="672"/>
        <v/>
      </c>
      <c r="AE598" s="2142" t="str">
        <f t="shared" si="649"/>
        <v/>
      </c>
      <c r="AG598" s="2118" t="s">
        <v>1821</v>
      </c>
    </row>
    <row r="599" spans="1:33" ht="28.5" hidden="1" outlineLevel="3" x14ac:dyDescent="0.2">
      <c r="A599" s="1360">
        <f>A597+1</f>
        <v>182</v>
      </c>
      <c r="B599" s="2051" t="s">
        <v>1799</v>
      </c>
      <c r="C599" s="2052" t="s">
        <v>1623</v>
      </c>
      <c r="D599" s="2053">
        <v>5</v>
      </c>
      <c r="E599" s="2054" t="s">
        <v>462</v>
      </c>
      <c r="F599" s="2120" t="s">
        <v>344</v>
      </c>
      <c r="G599" s="2055">
        <v>0.4</v>
      </c>
      <c r="H599" s="1373"/>
      <c r="I599" s="1359">
        <f>IF(G599=0,0,IF(H599&gt;0,IF((G599*H599/K599)&lt;0.084,0.084,(G599*H599/K599)),0))</f>
        <v>0</v>
      </c>
      <c r="J599" s="1374" t="str">
        <f>CONCATENATE(TRUNC(I599,0),":",INT((I599-(TRUNC(I599,0)))*60),":","00")</f>
        <v>0:0:00</v>
      </c>
      <c r="K599" s="500">
        <v>1000</v>
      </c>
      <c r="L599" s="2009">
        <v>45.54</v>
      </c>
      <c r="M599" s="1375">
        <f>H599*L599/K599</f>
        <v>0</v>
      </c>
      <c r="N599" s="1376">
        <v>1</v>
      </c>
      <c r="O599" s="1377">
        <f>M599*N599</f>
        <v>0</v>
      </c>
      <c r="P599" s="1375">
        <f>(M599+O599)*0.15</f>
        <v>0</v>
      </c>
      <c r="Q599" s="1378">
        <f>M599+O599+P599</f>
        <v>0</v>
      </c>
      <c r="R599" s="1375">
        <f>Q599*$R$1</f>
        <v>0</v>
      </c>
      <c r="S599" s="1375">
        <f>(Q599+R599)*$S$1</f>
        <v>0</v>
      </c>
      <c r="T599" s="1375">
        <f>Q599+R599+S599</f>
        <v>0</v>
      </c>
      <c r="U599" s="2028">
        <f t="shared" si="722"/>
        <v>0</v>
      </c>
      <c r="V599" s="1357"/>
      <c r="W599" s="1357"/>
      <c r="X599" s="1357"/>
      <c r="Y599" s="1357"/>
      <c r="AD599" s="2141">
        <f t="shared" si="672"/>
        <v>2.6</v>
      </c>
      <c r="AE599" s="2142" t="str">
        <f t="shared" si="649"/>
        <v/>
      </c>
      <c r="AG599" s="2118" t="s">
        <v>1821</v>
      </c>
    </row>
    <row r="600" spans="1:33" ht="28.5" hidden="1" outlineLevel="3" x14ac:dyDescent="0.2">
      <c r="A600" s="1360">
        <f>A599+1</f>
        <v>183</v>
      </c>
      <c r="B600" s="2051" t="s">
        <v>1800</v>
      </c>
      <c r="C600" s="2052" t="s">
        <v>1623</v>
      </c>
      <c r="D600" s="2053">
        <v>4</v>
      </c>
      <c r="E600" s="2054" t="s">
        <v>462</v>
      </c>
      <c r="F600" s="2120" t="s">
        <v>344</v>
      </c>
      <c r="G600" s="2055">
        <v>0.4</v>
      </c>
      <c r="H600" s="1373">
        <f>H599</f>
        <v>0</v>
      </c>
      <c r="I600" s="1359">
        <f>IF(G600=0,0,IF(H600&gt;0,IF((G600*H600/K600)&lt;0.084,0.084,(G600*H600/K600)),0))</f>
        <v>0</v>
      </c>
      <c r="J600" s="1374" t="str">
        <f>CONCATENATE(TRUNC(I600,0),":",INT((I600-(TRUNC(I600,0)))*60),":","00")</f>
        <v>0:0:00</v>
      </c>
      <c r="K600" s="500">
        <v>1000</v>
      </c>
      <c r="L600" s="2010">
        <v>38.06</v>
      </c>
      <c r="M600" s="1375">
        <f>H600*L600/K600</f>
        <v>0</v>
      </c>
      <c r="N600" s="1376">
        <v>1</v>
      </c>
      <c r="O600" s="1377">
        <f>M600*N600</f>
        <v>0</v>
      </c>
      <c r="P600" s="1375">
        <f>(M600+O600)*0.15</f>
        <v>0</v>
      </c>
      <c r="Q600" s="1378">
        <f>M600+O600+P600</f>
        <v>0</v>
      </c>
      <c r="R600" s="1375">
        <f>Q600*$R$1</f>
        <v>0</v>
      </c>
      <c r="S600" s="1375">
        <f>(Q600+R600)*$S$1</f>
        <v>0</v>
      </c>
      <c r="T600" s="1375">
        <f>Q600+R600+S600</f>
        <v>0</v>
      </c>
      <c r="U600" s="2028">
        <f t="shared" si="722"/>
        <v>0</v>
      </c>
      <c r="V600" s="1357"/>
      <c r="W600" s="1357"/>
      <c r="X600" s="1357"/>
      <c r="Y600" s="1357"/>
      <c r="AD600" s="2141">
        <f t="shared" si="672"/>
        <v>2.6</v>
      </c>
      <c r="AE600" s="2142" t="str">
        <f t="shared" si="649"/>
        <v/>
      </c>
      <c r="AG600" s="2118" t="s">
        <v>1821</v>
      </c>
    </row>
    <row r="601" spans="1:33" ht="14.25" hidden="1" outlineLevel="3" x14ac:dyDescent="0.2">
      <c r="A601" s="1360">
        <f>A600+1</f>
        <v>184</v>
      </c>
      <c r="B601" s="2051" t="s">
        <v>1801</v>
      </c>
      <c r="C601" s="2052" t="s">
        <v>1623</v>
      </c>
      <c r="D601" s="2053">
        <v>5</v>
      </c>
      <c r="E601" s="2054" t="s">
        <v>462</v>
      </c>
      <c r="F601" s="2120" t="s">
        <v>303</v>
      </c>
      <c r="G601" s="2055">
        <v>1.167</v>
      </c>
      <c r="H601" s="1373">
        <f>IF(H599&gt;0,1,0)</f>
        <v>0</v>
      </c>
      <c r="I601" s="1359">
        <f>IF(G601=0,0,IF(H601&gt;0,IF((G601*H601/K601)&lt;0.084,0.084,(G601*H601/K601)),0))</f>
        <v>0</v>
      </c>
      <c r="J601" s="1374" t="str">
        <f>CONCATENATE(TRUNC(I601,0),":",INT((I601-(TRUNC(I601,0)))*60),":","00")</f>
        <v>0:0:00</v>
      </c>
      <c r="K601" s="500">
        <v>1</v>
      </c>
      <c r="L601" s="2009">
        <v>132.85</v>
      </c>
      <c r="M601" s="1375">
        <f>H601*L601/K601</f>
        <v>0</v>
      </c>
      <c r="N601" s="1376">
        <v>1</v>
      </c>
      <c r="O601" s="1377">
        <f>M601*N601</f>
        <v>0</v>
      </c>
      <c r="P601" s="1375">
        <f>(M601+O601)*0.15</f>
        <v>0</v>
      </c>
      <c r="Q601" s="1378">
        <f>M601+O601+P601</f>
        <v>0</v>
      </c>
      <c r="R601" s="1375">
        <f>Q601*$R$1</f>
        <v>0</v>
      </c>
      <c r="S601" s="1375">
        <f>(Q601+R601)*$S$1</f>
        <v>0</v>
      </c>
      <c r="T601" s="1375">
        <f>Q601+R601+S601</f>
        <v>0</v>
      </c>
      <c r="U601" s="2028">
        <f t="shared" si="722"/>
        <v>0</v>
      </c>
      <c r="V601" s="1357"/>
      <c r="W601" s="1357"/>
      <c r="X601" s="1357"/>
      <c r="Y601" s="1357"/>
      <c r="AD601" s="2141">
        <f t="shared" si="672"/>
        <v>2.6</v>
      </c>
      <c r="AE601" s="2142" t="str">
        <f t="shared" si="649"/>
        <v/>
      </c>
      <c r="AG601" s="2118" t="s">
        <v>1821</v>
      </c>
    </row>
    <row r="602" spans="1:33" ht="15" hidden="1" outlineLevel="1" x14ac:dyDescent="0.2">
      <c r="A602" s="1360"/>
      <c r="B602" s="1366" t="s">
        <v>1105</v>
      </c>
      <c r="C602" s="522"/>
      <c r="D602" s="2152"/>
      <c r="E602" s="523" t="s">
        <v>218</v>
      </c>
      <c r="F602" s="2164"/>
      <c r="G602" s="2179"/>
      <c r="H602" s="1367"/>
      <c r="I602" s="2043">
        <f>I604+I606+I607</f>
        <v>0</v>
      </c>
      <c r="J602" s="524"/>
      <c r="K602" s="524"/>
      <c r="L602" s="526"/>
      <c r="M602" s="1368"/>
      <c r="N602" s="524"/>
      <c r="O602" s="1369"/>
      <c r="P602" s="1368"/>
      <c r="Q602" s="1370"/>
      <c r="R602" s="1368"/>
      <c r="S602" s="1371">
        <f>SUM(T603:T607)</f>
        <v>0</v>
      </c>
      <c r="T602" s="1370"/>
      <c r="U602" s="2028">
        <f t="shared" si="449"/>
        <v>0</v>
      </c>
      <c r="V602" s="1357"/>
      <c r="W602" s="1357"/>
      <c r="X602" s="1357"/>
      <c r="Y602" s="1357"/>
      <c r="AD602" s="2141" t="str">
        <f t="shared" si="672"/>
        <v/>
      </c>
      <c r="AE602" s="2142" t="str">
        <f t="shared" ref="AE602:AE666" si="723">IF(T602&gt;0,T602*AD602,"")</f>
        <v/>
      </c>
      <c r="AG602" s="2118" t="s">
        <v>1816</v>
      </c>
    </row>
    <row r="603" spans="1:33" ht="42.75" hidden="1" outlineLevel="2" x14ac:dyDescent="0.2">
      <c r="A603" s="1360"/>
      <c r="B603" s="1384" t="s">
        <v>1111</v>
      </c>
      <c r="C603" s="528"/>
      <c r="D603" s="2155"/>
      <c r="E603" s="529" t="s">
        <v>218</v>
      </c>
      <c r="F603" s="2166"/>
      <c r="G603" s="2185"/>
      <c r="H603" s="1385"/>
      <c r="I603" s="530"/>
      <c r="J603" s="530"/>
      <c r="K603" s="530"/>
      <c r="L603" s="531"/>
      <c r="M603" s="1386"/>
      <c r="N603" s="530"/>
      <c r="O603" s="1387"/>
      <c r="P603" s="1386"/>
      <c r="Q603" s="1388"/>
      <c r="R603" s="1386"/>
      <c r="S603" s="1386"/>
      <c r="T603" s="1388"/>
      <c r="U603" s="2028">
        <f t="shared" si="449"/>
        <v>0</v>
      </c>
      <c r="V603" s="1357"/>
      <c r="W603" s="1357"/>
      <c r="X603" s="1357"/>
      <c r="Y603" s="1357"/>
      <c r="AD603" s="2141" t="str">
        <f t="shared" si="672"/>
        <v/>
      </c>
      <c r="AE603" s="2142" t="str">
        <f t="shared" si="723"/>
        <v/>
      </c>
      <c r="AG603" s="2118" t="s">
        <v>1816</v>
      </c>
    </row>
    <row r="604" spans="1:33" ht="63.75" hidden="1" outlineLevel="3" x14ac:dyDescent="0.2">
      <c r="A604" s="1360">
        <f>A601+1</f>
        <v>185</v>
      </c>
      <c r="B604" s="1389" t="s">
        <v>1624</v>
      </c>
      <c r="C604" s="532" t="s">
        <v>1106</v>
      </c>
      <c r="D604" s="1358">
        <v>4</v>
      </c>
      <c r="E604" s="499" t="s">
        <v>465</v>
      </c>
      <c r="F604" s="2024" t="s">
        <v>303</v>
      </c>
      <c r="G604" s="1383">
        <v>10</v>
      </c>
      <c r="H604" s="1373"/>
      <c r="I604" s="1359">
        <f>IF(G604=0,0,IF(H604&gt;0,IF((G604*H604/K604)&lt;0.084,0.084,(G604*H604/K604)),0))</f>
        <v>0</v>
      </c>
      <c r="J604" s="1374" t="str">
        <f>CONCATENATE(TRUNC(I604,0),":",INT((I604-(TRUNC(I604,0)))*60),":","00")</f>
        <v>0:0:00</v>
      </c>
      <c r="K604" s="500">
        <v>1000</v>
      </c>
      <c r="L604" s="2009">
        <v>951.5</v>
      </c>
      <c r="M604" s="1375">
        <f>H604*L604/K604</f>
        <v>0</v>
      </c>
      <c r="N604" s="1376">
        <v>1</v>
      </c>
      <c r="O604" s="1377">
        <f>M604*N604</f>
        <v>0</v>
      </c>
      <c r="P604" s="1375">
        <f>(M604+O604)*0.15</f>
        <v>0</v>
      </c>
      <c r="Q604" s="1378">
        <f>M604+O604+P604</f>
        <v>0</v>
      </c>
      <c r="R604" s="1375">
        <f>Q604*$R$1</f>
        <v>0</v>
      </c>
      <c r="S604" s="1375">
        <f>(Q604+R604)*$S$1</f>
        <v>0</v>
      </c>
      <c r="T604" s="1375">
        <f>Q604+R604+S604</f>
        <v>0</v>
      </c>
      <c r="U604" s="2028">
        <f t="shared" si="449"/>
        <v>0</v>
      </c>
      <c r="V604" s="1357"/>
      <c r="W604" s="1357"/>
      <c r="X604" s="1357"/>
      <c r="Y604" s="1357"/>
      <c r="AD604" s="2141">
        <f t="shared" si="672"/>
        <v>2.6</v>
      </c>
      <c r="AE604" s="2142" t="str">
        <f t="shared" si="723"/>
        <v/>
      </c>
      <c r="AG604" s="2118" t="s">
        <v>1816</v>
      </c>
    </row>
    <row r="605" spans="1:33" ht="42.75" hidden="1" outlineLevel="2" x14ac:dyDescent="0.2">
      <c r="A605" s="1360"/>
      <c r="B605" s="1384" t="s">
        <v>1112</v>
      </c>
      <c r="C605" s="528"/>
      <c r="D605" s="2155"/>
      <c r="E605" s="529" t="s">
        <v>218</v>
      </c>
      <c r="F605" s="2166"/>
      <c r="G605" s="2184"/>
      <c r="H605" s="1385"/>
      <c r="I605" s="530"/>
      <c r="J605" s="530"/>
      <c r="K605" s="530"/>
      <c r="L605" s="2007"/>
      <c r="M605" s="1386"/>
      <c r="N605" s="530"/>
      <c r="O605" s="1387"/>
      <c r="P605" s="1386"/>
      <c r="Q605" s="1388"/>
      <c r="R605" s="1386"/>
      <c r="S605" s="1386"/>
      <c r="T605" s="1388"/>
      <c r="U605" s="2028">
        <f t="shared" si="449"/>
        <v>0</v>
      </c>
      <c r="V605" s="1357"/>
      <c r="W605" s="1357"/>
      <c r="X605" s="1357"/>
      <c r="Y605" s="1357"/>
      <c r="AD605" s="2141" t="str">
        <f t="shared" si="672"/>
        <v/>
      </c>
      <c r="AE605" s="2142" t="str">
        <f t="shared" si="723"/>
        <v/>
      </c>
      <c r="AG605" s="2118" t="s">
        <v>1816</v>
      </c>
    </row>
    <row r="606" spans="1:33" ht="51" hidden="1" outlineLevel="3" x14ac:dyDescent="0.2">
      <c r="A606" s="1360">
        <f>A604+1</f>
        <v>186</v>
      </c>
      <c r="B606" s="1389" t="s">
        <v>1625</v>
      </c>
      <c r="C606" s="532" t="s">
        <v>1107</v>
      </c>
      <c r="D606" s="1358">
        <v>4</v>
      </c>
      <c r="E606" s="499" t="s">
        <v>465</v>
      </c>
      <c r="F606" s="2024" t="s">
        <v>303</v>
      </c>
      <c r="G606" s="1383">
        <v>5.3330000000000002</v>
      </c>
      <c r="H606" s="1373"/>
      <c r="I606" s="1359">
        <f>IF(G606=0,0,IF(H606&gt;0,IF((G606*H606/K606)&lt;0.084,0.084,(G606*H606/K606)),0))</f>
        <v>0</v>
      </c>
      <c r="J606" s="1374" t="str">
        <f>CONCATENATE(TRUNC(I606,0),":",INT((I606-(TRUNC(I606,0)))*60),":","00")</f>
        <v>0:0:00</v>
      </c>
      <c r="K606" s="500">
        <v>1000</v>
      </c>
      <c r="L606" s="2009">
        <v>506.12</v>
      </c>
      <c r="M606" s="1375">
        <f>H606*L606/K606</f>
        <v>0</v>
      </c>
      <c r="N606" s="1376">
        <v>1</v>
      </c>
      <c r="O606" s="1377">
        <f>M606*N606</f>
        <v>0</v>
      </c>
      <c r="P606" s="1375">
        <f>(M606+O606)*0.15</f>
        <v>0</v>
      </c>
      <c r="Q606" s="1378">
        <f>M606+O606+P606</f>
        <v>0</v>
      </c>
      <c r="R606" s="1375">
        <f>Q606*$R$1</f>
        <v>0</v>
      </c>
      <c r="S606" s="1375">
        <f>(Q606+R606)*$S$1</f>
        <v>0</v>
      </c>
      <c r="T606" s="1375">
        <f>Q606+R606+S606</f>
        <v>0</v>
      </c>
      <c r="U606" s="2028">
        <f t="shared" si="449"/>
        <v>0</v>
      </c>
      <c r="V606" s="1357"/>
      <c r="W606" s="1357"/>
      <c r="X606" s="1357"/>
      <c r="Y606" s="1357"/>
      <c r="AD606" s="2141">
        <f t="shared" si="672"/>
        <v>2.6</v>
      </c>
      <c r="AE606" s="2142" t="str">
        <f t="shared" si="723"/>
        <v/>
      </c>
      <c r="AG606" s="2118" t="s">
        <v>1816</v>
      </c>
    </row>
    <row r="607" spans="1:33" ht="28.5" hidden="1" outlineLevel="3" x14ac:dyDescent="0.2">
      <c r="A607" s="1360">
        <f>A606+1</f>
        <v>187</v>
      </c>
      <c r="B607" s="1372" t="s">
        <v>1626</v>
      </c>
      <c r="C607" s="532" t="s">
        <v>1105</v>
      </c>
      <c r="D607" s="1358">
        <v>4</v>
      </c>
      <c r="E607" s="499" t="s">
        <v>465</v>
      </c>
      <c r="F607" s="2024" t="s">
        <v>303</v>
      </c>
      <c r="G607" s="1383">
        <v>0.17</v>
      </c>
      <c r="H607" s="1513">
        <f>IF((H604+H606)&gt;0,1,0)</f>
        <v>0</v>
      </c>
      <c r="I607" s="1359">
        <f>IF(G607=0,0,IF(H607&gt;0,IF((G607*H607/K607)&lt;0.084,0.084,(G607*H607/K607)),0))</f>
        <v>0</v>
      </c>
      <c r="J607" s="1374" t="str">
        <f>CONCATENATE(TRUNC(I607,0),":",INT((I607-(TRUNC(I607,0)))*60),":","00")</f>
        <v>0:0:00</v>
      </c>
      <c r="K607" s="500">
        <v>1</v>
      </c>
      <c r="L607" s="2009">
        <v>16.18</v>
      </c>
      <c r="M607" s="1375">
        <f>H607*L607/K607</f>
        <v>0</v>
      </c>
      <c r="N607" s="1376">
        <v>1</v>
      </c>
      <c r="O607" s="1377">
        <f>M607*N607</f>
        <v>0</v>
      </c>
      <c r="P607" s="1375">
        <f>(M607+O607)*0.15</f>
        <v>0</v>
      </c>
      <c r="Q607" s="1378">
        <f>M607+O607+P607</f>
        <v>0</v>
      </c>
      <c r="R607" s="1375">
        <f>Q607*$R$1</f>
        <v>0</v>
      </c>
      <c r="S607" s="1375">
        <f>(Q607+R607)*$S$1</f>
        <v>0</v>
      </c>
      <c r="T607" s="1375">
        <f>Q607+R607+S607</f>
        <v>0</v>
      </c>
      <c r="U607" s="2028">
        <f t="shared" si="449"/>
        <v>0</v>
      </c>
      <c r="V607" s="1357"/>
      <c r="W607" s="1357"/>
      <c r="X607" s="1357"/>
      <c r="Y607" s="1357"/>
      <c r="AD607" s="2141">
        <f t="shared" si="672"/>
        <v>2.6</v>
      </c>
      <c r="AE607" s="2142" t="str">
        <f t="shared" si="723"/>
        <v/>
      </c>
      <c r="AG607" s="2118" t="s">
        <v>1816</v>
      </c>
    </row>
    <row r="608" spans="1:33" ht="15" hidden="1" outlineLevel="1" x14ac:dyDescent="0.2">
      <c r="A608" s="1360"/>
      <c r="B608" s="1366" t="s">
        <v>1044</v>
      </c>
      <c r="C608" s="522"/>
      <c r="D608" s="2152"/>
      <c r="E608" s="523" t="s">
        <v>218</v>
      </c>
      <c r="F608" s="2164"/>
      <c r="G608" s="2179"/>
      <c r="H608" s="1367"/>
      <c r="I608" s="2043">
        <f>I610+I613+I615+I616+I617</f>
        <v>0</v>
      </c>
      <c r="J608" s="524"/>
      <c r="K608" s="524"/>
      <c r="L608" s="526"/>
      <c r="M608" s="1368"/>
      <c r="N608" s="524"/>
      <c r="O608" s="1369"/>
      <c r="P608" s="1368"/>
      <c r="Q608" s="1370"/>
      <c r="R608" s="1368"/>
      <c r="S608" s="1371">
        <f>SUM(T609:T617)</f>
        <v>0</v>
      </c>
      <c r="T608" s="1370"/>
      <c r="U608" s="2028">
        <f t="shared" si="449"/>
        <v>0</v>
      </c>
      <c r="V608" s="1357"/>
      <c r="W608" s="1357"/>
      <c r="X608" s="1357"/>
      <c r="Y608" s="1357"/>
      <c r="AD608" s="2141" t="str">
        <f t="shared" si="672"/>
        <v/>
      </c>
      <c r="AE608" s="2142" t="str">
        <f t="shared" si="723"/>
        <v/>
      </c>
      <c r="AG608" s="2118" t="s">
        <v>1816</v>
      </c>
    </row>
    <row r="609" spans="1:33" ht="42.75" hidden="1" outlineLevel="2" x14ac:dyDescent="0.2">
      <c r="A609" s="1360"/>
      <c r="B609" s="1384" t="s">
        <v>1627</v>
      </c>
      <c r="C609" s="528"/>
      <c r="D609" s="2155"/>
      <c r="E609" s="529" t="s">
        <v>218</v>
      </c>
      <c r="F609" s="2166"/>
      <c r="G609" s="2185"/>
      <c r="H609" s="1385"/>
      <c r="I609" s="530"/>
      <c r="J609" s="530"/>
      <c r="K609" s="530"/>
      <c r="L609" s="531"/>
      <c r="M609" s="1386"/>
      <c r="N609" s="530"/>
      <c r="O609" s="1387"/>
      <c r="P609" s="1386"/>
      <c r="Q609" s="1388"/>
      <c r="R609" s="1386"/>
      <c r="S609" s="1386"/>
      <c r="T609" s="1388"/>
      <c r="U609" s="2028">
        <f t="shared" si="449"/>
        <v>0</v>
      </c>
      <c r="V609" s="1357"/>
      <c r="W609" s="1357"/>
      <c r="X609" s="1357"/>
      <c r="Y609" s="1357"/>
      <c r="AD609" s="2141" t="str">
        <f t="shared" si="672"/>
        <v/>
      </c>
      <c r="AE609" s="2142" t="str">
        <f t="shared" si="723"/>
        <v/>
      </c>
      <c r="AG609" s="2118" t="s">
        <v>1816</v>
      </c>
    </row>
    <row r="610" spans="1:33" ht="63.75" hidden="1" outlineLevel="3" x14ac:dyDescent="0.2">
      <c r="A610" s="1360">
        <f>A607+1</f>
        <v>188</v>
      </c>
      <c r="B610" s="1389" t="s">
        <v>1628</v>
      </c>
      <c r="C610" s="532" t="s">
        <v>1108</v>
      </c>
      <c r="D610" s="1358">
        <v>4</v>
      </c>
      <c r="E610" s="499" t="s">
        <v>465</v>
      </c>
      <c r="F610" s="2024" t="s">
        <v>303</v>
      </c>
      <c r="G610" s="1383">
        <v>1.851</v>
      </c>
      <c r="H610" s="1373"/>
      <c r="I610" s="1359">
        <f>IF(G610=0,0,IF(H610&gt;0,IF((G610*H610/K610)&lt;0.084,0.084,(G610*H610/K610)),0))</f>
        <v>0</v>
      </c>
      <c r="J610" s="1374" t="str">
        <f>CONCATENATE(TRUNC(I610,0),":",INT((I610-(TRUNC(I610,0)))*60),":","00")</f>
        <v>0:0:00</v>
      </c>
      <c r="K610" s="500">
        <v>1000</v>
      </c>
      <c r="L610" s="2009">
        <v>203.42</v>
      </c>
      <c r="M610" s="1375">
        <f>H610*L610/K610</f>
        <v>0</v>
      </c>
      <c r="N610" s="1376">
        <v>1</v>
      </c>
      <c r="O610" s="1377">
        <f>M610*N610</f>
        <v>0</v>
      </c>
      <c r="P610" s="1375">
        <f>(M610+O610)*0.15</f>
        <v>0</v>
      </c>
      <c r="Q610" s="1378">
        <f>M610+O610+P610</f>
        <v>0</v>
      </c>
      <c r="R610" s="1375">
        <f>Q610*$R$1</f>
        <v>0</v>
      </c>
      <c r="S610" s="1375">
        <f>(Q610+R610)*$S$1</f>
        <v>0</v>
      </c>
      <c r="T610" s="1375">
        <f>Q610+R610+S610</f>
        <v>0</v>
      </c>
      <c r="U610" s="2028">
        <f t="shared" si="449"/>
        <v>0</v>
      </c>
      <c r="V610" s="1357"/>
      <c r="W610" s="1357"/>
      <c r="X610" s="1357"/>
      <c r="Y610" s="1357"/>
      <c r="AD610" s="2141">
        <f t="shared" si="672"/>
        <v>2.6</v>
      </c>
      <c r="AE610" s="2142" t="str">
        <f t="shared" si="723"/>
        <v/>
      </c>
      <c r="AG610" s="2118" t="s">
        <v>1816</v>
      </c>
    </row>
    <row r="611" spans="1:33" ht="63.75" hidden="1" outlineLevel="3" x14ac:dyDescent="0.2">
      <c r="A611" s="1360">
        <f>A610+1</f>
        <v>189</v>
      </c>
      <c r="B611" s="1389" t="s">
        <v>1629</v>
      </c>
      <c r="C611" s="532" t="s">
        <v>1108</v>
      </c>
      <c r="D611" s="1390">
        <v>2</v>
      </c>
      <c r="E611" s="499" t="s">
        <v>465</v>
      </c>
      <c r="F611" s="2024" t="s">
        <v>303</v>
      </c>
      <c r="G611" s="1383">
        <v>1.851</v>
      </c>
      <c r="H611" s="1373">
        <f>H610</f>
        <v>0</v>
      </c>
      <c r="I611" s="1359">
        <f>IF(G611=0,0,IF(H611&gt;0,IF((G611*H611/K611)&lt;0.084,0.084,(G611*H611/K611)),0))</f>
        <v>0</v>
      </c>
      <c r="J611" s="1374" t="str">
        <f>CONCATENATE(TRUNC(I611,0),":",INT((I611-(TRUNC(I611,0)))*60),":","00")</f>
        <v>0:0:00</v>
      </c>
      <c r="K611" s="500">
        <v>1000</v>
      </c>
      <c r="L611" s="2009">
        <v>135.61000000000001</v>
      </c>
      <c r="M611" s="1375">
        <f>H611*L611/K611</f>
        <v>0</v>
      </c>
      <c r="N611" s="1376">
        <v>1</v>
      </c>
      <c r="O611" s="1377">
        <f>M611*N611</f>
        <v>0</v>
      </c>
      <c r="P611" s="1375">
        <f>(M611+O611)*0.15</f>
        <v>0</v>
      </c>
      <c r="Q611" s="1378">
        <f>M611+O611+P611</f>
        <v>0</v>
      </c>
      <c r="R611" s="1375">
        <f>Q611*$R$1</f>
        <v>0</v>
      </c>
      <c r="S611" s="1375">
        <f>(Q611+R611)*$S$1</f>
        <v>0</v>
      </c>
      <c r="T611" s="1375">
        <f>Q611+R611+S611</f>
        <v>0</v>
      </c>
      <c r="U611" s="2028">
        <f t="shared" si="449"/>
        <v>0</v>
      </c>
      <c r="V611" s="1357"/>
      <c r="W611" s="1357"/>
      <c r="X611" s="1357"/>
      <c r="Y611" s="1357"/>
      <c r="AD611" s="2141">
        <f t="shared" si="672"/>
        <v>1.5</v>
      </c>
      <c r="AE611" s="2142" t="str">
        <f t="shared" si="723"/>
        <v/>
      </c>
      <c r="AG611" s="2118" t="s">
        <v>1816</v>
      </c>
    </row>
    <row r="612" spans="1:33" ht="28.5" hidden="1" outlineLevel="2" x14ac:dyDescent="0.2">
      <c r="A612" s="1360"/>
      <c r="B612" s="1384" t="s">
        <v>1109</v>
      </c>
      <c r="C612" s="528"/>
      <c r="D612" s="2155"/>
      <c r="E612" s="529" t="s">
        <v>218</v>
      </c>
      <c r="F612" s="2166"/>
      <c r="G612" s="2184"/>
      <c r="H612" s="1385"/>
      <c r="I612" s="530"/>
      <c r="J612" s="530"/>
      <c r="K612" s="530"/>
      <c r="L612" s="2007"/>
      <c r="M612" s="1386"/>
      <c r="N612" s="530"/>
      <c r="O612" s="1387"/>
      <c r="P612" s="1386"/>
      <c r="Q612" s="1388"/>
      <c r="R612" s="1386"/>
      <c r="S612" s="1386"/>
      <c r="T612" s="1388"/>
      <c r="U612" s="2028">
        <f t="shared" si="449"/>
        <v>0</v>
      </c>
      <c r="V612" s="1357"/>
      <c r="W612" s="1357"/>
      <c r="X612" s="1357"/>
      <c r="Y612" s="1357"/>
      <c r="AD612" s="2141" t="str">
        <f t="shared" si="672"/>
        <v/>
      </c>
      <c r="AE612" s="2142" t="str">
        <f t="shared" si="723"/>
        <v/>
      </c>
      <c r="AG612" s="2118" t="s">
        <v>1816</v>
      </c>
    </row>
    <row r="613" spans="1:33" ht="51" hidden="1" outlineLevel="3" x14ac:dyDescent="0.2">
      <c r="A613" s="1360">
        <f>A611+1</f>
        <v>190</v>
      </c>
      <c r="B613" s="1389" t="s">
        <v>1630</v>
      </c>
      <c r="C613" s="532" t="s">
        <v>1110</v>
      </c>
      <c r="D613" s="1358">
        <v>4</v>
      </c>
      <c r="E613" s="499" t="s">
        <v>465</v>
      </c>
      <c r="F613" s="2024" t="s">
        <v>303</v>
      </c>
      <c r="G613" s="1383">
        <v>1.623</v>
      </c>
      <c r="H613" s="1373"/>
      <c r="I613" s="1359">
        <f>IF(G613=0,0,IF(H613&gt;0,IF((G613*H613/K613)&lt;0.084,0.084,(G613*H613/K613)),0))</f>
        <v>0</v>
      </c>
      <c r="J613" s="1374" t="str">
        <f>CONCATENATE(TRUNC(I613,0),":",INT((I613-(TRUNC(I613,0)))*60),":","00")</f>
        <v>0:0:00</v>
      </c>
      <c r="K613" s="500">
        <v>1000</v>
      </c>
      <c r="L613" s="2009">
        <v>167.79</v>
      </c>
      <c r="M613" s="1375">
        <f>H613*L613/K613</f>
        <v>0</v>
      </c>
      <c r="N613" s="1376">
        <v>1</v>
      </c>
      <c r="O613" s="1377">
        <f>M613*N613</f>
        <v>0</v>
      </c>
      <c r="P613" s="1375">
        <f>(M613+O613)*0.15</f>
        <v>0</v>
      </c>
      <c r="Q613" s="1378">
        <f>M613+O613+P613</f>
        <v>0</v>
      </c>
      <c r="R613" s="1375">
        <f>Q613*$R$1</f>
        <v>0</v>
      </c>
      <c r="S613" s="1375">
        <f>(Q613+R613)*$S$1</f>
        <v>0</v>
      </c>
      <c r="T613" s="1375">
        <f>Q613+R613+S613</f>
        <v>0</v>
      </c>
      <c r="U613" s="2028">
        <f t="shared" si="449"/>
        <v>0</v>
      </c>
      <c r="V613" s="1357"/>
      <c r="W613" s="1357"/>
      <c r="X613" s="1357"/>
      <c r="Y613" s="1357"/>
      <c r="AD613" s="2141">
        <f t="shared" si="672"/>
        <v>2.6</v>
      </c>
      <c r="AE613" s="2142" t="str">
        <f t="shared" si="723"/>
        <v/>
      </c>
      <c r="AG613" s="2118" t="s">
        <v>1816</v>
      </c>
    </row>
    <row r="614" spans="1:33" ht="51" hidden="1" outlineLevel="3" x14ac:dyDescent="0.2">
      <c r="A614" s="1360">
        <f>A613+1</f>
        <v>191</v>
      </c>
      <c r="B614" s="1389" t="s">
        <v>1631</v>
      </c>
      <c r="C614" s="532" t="s">
        <v>1110</v>
      </c>
      <c r="D614" s="1390">
        <v>2</v>
      </c>
      <c r="E614" s="499" t="s">
        <v>465</v>
      </c>
      <c r="F614" s="2024" t="s">
        <v>303</v>
      </c>
      <c r="G614" s="1383">
        <v>1.623</v>
      </c>
      <c r="H614" s="1373">
        <f>H613</f>
        <v>0</v>
      </c>
      <c r="I614" s="1359">
        <f>IF(G614=0,0,IF(H614&gt;0,IF((G614*H614/K614)&lt;0.084,0.084,(G614*H614/K614)),0))</f>
        <v>0</v>
      </c>
      <c r="J614" s="1374" t="str">
        <f>CONCATENATE(TRUNC(I614,0),":",INT((I614-(TRUNC(I614,0)))*60),":","00")</f>
        <v>0:0:00</v>
      </c>
      <c r="K614" s="500">
        <v>1000</v>
      </c>
      <c r="L614" s="2009">
        <v>111.87</v>
      </c>
      <c r="M614" s="1375">
        <f>H614*L614/K614</f>
        <v>0</v>
      </c>
      <c r="N614" s="1376">
        <v>1</v>
      </c>
      <c r="O614" s="1377">
        <f>M614*N614</f>
        <v>0</v>
      </c>
      <c r="P614" s="1375">
        <f>(M614+O614)*0.15</f>
        <v>0</v>
      </c>
      <c r="Q614" s="1378">
        <f>M614+O614+P614</f>
        <v>0</v>
      </c>
      <c r="R614" s="1375">
        <f>Q614*$R$1</f>
        <v>0</v>
      </c>
      <c r="S614" s="1375">
        <f>(Q614+R614)*$S$1</f>
        <v>0</v>
      </c>
      <c r="T614" s="1375">
        <f>Q614+R614+S614</f>
        <v>0</v>
      </c>
      <c r="U614" s="2028">
        <f t="shared" si="449"/>
        <v>0</v>
      </c>
      <c r="V614" s="1357"/>
      <c r="W614" s="1357"/>
      <c r="X614" s="1357"/>
      <c r="Y614" s="1357"/>
      <c r="AD614" s="2141">
        <f t="shared" si="672"/>
        <v>1.5</v>
      </c>
      <c r="AE614" s="2142" t="str">
        <f t="shared" si="723"/>
        <v/>
      </c>
      <c r="AG614" s="2118" t="s">
        <v>1816</v>
      </c>
    </row>
    <row r="615" spans="1:33" ht="14.25" hidden="1" outlineLevel="3" x14ac:dyDescent="0.2">
      <c r="A615" s="1360">
        <f t="shared" ref="A615:A617" si="724">A614+1</f>
        <v>192</v>
      </c>
      <c r="B615" s="1389" t="s">
        <v>1632</v>
      </c>
      <c r="C615" s="532" t="s">
        <v>1044</v>
      </c>
      <c r="D615" s="1358">
        <v>4</v>
      </c>
      <c r="E615" s="499" t="s">
        <v>465</v>
      </c>
      <c r="F615" s="2024" t="s">
        <v>303</v>
      </c>
      <c r="G615" s="1383">
        <v>0.5</v>
      </c>
      <c r="H615" s="501">
        <f>IF((H610+H613)&gt;0,1,0)</f>
        <v>0</v>
      </c>
      <c r="I615" s="1359">
        <f>IF(G615=0,0,IF(H615&gt;0,IF((G615*H615/K615)&lt;0.084,0.084,(G615*H615/K615)),0))</f>
        <v>0</v>
      </c>
      <c r="J615" s="503" t="str">
        <f>CONCATENATE(TRUNC(I615,0),":",INT((I615-(TRUNC(I615,0)))*60),":","00")</f>
        <v>0:0:00</v>
      </c>
      <c r="K615" s="500">
        <v>1</v>
      </c>
      <c r="L615" s="2009">
        <v>47.58</v>
      </c>
      <c r="M615" s="1375">
        <f>H615*L615/K615</f>
        <v>0</v>
      </c>
      <c r="N615" s="1376">
        <v>1</v>
      </c>
      <c r="O615" s="1377">
        <f>M615*N615</f>
        <v>0</v>
      </c>
      <c r="P615" s="1375">
        <f>(M615+O615)*0.15</f>
        <v>0</v>
      </c>
      <c r="Q615" s="1378">
        <f>M615+O615+P615</f>
        <v>0</v>
      </c>
      <c r="R615" s="1375">
        <f>Q615*$R$1</f>
        <v>0</v>
      </c>
      <c r="S615" s="1375">
        <f>(Q615+R615)*$S$1</f>
        <v>0</v>
      </c>
      <c r="T615" s="1375">
        <f>Q615+R615+S615</f>
        <v>0</v>
      </c>
      <c r="U615" s="2028">
        <f t="shared" si="449"/>
        <v>0</v>
      </c>
      <c r="V615" s="1357"/>
      <c r="W615" s="1357"/>
      <c r="X615" s="1357"/>
      <c r="Y615" s="1357"/>
      <c r="AD615" s="2141">
        <f t="shared" si="672"/>
        <v>2.6</v>
      </c>
      <c r="AE615" s="2142" t="str">
        <f t="shared" si="723"/>
        <v/>
      </c>
      <c r="AG615" s="2118" t="s">
        <v>1816</v>
      </c>
    </row>
    <row r="616" spans="1:33" ht="28.5" hidden="1" outlineLevel="3" x14ac:dyDescent="0.2">
      <c r="A616" s="1360">
        <f t="shared" si="724"/>
        <v>193</v>
      </c>
      <c r="B616" s="1389" t="s">
        <v>1633</v>
      </c>
      <c r="C616" s="532" t="s">
        <v>1044</v>
      </c>
      <c r="D616" s="1358">
        <v>4</v>
      </c>
      <c r="E616" s="499" t="s">
        <v>465</v>
      </c>
      <c r="F616" s="2024" t="s">
        <v>303</v>
      </c>
      <c r="G616" s="1383">
        <v>0.16700000000000001</v>
      </c>
      <c r="H616" s="501">
        <f>IF((H610+H613)&gt;0,1,0)</f>
        <v>0</v>
      </c>
      <c r="I616" s="1359">
        <f>IF(G616=0,0,IF(H616&gt;0,IF((G616*H616/K616)&lt;0.084,0.084,(G616*H616/K616)),0))</f>
        <v>0</v>
      </c>
      <c r="J616" s="503" t="str">
        <f>CONCATENATE(TRUNC(I616,0),":",INT((I616-(TRUNC(I616,0)))*60),":","00")</f>
        <v>0:0:00</v>
      </c>
      <c r="K616" s="500">
        <v>1</v>
      </c>
      <c r="L616" s="2009">
        <v>15.89</v>
      </c>
      <c r="M616" s="1375">
        <f>H616*L616/K616</f>
        <v>0</v>
      </c>
      <c r="N616" s="1376">
        <v>1</v>
      </c>
      <c r="O616" s="1377">
        <f>M616*N616</f>
        <v>0</v>
      </c>
      <c r="P616" s="1375">
        <f>(M616+O616)*0.15</f>
        <v>0</v>
      </c>
      <c r="Q616" s="1378">
        <f>M616+O616+P616</f>
        <v>0</v>
      </c>
      <c r="R616" s="1375">
        <f>Q616*$R$1</f>
        <v>0</v>
      </c>
      <c r="S616" s="1375">
        <f>(Q616+R616)*$S$1</f>
        <v>0</v>
      </c>
      <c r="T616" s="1375">
        <f>Q616+R616+S616</f>
        <v>0</v>
      </c>
      <c r="U616" s="2028">
        <f t="shared" ref="U616" si="725">IF(T616&gt;0,1,0)</f>
        <v>0</v>
      </c>
      <c r="V616" s="1357"/>
      <c r="W616" s="1357"/>
      <c r="X616" s="1357"/>
      <c r="Y616" s="1357"/>
      <c r="AD616" s="2141">
        <f t="shared" si="672"/>
        <v>2.6</v>
      </c>
      <c r="AE616" s="2142" t="str">
        <f t="shared" si="723"/>
        <v/>
      </c>
      <c r="AG616" s="2118" t="s">
        <v>1816</v>
      </c>
    </row>
    <row r="617" spans="1:33" ht="14.25" hidden="1" outlineLevel="3" x14ac:dyDescent="0.2">
      <c r="A617" s="1360">
        <f t="shared" si="724"/>
        <v>194</v>
      </c>
      <c r="B617" s="1389" t="s">
        <v>1634</v>
      </c>
      <c r="C617" s="532" t="s">
        <v>1044</v>
      </c>
      <c r="D617" s="1358">
        <v>4</v>
      </c>
      <c r="E617" s="499" t="s">
        <v>465</v>
      </c>
      <c r="F617" s="2024" t="s">
        <v>303</v>
      </c>
      <c r="G617" s="1383">
        <v>0.33400000000000002</v>
      </c>
      <c r="H617" s="501">
        <f>IF((H610+H613)&gt;0,1,0)</f>
        <v>0</v>
      </c>
      <c r="I617" s="1359">
        <f>IF(G617=0,0,IF(H617&gt;0,IF((G617*H617/K617)&lt;0.084,0.084,(G617*H617/K617)),0))</f>
        <v>0</v>
      </c>
      <c r="J617" s="503" t="str">
        <f>CONCATENATE(TRUNC(I617,0),":",INT((I617-(TRUNC(I617,0)))*60),":","00")</f>
        <v>0:0:00</v>
      </c>
      <c r="K617" s="500">
        <v>1</v>
      </c>
      <c r="L617" s="2009">
        <v>31.78</v>
      </c>
      <c r="M617" s="1375">
        <f>H617*L617/K617</f>
        <v>0</v>
      </c>
      <c r="N617" s="1376">
        <v>1</v>
      </c>
      <c r="O617" s="1377">
        <f>M617*N617</f>
        <v>0</v>
      </c>
      <c r="P617" s="1375">
        <f>(M617+O617)*0.15</f>
        <v>0</v>
      </c>
      <c r="Q617" s="1378">
        <f>M617+O617+P617</f>
        <v>0</v>
      </c>
      <c r="R617" s="1375">
        <f>Q617*$R$1</f>
        <v>0</v>
      </c>
      <c r="S617" s="1375">
        <f>(Q617+R617)*$S$1</f>
        <v>0</v>
      </c>
      <c r="T617" s="1375">
        <f>Q617+R617+S617</f>
        <v>0</v>
      </c>
      <c r="U617" s="2028">
        <f t="shared" si="449"/>
        <v>0</v>
      </c>
      <c r="V617" s="1357"/>
      <c r="W617" s="1357"/>
      <c r="X617" s="1357"/>
      <c r="Y617" s="1357"/>
      <c r="AD617" s="2141">
        <f t="shared" si="672"/>
        <v>2.6</v>
      </c>
      <c r="AE617" s="2142" t="str">
        <f t="shared" si="723"/>
        <v/>
      </c>
      <c r="AG617" s="2118" t="s">
        <v>1816</v>
      </c>
    </row>
    <row r="618" spans="1:33" ht="15" hidden="1" outlineLevel="1" x14ac:dyDescent="0.2">
      <c r="A618" s="1360"/>
      <c r="B618" s="1366" t="s">
        <v>1045</v>
      </c>
      <c r="C618" s="522"/>
      <c r="D618" s="2152"/>
      <c r="E618" s="523" t="s">
        <v>218</v>
      </c>
      <c r="F618" s="2164"/>
      <c r="G618" s="2178"/>
      <c r="H618" s="1367"/>
      <c r="I618" s="2043">
        <f>I620+I624+I628+I631+I632+I633</f>
        <v>0</v>
      </c>
      <c r="J618" s="524"/>
      <c r="K618" s="524"/>
      <c r="L618" s="526"/>
      <c r="M618" s="1368"/>
      <c r="N618" s="524"/>
      <c r="O618" s="1369"/>
      <c r="P618" s="1368"/>
      <c r="Q618" s="1370"/>
      <c r="R618" s="1368"/>
      <c r="S618" s="1371">
        <f>SUM(T620:T633)</f>
        <v>0</v>
      </c>
      <c r="T618" s="1370"/>
      <c r="U618" s="2028">
        <f t="shared" si="449"/>
        <v>0</v>
      </c>
      <c r="V618" s="1357"/>
      <c r="W618" s="1357"/>
      <c r="X618" s="1357"/>
      <c r="Y618" s="1357"/>
      <c r="AD618" s="2141" t="str">
        <f t="shared" si="672"/>
        <v/>
      </c>
      <c r="AE618" s="2142" t="str">
        <f t="shared" si="723"/>
        <v/>
      </c>
      <c r="AG618" s="2118" t="s">
        <v>1816</v>
      </c>
    </row>
    <row r="619" spans="1:33" ht="14.25" hidden="1" outlineLevel="2" x14ac:dyDescent="0.2">
      <c r="A619" s="1360"/>
      <c r="B619" s="1384" t="s">
        <v>1635</v>
      </c>
      <c r="C619" s="528"/>
      <c r="D619" s="2155"/>
      <c r="E619" s="529" t="s">
        <v>218</v>
      </c>
      <c r="F619" s="2166"/>
      <c r="G619" s="2184"/>
      <c r="H619" s="1385"/>
      <c r="I619" s="530"/>
      <c r="J619" s="530"/>
      <c r="K619" s="530"/>
      <c r="L619" s="531"/>
      <c r="M619" s="1386"/>
      <c r="N619" s="530"/>
      <c r="O619" s="1387"/>
      <c r="P619" s="1386"/>
      <c r="Q619" s="1388"/>
      <c r="R619" s="1386"/>
      <c r="S619" s="1386"/>
      <c r="T619" s="1388"/>
      <c r="U619" s="2028">
        <f t="shared" ref="U619:U622" si="726">IF(T619&gt;0,1,0)</f>
        <v>0</v>
      </c>
      <c r="V619" s="1357"/>
      <c r="W619" s="1357"/>
      <c r="X619" s="1357"/>
      <c r="Y619" s="1357"/>
      <c r="AD619" s="2141" t="str">
        <f t="shared" si="672"/>
        <v/>
      </c>
      <c r="AE619" s="2142" t="str">
        <f t="shared" si="723"/>
        <v/>
      </c>
      <c r="AG619" s="2118" t="s">
        <v>1816</v>
      </c>
    </row>
    <row r="620" spans="1:33" ht="42.75" hidden="1" outlineLevel="3" x14ac:dyDescent="0.2">
      <c r="A620" s="1360">
        <f>A617+1</f>
        <v>195</v>
      </c>
      <c r="B620" s="1389" t="s">
        <v>1778</v>
      </c>
      <c r="C620" s="532" t="s">
        <v>1047</v>
      </c>
      <c r="D620" s="1358">
        <v>4</v>
      </c>
      <c r="E620" s="499" t="s">
        <v>462</v>
      </c>
      <c r="F620" s="2024" t="s">
        <v>303</v>
      </c>
      <c r="G620" s="1355">
        <v>2.6309999999999998</v>
      </c>
      <c r="H620" s="1373"/>
      <c r="I620" s="1359">
        <f>IF(G620=0,0,IF(H620&gt;0,IF((G620*H620/K620)&lt;0.084,0.084,(G620*H620/K620)),0))</f>
        <v>0</v>
      </c>
      <c r="J620" s="1374" t="str">
        <f>CONCATENATE(TRUNC(I620,0),":",INT((I620-(TRUNC(I620,0)))*60),":","00")</f>
        <v>0:0:00</v>
      </c>
      <c r="K620" s="500">
        <v>1000</v>
      </c>
      <c r="L620" s="2009">
        <v>250.39</v>
      </c>
      <c r="M620" s="1375">
        <f>H620*L620/K620</f>
        <v>0</v>
      </c>
      <c r="N620" s="1376">
        <v>1</v>
      </c>
      <c r="O620" s="1377">
        <f>M620*N620</f>
        <v>0</v>
      </c>
      <c r="P620" s="1375">
        <f>(M620+O620)*0.15</f>
        <v>0</v>
      </c>
      <c r="Q620" s="1378">
        <f>M620+O620+P620</f>
        <v>0</v>
      </c>
      <c r="R620" s="1375">
        <f>Q620*$R$1</f>
        <v>0</v>
      </c>
      <c r="S620" s="1375">
        <f>(Q620+R620)*$S$1</f>
        <v>0</v>
      </c>
      <c r="T620" s="1375">
        <f>Q620+R620+S620</f>
        <v>0</v>
      </c>
      <c r="U620" s="2028">
        <f t="shared" si="726"/>
        <v>0</v>
      </c>
      <c r="V620" s="1357"/>
      <c r="W620" s="1357"/>
      <c r="X620" s="1357"/>
      <c r="Y620" s="1357"/>
      <c r="AD620" s="2141">
        <f t="shared" si="672"/>
        <v>2.6</v>
      </c>
      <c r="AE620" s="2142" t="str">
        <f t="shared" si="723"/>
        <v/>
      </c>
      <c r="AG620" s="2118" t="s">
        <v>1816</v>
      </c>
    </row>
    <row r="621" spans="1:33" ht="42.75" hidden="1" outlineLevel="3" x14ac:dyDescent="0.2">
      <c r="A621" s="1360">
        <f>A620+1</f>
        <v>196</v>
      </c>
      <c r="B621" s="1389" t="s">
        <v>1779</v>
      </c>
      <c r="C621" s="532" t="s">
        <v>1047</v>
      </c>
      <c r="D621" s="1390">
        <v>2</v>
      </c>
      <c r="E621" s="499" t="s">
        <v>462</v>
      </c>
      <c r="F621" s="2024" t="s">
        <v>303</v>
      </c>
      <c r="G621" s="1355">
        <v>2.6309999999999998</v>
      </c>
      <c r="H621" s="1373">
        <f>H620</f>
        <v>0</v>
      </c>
      <c r="I621" s="1359">
        <f>IF(G621=0,0,IF(H621&gt;0,IF((G621*H621/K621)&lt;0.084,0.084,(G621*H621/K621)),0))</f>
        <v>0</v>
      </c>
      <c r="J621" s="1374" t="str">
        <f>CONCATENATE(TRUNC(I621,0),":",INT((I621-(TRUNC(I621,0)))*60),":","00")</f>
        <v>0:0:00</v>
      </c>
      <c r="K621" s="500">
        <v>1000</v>
      </c>
      <c r="L621" s="2009">
        <v>166.45</v>
      </c>
      <c r="M621" s="1375">
        <f>H621*L621/K621</f>
        <v>0</v>
      </c>
      <c r="N621" s="1376">
        <v>1</v>
      </c>
      <c r="O621" s="1377">
        <f>M621*N621</f>
        <v>0</v>
      </c>
      <c r="P621" s="1375">
        <f>(M621+O621)*0.15</f>
        <v>0</v>
      </c>
      <c r="Q621" s="1378">
        <f>M621+O621+P621</f>
        <v>0</v>
      </c>
      <c r="R621" s="1375">
        <f>Q621*$R$1</f>
        <v>0</v>
      </c>
      <c r="S621" s="1375">
        <f>(Q621+R621)*$S$1</f>
        <v>0</v>
      </c>
      <c r="T621" s="1375">
        <f>Q621+R621+S621</f>
        <v>0</v>
      </c>
      <c r="U621" s="2028">
        <f t="shared" si="726"/>
        <v>0</v>
      </c>
      <c r="V621" s="1357"/>
      <c r="W621" s="1357"/>
      <c r="X621" s="1357"/>
      <c r="Y621" s="1357"/>
      <c r="AD621" s="2141">
        <f t="shared" si="672"/>
        <v>1.5</v>
      </c>
      <c r="AE621" s="2142" t="str">
        <f t="shared" si="723"/>
        <v/>
      </c>
      <c r="AG621" s="2118" t="s">
        <v>1816</v>
      </c>
    </row>
    <row r="622" spans="1:33" ht="42.75" hidden="1" outlineLevel="3" x14ac:dyDescent="0.2">
      <c r="A622" s="1360">
        <f>A621+1</f>
        <v>197</v>
      </c>
      <c r="B622" s="1389" t="s">
        <v>1779</v>
      </c>
      <c r="C622" s="532" t="s">
        <v>1047</v>
      </c>
      <c r="D622" s="1390">
        <v>2</v>
      </c>
      <c r="E622" s="499" t="s">
        <v>462</v>
      </c>
      <c r="F622" s="2024" t="s">
        <v>303</v>
      </c>
      <c r="G622" s="1355">
        <v>2.6309999999999998</v>
      </c>
      <c r="H622" s="1373">
        <f>H620</f>
        <v>0</v>
      </c>
      <c r="I622" s="1359">
        <f>IF(G622=0,0,IF(H622&gt;0,IF((G622*H622/K622)&lt;0.084,0.084,(G622*H622/K622)),0))</f>
        <v>0</v>
      </c>
      <c r="J622" s="1374" t="str">
        <f>CONCATENATE(TRUNC(I622,0),":",INT((I622-(TRUNC(I622,0)))*60),":","00")</f>
        <v>0:0:00</v>
      </c>
      <c r="K622" s="500">
        <v>1000</v>
      </c>
      <c r="L622" s="2009">
        <v>166.45</v>
      </c>
      <c r="M622" s="1375">
        <f>H622*L622/K622</f>
        <v>0</v>
      </c>
      <c r="N622" s="1376">
        <v>1</v>
      </c>
      <c r="O622" s="1377">
        <f>M622*N622</f>
        <v>0</v>
      </c>
      <c r="P622" s="1375">
        <f>(M622+O622)*0.15</f>
        <v>0</v>
      </c>
      <c r="Q622" s="1378">
        <f>M622+O622+P622</f>
        <v>0</v>
      </c>
      <c r="R622" s="1375">
        <f>Q622*$R$1</f>
        <v>0</v>
      </c>
      <c r="S622" s="1375">
        <f>(Q622+R622)*$S$1</f>
        <v>0</v>
      </c>
      <c r="T622" s="1375">
        <f>Q622+R622+S622</f>
        <v>0</v>
      </c>
      <c r="U622" s="2028">
        <f t="shared" si="726"/>
        <v>0</v>
      </c>
      <c r="V622" s="1357"/>
      <c r="W622" s="1357"/>
      <c r="X622" s="1357"/>
      <c r="Y622" s="1357"/>
      <c r="AD622" s="2141">
        <f t="shared" si="672"/>
        <v>1.5</v>
      </c>
      <c r="AE622" s="2142" t="str">
        <f t="shared" si="723"/>
        <v/>
      </c>
      <c r="AG622" s="2118" t="s">
        <v>1816</v>
      </c>
    </row>
    <row r="623" spans="1:33" ht="14.25" hidden="1" outlineLevel="2" x14ac:dyDescent="0.2">
      <c r="A623" s="1360"/>
      <c r="B623" s="1384" t="s">
        <v>1046</v>
      </c>
      <c r="C623" s="528"/>
      <c r="D623" s="2155"/>
      <c r="E623" s="529" t="s">
        <v>218</v>
      </c>
      <c r="F623" s="2166"/>
      <c r="G623" s="2184"/>
      <c r="H623" s="1385"/>
      <c r="I623" s="530"/>
      <c r="J623" s="530"/>
      <c r="K623" s="530"/>
      <c r="L623" s="531"/>
      <c r="M623" s="1386"/>
      <c r="N623" s="530"/>
      <c r="O623" s="1387"/>
      <c r="P623" s="1386"/>
      <c r="Q623" s="1388"/>
      <c r="R623" s="1386"/>
      <c r="S623" s="1386"/>
      <c r="T623" s="1388"/>
      <c r="U623" s="2028">
        <f t="shared" si="449"/>
        <v>0</v>
      </c>
      <c r="V623" s="1357"/>
      <c r="W623" s="1357"/>
      <c r="X623" s="1357"/>
      <c r="Y623" s="1357"/>
      <c r="AD623" s="2141" t="str">
        <f t="shared" si="672"/>
        <v/>
      </c>
      <c r="AE623" s="2142" t="str">
        <f t="shared" si="723"/>
        <v/>
      </c>
      <c r="AG623" s="2118" t="s">
        <v>1816</v>
      </c>
    </row>
    <row r="624" spans="1:33" ht="28.5" hidden="1" outlineLevel="3" x14ac:dyDescent="0.2">
      <c r="A624" s="1360">
        <f>A622+1</f>
        <v>198</v>
      </c>
      <c r="B624" s="1372" t="s">
        <v>1636</v>
      </c>
      <c r="C624" s="532" t="s">
        <v>1047</v>
      </c>
      <c r="D624" s="1358">
        <v>4</v>
      </c>
      <c r="E624" s="499" t="s">
        <v>462</v>
      </c>
      <c r="F624" s="2024" t="s">
        <v>303</v>
      </c>
      <c r="G624" s="1355">
        <v>1.6379999999999999</v>
      </c>
      <c r="H624" s="1373"/>
      <c r="I624" s="1359">
        <f t="shared" ref="I624:I626" si="727">IF(G624=0,0,IF(H624&gt;0,IF((G624*H624/K624)&lt;0.084,0.084,(G624*H624/K624)),0))</f>
        <v>0</v>
      </c>
      <c r="J624" s="1374" t="str">
        <f>CONCATENATE(TRUNC(I624,0),":",INT((I624-(TRUNC(I624,0)))*60),":","00")</f>
        <v>0:0:00</v>
      </c>
      <c r="K624" s="500">
        <v>1000</v>
      </c>
      <c r="L624" s="2009">
        <v>155.72999999999999</v>
      </c>
      <c r="M624" s="1375">
        <f>H624*L624/K624</f>
        <v>0</v>
      </c>
      <c r="N624" s="1376">
        <v>1</v>
      </c>
      <c r="O624" s="1377">
        <f>M624*N624</f>
        <v>0</v>
      </c>
      <c r="P624" s="1375">
        <f>(M624+O624)*0.15</f>
        <v>0</v>
      </c>
      <c r="Q624" s="1378">
        <f>M624+O624+P624</f>
        <v>0</v>
      </c>
      <c r="R624" s="1375">
        <f>Q624*$R$1</f>
        <v>0</v>
      </c>
      <c r="S624" s="1375">
        <f>(Q624+R624)*$S$1</f>
        <v>0</v>
      </c>
      <c r="T624" s="1375">
        <f>Q624+R624+S624</f>
        <v>0</v>
      </c>
      <c r="U624" s="2028">
        <f t="shared" si="449"/>
        <v>0</v>
      </c>
      <c r="V624" s="1357"/>
      <c r="W624" s="1357"/>
      <c r="X624" s="1357"/>
      <c r="Y624" s="1357"/>
      <c r="AD624" s="2141">
        <f t="shared" si="672"/>
        <v>2.6</v>
      </c>
      <c r="AE624" s="2142" t="str">
        <f t="shared" si="723"/>
        <v/>
      </c>
      <c r="AG624" s="2118" t="s">
        <v>1816</v>
      </c>
    </row>
    <row r="625" spans="1:33" ht="28.5" hidden="1" outlineLevel="3" x14ac:dyDescent="0.2">
      <c r="A625" s="1360">
        <f>A624+1</f>
        <v>199</v>
      </c>
      <c r="B625" s="1372" t="s">
        <v>1637</v>
      </c>
      <c r="C625" s="532" t="s">
        <v>1047</v>
      </c>
      <c r="D625" s="1390">
        <v>2</v>
      </c>
      <c r="E625" s="499" t="s">
        <v>462</v>
      </c>
      <c r="F625" s="2024" t="s">
        <v>303</v>
      </c>
      <c r="G625" s="1355">
        <v>1.6379999999999999</v>
      </c>
      <c r="H625" s="1373">
        <f>H624</f>
        <v>0</v>
      </c>
      <c r="I625" s="1359">
        <f t="shared" si="727"/>
        <v>0</v>
      </c>
      <c r="J625" s="1374" t="str">
        <f>CONCATENATE(TRUNC(I625,0),":",INT((I625-(TRUNC(I625,0)))*60),":","00")</f>
        <v>0:0:00</v>
      </c>
      <c r="K625" s="500">
        <v>1000</v>
      </c>
      <c r="L625" s="2009">
        <v>103.52</v>
      </c>
      <c r="M625" s="1375">
        <f>H625*L625/K625</f>
        <v>0</v>
      </c>
      <c r="N625" s="1376">
        <v>1</v>
      </c>
      <c r="O625" s="1377">
        <f>M625*N625</f>
        <v>0</v>
      </c>
      <c r="P625" s="1375">
        <f>(M625+O625)*0.15</f>
        <v>0</v>
      </c>
      <c r="Q625" s="1378">
        <f>M625+O625+P625</f>
        <v>0</v>
      </c>
      <c r="R625" s="1375">
        <f>Q625*$R$1</f>
        <v>0</v>
      </c>
      <c r="S625" s="1375">
        <f>(Q625+R625)*$S$1</f>
        <v>0</v>
      </c>
      <c r="T625" s="1375">
        <f>Q625+R625+S625</f>
        <v>0</v>
      </c>
      <c r="U625" s="2028">
        <f t="shared" si="449"/>
        <v>0</v>
      </c>
      <c r="V625" s="1357"/>
      <c r="W625" s="1357"/>
      <c r="X625" s="1357"/>
      <c r="Y625" s="1357"/>
      <c r="AD625" s="2141">
        <f t="shared" ref="AD625:AD689" si="728">IF(D625&gt;0,LOOKUP(D625,$Z$30:$Z$33,$AA$30:$AA$33),"")</f>
        <v>1.5</v>
      </c>
      <c r="AE625" s="2142" t="str">
        <f t="shared" si="723"/>
        <v/>
      </c>
      <c r="AG625" s="2118" t="s">
        <v>1816</v>
      </c>
    </row>
    <row r="626" spans="1:33" ht="28.5" hidden="1" outlineLevel="3" x14ac:dyDescent="0.2">
      <c r="A626" s="1360">
        <f>A625+1</f>
        <v>200</v>
      </c>
      <c r="B626" s="1372" t="s">
        <v>1637</v>
      </c>
      <c r="C626" s="532" t="s">
        <v>1047</v>
      </c>
      <c r="D626" s="1390">
        <v>2</v>
      </c>
      <c r="E626" s="499" t="s">
        <v>462</v>
      </c>
      <c r="F626" s="2024" t="s">
        <v>303</v>
      </c>
      <c r="G626" s="1355">
        <v>1.6379999999999999</v>
      </c>
      <c r="H626" s="1373">
        <f>H624</f>
        <v>0</v>
      </c>
      <c r="I626" s="1359">
        <f t="shared" si="727"/>
        <v>0</v>
      </c>
      <c r="J626" s="1374" t="str">
        <f>CONCATENATE(TRUNC(I626,0),":",INT((I626-(TRUNC(I626,0)))*60),":","00")</f>
        <v>0:0:00</v>
      </c>
      <c r="K626" s="500">
        <v>1000</v>
      </c>
      <c r="L626" s="2009">
        <v>103.52</v>
      </c>
      <c r="M626" s="1375">
        <f>H626*L626/K626</f>
        <v>0</v>
      </c>
      <c r="N626" s="1376">
        <v>1</v>
      </c>
      <c r="O626" s="1377">
        <f>M626*N626</f>
        <v>0</v>
      </c>
      <c r="P626" s="1375">
        <f>(M626+O626)*0.15</f>
        <v>0</v>
      </c>
      <c r="Q626" s="1378">
        <f>M626+O626+P626</f>
        <v>0</v>
      </c>
      <c r="R626" s="1375">
        <f>Q626*$R$1</f>
        <v>0</v>
      </c>
      <c r="S626" s="1375">
        <f>(Q626+R626)*$S$1</f>
        <v>0</v>
      </c>
      <c r="T626" s="1375">
        <f>Q626+R626+S626</f>
        <v>0</v>
      </c>
      <c r="U626" s="2028">
        <f t="shared" si="449"/>
        <v>0</v>
      </c>
      <c r="V626" s="1357"/>
      <c r="W626" s="1357"/>
      <c r="X626" s="1357"/>
      <c r="Y626" s="1357"/>
      <c r="AD626" s="2141">
        <f t="shared" si="728"/>
        <v>1.5</v>
      </c>
      <c r="AE626" s="2142" t="str">
        <f t="shared" si="723"/>
        <v/>
      </c>
      <c r="AG626" s="2118" t="s">
        <v>1816</v>
      </c>
    </row>
    <row r="627" spans="1:33" ht="14.25" hidden="1" outlineLevel="2" x14ac:dyDescent="0.2">
      <c r="A627" s="1360"/>
      <c r="B627" s="1384" t="s">
        <v>1048</v>
      </c>
      <c r="C627" s="528"/>
      <c r="D627" s="2155"/>
      <c r="E627" s="529" t="s">
        <v>218</v>
      </c>
      <c r="F627" s="2166"/>
      <c r="G627" s="2184"/>
      <c r="H627" s="1385"/>
      <c r="I627" s="530"/>
      <c r="J627" s="530"/>
      <c r="K627" s="530"/>
      <c r="L627" s="533"/>
      <c r="M627" s="1386"/>
      <c r="N627" s="530"/>
      <c r="O627" s="1387"/>
      <c r="P627" s="1386"/>
      <c r="Q627" s="1388"/>
      <c r="R627" s="1386"/>
      <c r="S627" s="1386"/>
      <c r="T627" s="1388"/>
      <c r="U627" s="2028">
        <f t="shared" si="449"/>
        <v>0</v>
      </c>
      <c r="V627" s="1357"/>
      <c r="W627" s="1357"/>
      <c r="X627" s="1357"/>
      <c r="Y627" s="1357"/>
      <c r="AD627" s="2141" t="str">
        <f t="shared" si="728"/>
        <v/>
      </c>
      <c r="AE627" s="2142" t="str">
        <f t="shared" si="723"/>
        <v/>
      </c>
      <c r="AG627" s="2118" t="s">
        <v>1816</v>
      </c>
    </row>
    <row r="628" spans="1:33" ht="28.5" hidden="1" outlineLevel="3" x14ac:dyDescent="0.2">
      <c r="A628" s="1360">
        <f>A626+1</f>
        <v>201</v>
      </c>
      <c r="B628" s="1372" t="s">
        <v>1638</v>
      </c>
      <c r="C628" s="532" t="s">
        <v>1049</v>
      </c>
      <c r="D628" s="1358">
        <v>4</v>
      </c>
      <c r="E628" s="499" t="s">
        <v>462</v>
      </c>
      <c r="F628" s="2024" t="s">
        <v>303</v>
      </c>
      <c r="G628" s="1383">
        <v>1.4079999999999999</v>
      </c>
      <c r="H628" s="1373"/>
      <c r="I628" s="1359">
        <f t="shared" ref="I628:I633" si="729">IF(G628=0,0,IF(H628&gt;0,IF((G628*H628/K628)&lt;0.084,0.084,(G628*H628/K628)),0))</f>
        <v>0</v>
      </c>
      <c r="J628" s="1374" t="str">
        <f t="shared" ref="J628:J633" si="730">CONCATENATE(TRUNC(I628,0),":",INT((I628-(TRUNC(I628,0)))*60),":","00")</f>
        <v>0:0:00</v>
      </c>
      <c r="K628" s="500">
        <v>1000</v>
      </c>
      <c r="L628" s="2009">
        <v>134.01</v>
      </c>
      <c r="M628" s="1375">
        <f t="shared" ref="M628:M633" si="731">H628*L628/K628</f>
        <v>0</v>
      </c>
      <c r="N628" s="1376">
        <v>1</v>
      </c>
      <c r="O628" s="1377">
        <f t="shared" ref="O628:O633" si="732">M628*N628</f>
        <v>0</v>
      </c>
      <c r="P628" s="1375">
        <f t="shared" ref="P628:P633" si="733">(M628+O628)*0.15</f>
        <v>0</v>
      </c>
      <c r="Q628" s="1378">
        <f t="shared" ref="Q628:Q633" si="734">M628+O628+P628</f>
        <v>0</v>
      </c>
      <c r="R628" s="1375">
        <f t="shared" ref="R628:R633" si="735">Q628*$R$1</f>
        <v>0</v>
      </c>
      <c r="S628" s="1375">
        <f t="shared" ref="S628:S633" si="736">(Q628+R628)*$S$1</f>
        <v>0</v>
      </c>
      <c r="T628" s="1375">
        <f t="shared" ref="T628:T633" si="737">Q628+R628+S628</f>
        <v>0</v>
      </c>
      <c r="U628" s="2028">
        <f t="shared" si="449"/>
        <v>0</v>
      </c>
      <c r="V628" s="1357"/>
      <c r="W628" s="1357"/>
      <c r="X628" s="1357"/>
      <c r="Y628" s="1357"/>
      <c r="AD628" s="2141">
        <f t="shared" si="728"/>
        <v>2.6</v>
      </c>
      <c r="AE628" s="2142" t="str">
        <f t="shared" si="723"/>
        <v/>
      </c>
      <c r="AG628" s="2118" t="s">
        <v>1816</v>
      </c>
    </row>
    <row r="629" spans="1:33" ht="28.5" hidden="1" outlineLevel="3" x14ac:dyDescent="0.2">
      <c r="A629" s="1360">
        <f>A628+1</f>
        <v>202</v>
      </c>
      <c r="B629" s="1372" t="s">
        <v>1639</v>
      </c>
      <c r="C629" s="532" t="s">
        <v>1049</v>
      </c>
      <c r="D629" s="1390">
        <v>2</v>
      </c>
      <c r="E629" s="499" t="s">
        <v>462</v>
      </c>
      <c r="F629" s="2024" t="s">
        <v>303</v>
      </c>
      <c r="G629" s="1383">
        <v>1.4079999999999999</v>
      </c>
      <c r="H629" s="1373">
        <f>H628</f>
        <v>0</v>
      </c>
      <c r="I629" s="1359">
        <f t="shared" si="729"/>
        <v>0</v>
      </c>
      <c r="J629" s="1374" t="str">
        <f t="shared" si="730"/>
        <v>0:0:00</v>
      </c>
      <c r="K629" s="500">
        <v>1000</v>
      </c>
      <c r="L629" s="2009">
        <v>89.08</v>
      </c>
      <c r="M629" s="1375">
        <f t="shared" si="731"/>
        <v>0</v>
      </c>
      <c r="N629" s="1376">
        <v>1</v>
      </c>
      <c r="O629" s="1377">
        <f t="shared" si="732"/>
        <v>0</v>
      </c>
      <c r="P629" s="1375">
        <f t="shared" si="733"/>
        <v>0</v>
      </c>
      <c r="Q629" s="1378">
        <f t="shared" si="734"/>
        <v>0</v>
      </c>
      <c r="R629" s="1375">
        <f t="shared" si="735"/>
        <v>0</v>
      </c>
      <c r="S629" s="1375">
        <f t="shared" si="736"/>
        <v>0</v>
      </c>
      <c r="T629" s="1375">
        <f t="shared" si="737"/>
        <v>0</v>
      </c>
      <c r="U629" s="2028">
        <f t="shared" si="449"/>
        <v>0</v>
      </c>
      <c r="V629" s="1357"/>
      <c r="W629" s="1357"/>
      <c r="X629" s="1357"/>
      <c r="Y629" s="1357"/>
      <c r="AD629" s="2141">
        <f t="shared" si="728"/>
        <v>1.5</v>
      </c>
      <c r="AE629" s="2142" t="str">
        <f t="shared" si="723"/>
        <v/>
      </c>
      <c r="AG629" s="2118" t="s">
        <v>1816</v>
      </c>
    </row>
    <row r="630" spans="1:33" ht="28.5" hidden="1" outlineLevel="3" x14ac:dyDescent="0.2">
      <c r="A630" s="1360">
        <f t="shared" ref="A630:A633" si="738">A629+1</f>
        <v>203</v>
      </c>
      <c r="B630" s="1372" t="s">
        <v>1639</v>
      </c>
      <c r="C630" s="532" t="s">
        <v>1049</v>
      </c>
      <c r="D630" s="1390">
        <v>2</v>
      </c>
      <c r="E630" s="499" t="s">
        <v>462</v>
      </c>
      <c r="F630" s="2024" t="s">
        <v>303</v>
      </c>
      <c r="G630" s="1383">
        <v>1.4079999999999999</v>
      </c>
      <c r="H630" s="1373">
        <f>H628</f>
        <v>0</v>
      </c>
      <c r="I630" s="1359">
        <f t="shared" si="729"/>
        <v>0</v>
      </c>
      <c r="J630" s="1374" t="str">
        <f t="shared" si="730"/>
        <v>0:0:00</v>
      </c>
      <c r="K630" s="500">
        <v>1000</v>
      </c>
      <c r="L630" s="2009">
        <v>89.08</v>
      </c>
      <c r="M630" s="1375">
        <f t="shared" si="731"/>
        <v>0</v>
      </c>
      <c r="N630" s="1376">
        <v>1</v>
      </c>
      <c r="O630" s="1377">
        <f t="shared" si="732"/>
        <v>0</v>
      </c>
      <c r="P630" s="1375">
        <f t="shared" si="733"/>
        <v>0</v>
      </c>
      <c r="Q630" s="1378">
        <f t="shared" si="734"/>
        <v>0</v>
      </c>
      <c r="R630" s="1375">
        <f t="shared" si="735"/>
        <v>0</v>
      </c>
      <c r="S630" s="1375">
        <f t="shared" si="736"/>
        <v>0</v>
      </c>
      <c r="T630" s="1375">
        <f t="shared" si="737"/>
        <v>0</v>
      </c>
      <c r="U630" s="2028">
        <f t="shared" si="449"/>
        <v>0</v>
      </c>
      <c r="V630" s="1357"/>
      <c r="W630" s="1357"/>
      <c r="X630" s="1357"/>
      <c r="Y630" s="1357"/>
      <c r="AD630" s="2141">
        <f t="shared" si="728"/>
        <v>1.5</v>
      </c>
      <c r="AE630" s="2142" t="str">
        <f t="shared" si="723"/>
        <v/>
      </c>
      <c r="AG630" s="2118" t="s">
        <v>1816</v>
      </c>
    </row>
    <row r="631" spans="1:33" ht="28.5" hidden="1" outlineLevel="3" x14ac:dyDescent="0.2">
      <c r="A631" s="1360">
        <f t="shared" si="738"/>
        <v>204</v>
      </c>
      <c r="B631" s="1389" t="s">
        <v>1640</v>
      </c>
      <c r="C631" s="532" t="s">
        <v>1045</v>
      </c>
      <c r="D631" s="1358">
        <v>4</v>
      </c>
      <c r="E631" s="499" t="s">
        <v>462</v>
      </c>
      <c r="F631" s="2024" t="s">
        <v>303</v>
      </c>
      <c r="G631" s="1383">
        <v>1</v>
      </c>
      <c r="H631" s="1373">
        <f>IF((H620+H624+H628)&gt;0,1,0)</f>
        <v>0</v>
      </c>
      <c r="I631" s="1359">
        <f t="shared" si="729"/>
        <v>0</v>
      </c>
      <c r="J631" s="1374" t="str">
        <f t="shared" ref="J631" si="739">CONCATENATE(TRUNC(I631,0),":",INT((I631-(TRUNC(I631,0)))*60),":","00")</f>
        <v>0:0:00</v>
      </c>
      <c r="K631" s="500">
        <v>1</v>
      </c>
      <c r="L631" s="2009">
        <v>95.15</v>
      </c>
      <c r="M631" s="1375">
        <f t="shared" ref="M631" si="740">H631*L631/K631</f>
        <v>0</v>
      </c>
      <c r="N631" s="1376">
        <v>1</v>
      </c>
      <c r="O631" s="1377">
        <f t="shared" ref="O631" si="741">M631*N631</f>
        <v>0</v>
      </c>
      <c r="P631" s="1375">
        <f t="shared" ref="P631" si="742">(M631+O631)*0.15</f>
        <v>0</v>
      </c>
      <c r="Q631" s="1378">
        <f t="shared" ref="Q631" si="743">M631+O631+P631</f>
        <v>0</v>
      </c>
      <c r="R631" s="1375">
        <f t="shared" ref="R631" si="744">Q631*$R$1</f>
        <v>0</v>
      </c>
      <c r="S631" s="1375">
        <f t="shared" ref="S631" si="745">(Q631+R631)*$S$1</f>
        <v>0</v>
      </c>
      <c r="T631" s="1375">
        <f t="shared" ref="T631" si="746">Q631+R631+S631</f>
        <v>0</v>
      </c>
      <c r="U631" s="2028">
        <f t="shared" ref="U631" si="747">IF(T631&gt;0,1,0)</f>
        <v>0</v>
      </c>
      <c r="V631" s="1357"/>
      <c r="W631" s="1357"/>
      <c r="X631" s="1357"/>
      <c r="Y631" s="1357"/>
      <c r="AD631" s="2141">
        <f t="shared" si="728"/>
        <v>2.6</v>
      </c>
      <c r="AE631" s="2142" t="str">
        <f t="shared" si="723"/>
        <v/>
      </c>
      <c r="AG631" s="2118" t="s">
        <v>1816</v>
      </c>
    </row>
    <row r="632" spans="1:33" ht="14.25" hidden="1" outlineLevel="3" x14ac:dyDescent="0.2">
      <c r="A632" s="1360">
        <f t="shared" si="738"/>
        <v>205</v>
      </c>
      <c r="B632" s="1372" t="s">
        <v>1641</v>
      </c>
      <c r="C632" s="532" t="s">
        <v>1045</v>
      </c>
      <c r="D632" s="1358">
        <v>4</v>
      </c>
      <c r="E632" s="499" t="s">
        <v>462</v>
      </c>
      <c r="F632" s="2024" t="s">
        <v>303</v>
      </c>
      <c r="G632" s="1383">
        <v>0.218</v>
      </c>
      <c r="H632" s="1373">
        <f>IF((H620+H624+H628)&gt;0,1,0)</f>
        <v>0</v>
      </c>
      <c r="I632" s="1359">
        <f t="shared" si="729"/>
        <v>0</v>
      </c>
      <c r="J632" s="1374" t="str">
        <f t="shared" si="730"/>
        <v>0:0:00</v>
      </c>
      <c r="K632" s="500">
        <v>1</v>
      </c>
      <c r="L632" s="2009">
        <v>20.74</v>
      </c>
      <c r="M632" s="1375">
        <f t="shared" si="731"/>
        <v>0</v>
      </c>
      <c r="N632" s="1376">
        <v>1</v>
      </c>
      <c r="O632" s="1377">
        <f t="shared" si="732"/>
        <v>0</v>
      </c>
      <c r="P632" s="1375">
        <f t="shared" si="733"/>
        <v>0</v>
      </c>
      <c r="Q632" s="1378">
        <f t="shared" si="734"/>
        <v>0</v>
      </c>
      <c r="R632" s="1375">
        <f t="shared" si="735"/>
        <v>0</v>
      </c>
      <c r="S632" s="1375">
        <f t="shared" si="736"/>
        <v>0</v>
      </c>
      <c r="T632" s="1375">
        <f t="shared" si="737"/>
        <v>0</v>
      </c>
      <c r="U632" s="2028">
        <f t="shared" si="449"/>
        <v>0</v>
      </c>
      <c r="V632" s="1357"/>
      <c r="W632" s="1357"/>
      <c r="X632" s="1357"/>
      <c r="Y632" s="1357"/>
      <c r="AD632" s="2141">
        <f t="shared" si="728"/>
        <v>2.6</v>
      </c>
      <c r="AE632" s="2142" t="str">
        <f t="shared" si="723"/>
        <v/>
      </c>
      <c r="AG632" s="2118" t="s">
        <v>1816</v>
      </c>
    </row>
    <row r="633" spans="1:33" ht="14.25" hidden="1" outlineLevel="3" x14ac:dyDescent="0.2">
      <c r="A633" s="1360">
        <f t="shared" si="738"/>
        <v>206</v>
      </c>
      <c r="B633" s="1372" t="s">
        <v>1642</v>
      </c>
      <c r="C633" s="532" t="s">
        <v>1045</v>
      </c>
      <c r="D633" s="1358">
        <v>4</v>
      </c>
      <c r="E633" s="499" t="s">
        <v>462</v>
      </c>
      <c r="F633" s="2024" t="s">
        <v>303</v>
      </c>
      <c r="G633" s="1383">
        <v>0.5</v>
      </c>
      <c r="H633" s="1373">
        <f>IF((H620+H624+H628)&gt;1000,1,0)</f>
        <v>0</v>
      </c>
      <c r="I633" s="1359">
        <f t="shared" si="729"/>
        <v>0</v>
      </c>
      <c r="J633" s="1374" t="str">
        <f t="shared" si="730"/>
        <v>0:0:00</v>
      </c>
      <c r="K633" s="500">
        <v>1</v>
      </c>
      <c r="L633" s="2009">
        <v>47.58</v>
      </c>
      <c r="M633" s="1375">
        <f t="shared" si="731"/>
        <v>0</v>
      </c>
      <c r="N633" s="1376">
        <v>1</v>
      </c>
      <c r="O633" s="1377">
        <f t="shared" si="732"/>
        <v>0</v>
      </c>
      <c r="P633" s="1375">
        <f t="shared" si="733"/>
        <v>0</v>
      </c>
      <c r="Q633" s="1378">
        <f t="shared" si="734"/>
        <v>0</v>
      </c>
      <c r="R633" s="1375">
        <f t="shared" si="735"/>
        <v>0</v>
      </c>
      <c r="S633" s="1375">
        <f t="shared" si="736"/>
        <v>0</v>
      </c>
      <c r="T633" s="1375">
        <f t="shared" si="737"/>
        <v>0</v>
      </c>
      <c r="U633" s="2028">
        <f t="shared" si="449"/>
        <v>0</v>
      </c>
      <c r="V633" s="1357"/>
      <c r="W633" s="1357"/>
      <c r="X633" s="1357"/>
      <c r="Y633" s="1357"/>
      <c r="AD633" s="2141">
        <f t="shared" si="728"/>
        <v>2.6</v>
      </c>
      <c r="AE633" s="2142" t="str">
        <f t="shared" si="723"/>
        <v/>
      </c>
      <c r="AG633" s="2118" t="s">
        <v>1816</v>
      </c>
    </row>
    <row r="634" spans="1:33" ht="15" hidden="1" outlineLevel="1" x14ac:dyDescent="0.2">
      <c r="A634" s="1360"/>
      <c r="B634" s="2122" t="s">
        <v>1876</v>
      </c>
      <c r="C634" s="522"/>
      <c r="D634" s="2152"/>
      <c r="E634" s="523" t="s">
        <v>218</v>
      </c>
      <c r="F634" s="2164"/>
      <c r="G634" s="2178"/>
      <c r="H634" s="1367"/>
      <c r="I634" s="2043">
        <f>SUM(I635:I639)</f>
        <v>0</v>
      </c>
      <c r="J634" s="524"/>
      <c r="K634" s="524"/>
      <c r="L634" s="526"/>
      <c r="M634" s="1368"/>
      <c r="N634" s="524"/>
      <c r="O634" s="1369"/>
      <c r="P634" s="1368"/>
      <c r="Q634" s="1370"/>
      <c r="R634" s="1368"/>
      <c r="S634" s="1371">
        <f>SUM(T635:T639)</f>
        <v>0</v>
      </c>
      <c r="T634" s="1370"/>
      <c r="U634" s="2028">
        <f t="shared" ref="U634:U643" si="748">IF(T634&gt;0,1,0)</f>
        <v>0</v>
      </c>
      <c r="V634" s="1357"/>
      <c r="W634" s="1357"/>
      <c r="X634" s="1357"/>
      <c r="Y634" s="1357"/>
      <c r="AD634" s="2141" t="str">
        <f t="shared" si="728"/>
        <v/>
      </c>
      <c r="AE634" s="2142" t="str">
        <f t="shared" si="723"/>
        <v/>
      </c>
      <c r="AG634" s="2118" t="s">
        <v>1816</v>
      </c>
    </row>
    <row r="635" spans="1:33" ht="25.5" hidden="1" outlineLevel="2" x14ac:dyDescent="0.2">
      <c r="A635" s="1360">
        <f>A633+1</f>
        <v>207</v>
      </c>
      <c r="B635" s="1372" t="s">
        <v>1877</v>
      </c>
      <c r="C635" s="532" t="s">
        <v>1878</v>
      </c>
      <c r="D635" s="1358">
        <v>3</v>
      </c>
      <c r="E635" s="499" t="s">
        <v>465</v>
      </c>
      <c r="F635" s="2024" t="s">
        <v>1492</v>
      </c>
      <c r="G635" s="1392">
        <v>1</v>
      </c>
      <c r="H635" s="1373"/>
      <c r="I635" s="1359">
        <f t="shared" ref="I635:I639" si="749">IF(G635=0,0,IF(H635&gt;0,IF((G635*H635/K635)&lt;0.084,0.084,(G635*H635/K635)),0))</f>
        <v>0</v>
      </c>
      <c r="J635" s="1374" t="str">
        <f t="shared" ref="J635:J639" si="750">CONCATENATE(TRUNC(I635,0),":",INT((I635-(TRUNC(I635,0)))*60),":","00")</f>
        <v>0:0:00</v>
      </c>
      <c r="K635" s="500">
        <v>1</v>
      </c>
      <c r="L635" s="2056">
        <v>75.900000000000006</v>
      </c>
      <c r="M635" s="1375">
        <f t="shared" ref="M635:M639" si="751">H635*L635/K635</f>
        <v>0</v>
      </c>
      <c r="N635" s="1376">
        <v>1</v>
      </c>
      <c r="O635" s="1377">
        <f t="shared" ref="O635:O639" si="752">M635*N635</f>
        <v>0</v>
      </c>
      <c r="P635" s="1375">
        <f t="shared" ref="P635:P639" si="753">(M635+O635)*0.15</f>
        <v>0</v>
      </c>
      <c r="Q635" s="1378">
        <f t="shared" ref="Q635:Q639" si="754">M635+O635+P635</f>
        <v>0</v>
      </c>
      <c r="R635" s="1375">
        <f t="shared" ref="R635:R639" si="755">Q635*$R$1</f>
        <v>0</v>
      </c>
      <c r="S635" s="1375">
        <f t="shared" ref="S635:S639" si="756">(Q635+R635)*$S$1</f>
        <v>0</v>
      </c>
      <c r="T635" s="1375">
        <f t="shared" ref="T635:T639" si="757">Q635+R635+S635</f>
        <v>0</v>
      </c>
      <c r="U635" s="2028">
        <f t="shared" si="748"/>
        <v>0</v>
      </c>
      <c r="V635" s="1357"/>
      <c r="W635" s="1357"/>
      <c r="X635" s="1357"/>
      <c r="Y635" s="1357"/>
      <c r="AD635" s="2141">
        <f t="shared" si="728"/>
        <v>2.6</v>
      </c>
      <c r="AE635" s="2142" t="str">
        <f t="shared" si="723"/>
        <v/>
      </c>
      <c r="AG635" s="2118" t="s">
        <v>1816</v>
      </c>
    </row>
    <row r="636" spans="1:33" ht="28.5" hidden="1" outlineLevel="2" x14ac:dyDescent="0.2">
      <c r="A636" s="1360">
        <f>A635+1</f>
        <v>208</v>
      </c>
      <c r="B636" s="1372" t="s">
        <v>1879</v>
      </c>
      <c r="C636" s="532" t="s">
        <v>1878</v>
      </c>
      <c r="D636" s="1358">
        <v>3</v>
      </c>
      <c r="E636" s="499" t="s">
        <v>465</v>
      </c>
      <c r="F636" s="2024" t="s">
        <v>1492</v>
      </c>
      <c r="G636" s="1392">
        <v>1</v>
      </c>
      <c r="H636" s="1373"/>
      <c r="I636" s="1359">
        <f t="shared" si="749"/>
        <v>0</v>
      </c>
      <c r="J636" s="1374" t="str">
        <f t="shared" si="750"/>
        <v>0:0:00</v>
      </c>
      <c r="K636" s="500">
        <v>1</v>
      </c>
      <c r="L636" s="2056">
        <v>75.900000000000006</v>
      </c>
      <c r="M636" s="1375">
        <f t="shared" si="751"/>
        <v>0</v>
      </c>
      <c r="N636" s="1376">
        <v>1</v>
      </c>
      <c r="O636" s="1377">
        <f t="shared" si="752"/>
        <v>0</v>
      </c>
      <c r="P636" s="1375">
        <f t="shared" si="753"/>
        <v>0</v>
      </c>
      <c r="Q636" s="1378">
        <f t="shared" si="754"/>
        <v>0</v>
      </c>
      <c r="R636" s="1375">
        <f t="shared" si="755"/>
        <v>0</v>
      </c>
      <c r="S636" s="1375">
        <f t="shared" si="756"/>
        <v>0</v>
      </c>
      <c r="T636" s="1375">
        <f t="shared" si="757"/>
        <v>0</v>
      </c>
      <c r="U636" s="2028">
        <f t="shared" si="748"/>
        <v>0</v>
      </c>
      <c r="V636" s="1357"/>
      <c r="W636" s="1357"/>
      <c r="X636" s="1357"/>
      <c r="Y636" s="1357"/>
      <c r="AD636" s="2141">
        <f t="shared" si="728"/>
        <v>2.6</v>
      </c>
      <c r="AE636" s="2142" t="str">
        <f t="shared" si="723"/>
        <v/>
      </c>
      <c r="AG636" s="2118" t="s">
        <v>1816</v>
      </c>
    </row>
    <row r="637" spans="1:33" ht="28.5" hidden="1" outlineLevel="2" x14ac:dyDescent="0.2">
      <c r="A637" s="1360">
        <f t="shared" ref="A637:A639" si="758">A636+1</f>
        <v>209</v>
      </c>
      <c r="B637" s="1372" t="s">
        <v>1880</v>
      </c>
      <c r="C637" s="532" t="s">
        <v>1881</v>
      </c>
      <c r="D637" s="1358">
        <v>3</v>
      </c>
      <c r="E637" s="499" t="s">
        <v>465</v>
      </c>
      <c r="F637" s="2024" t="s">
        <v>1492</v>
      </c>
      <c r="G637" s="1392">
        <v>1</v>
      </c>
      <c r="H637" s="1373"/>
      <c r="I637" s="1359">
        <f t="shared" si="749"/>
        <v>0</v>
      </c>
      <c r="J637" s="1374" t="str">
        <f t="shared" si="750"/>
        <v>0:0:00</v>
      </c>
      <c r="K637" s="500">
        <v>1</v>
      </c>
      <c r="L637" s="2056">
        <v>75.900000000000006</v>
      </c>
      <c r="M637" s="1375">
        <f t="shared" si="751"/>
        <v>0</v>
      </c>
      <c r="N637" s="1376">
        <v>1</v>
      </c>
      <c r="O637" s="1377">
        <f t="shared" si="752"/>
        <v>0</v>
      </c>
      <c r="P637" s="1375">
        <f t="shared" si="753"/>
        <v>0</v>
      </c>
      <c r="Q637" s="1378">
        <f t="shared" si="754"/>
        <v>0</v>
      </c>
      <c r="R637" s="1375">
        <f t="shared" si="755"/>
        <v>0</v>
      </c>
      <c r="S637" s="1375">
        <f t="shared" si="756"/>
        <v>0</v>
      </c>
      <c r="T637" s="1375">
        <f t="shared" si="757"/>
        <v>0</v>
      </c>
      <c r="U637" s="2028">
        <f t="shared" si="748"/>
        <v>0</v>
      </c>
      <c r="V637" s="1357"/>
      <c r="W637" s="1357"/>
      <c r="X637" s="1357"/>
      <c r="Y637" s="1357"/>
      <c r="AD637" s="2141">
        <f t="shared" si="728"/>
        <v>2.6</v>
      </c>
      <c r="AE637" s="2142" t="str">
        <f t="shared" si="723"/>
        <v/>
      </c>
      <c r="AG637" s="2118" t="s">
        <v>1816</v>
      </c>
    </row>
    <row r="638" spans="1:33" ht="28.5" hidden="1" outlineLevel="2" x14ac:dyDescent="0.2">
      <c r="A638" s="1360">
        <f t="shared" si="758"/>
        <v>210</v>
      </c>
      <c r="B638" s="1372" t="s">
        <v>1882</v>
      </c>
      <c r="C638" s="532" t="s">
        <v>1881</v>
      </c>
      <c r="D638" s="1358">
        <v>3</v>
      </c>
      <c r="E638" s="499" t="s">
        <v>465</v>
      </c>
      <c r="F638" s="2024" t="s">
        <v>1492</v>
      </c>
      <c r="G638" s="1355">
        <v>1</v>
      </c>
      <c r="H638" s="1373"/>
      <c r="I638" s="1359">
        <f t="shared" si="749"/>
        <v>0</v>
      </c>
      <c r="J638" s="1374" t="str">
        <f t="shared" si="750"/>
        <v>0:0:00</v>
      </c>
      <c r="K638" s="500">
        <v>1</v>
      </c>
      <c r="L638" s="2009">
        <v>75.900000000000006</v>
      </c>
      <c r="M638" s="1375">
        <f t="shared" si="751"/>
        <v>0</v>
      </c>
      <c r="N638" s="1376">
        <v>1</v>
      </c>
      <c r="O638" s="1377">
        <f t="shared" si="752"/>
        <v>0</v>
      </c>
      <c r="P638" s="1375">
        <f t="shared" si="753"/>
        <v>0</v>
      </c>
      <c r="Q638" s="1378">
        <f t="shared" si="754"/>
        <v>0</v>
      </c>
      <c r="R638" s="1375">
        <f t="shared" si="755"/>
        <v>0</v>
      </c>
      <c r="S638" s="1375">
        <f t="shared" si="756"/>
        <v>0</v>
      </c>
      <c r="T638" s="1375">
        <f t="shared" si="757"/>
        <v>0</v>
      </c>
      <c r="U638" s="2028">
        <f t="shared" si="748"/>
        <v>0</v>
      </c>
      <c r="V638" s="1357"/>
      <c r="W638" s="1357"/>
      <c r="X638" s="1357"/>
      <c r="Y638" s="1357"/>
      <c r="AD638" s="2141">
        <f t="shared" si="728"/>
        <v>2.6</v>
      </c>
      <c r="AE638" s="2142" t="str">
        <f t="shared" si="723"/>
        <v/>
      </c>
      <c r="AG638" s="2118" t="s">
        <v>1816</v>
      </c>
    </row>
    <row r="639" spans="1:33" ht="14.25" hidden="1" outlineLevel="2" x14ac:dyDescent="0.2">
      <c r="A639" s="1360">
        <f t="shared" si="758"/>
        <v>211</v>
      </c>
      <c r="B639" s="1372" t="s">
        <v>1883</v>
      </c>
      <c r="C639" s="532" t="s">
        <v>1884</v>
      </c>
      <c r="D639" s="1358">
        <v>3</v>
      </c>
      <c r="E639" s="499" t="s">
        <v>465</v>
      </c>
      <c r="F639" s="2024" t="s">
        <v>303</v>
      </c>
      <c r="G639" s="1355">
        <v>0.5</v>
      </c>
      <c r="H639" s="1373">
        <f>IF((H635+H636+H637+H638)&gt;0,1,0)</f>
        <v>0</v>
      </c>
      <c r="I639" s="1359">
        <f t="shared" si="749"/>
        <v>0</v>
      </c>
      <c r="J639" s="1374" t="str">
        <f t="shared" si="750"/>
        <v>0:0:00</v>
      </c>
      <c r="K639" s="500">
        <v>1</v>
      </c>
      <c r="L639" s="2009">
        <v>37.950000000000003</v>
      </c>
      <c r="M639" s="1375">
        <f t="shared" si="751"/>
        <v>0</v>
      </c>
      <c r="N639" s="1376">
        <v>1</v>
      </c>
      <c r="O639" s="1377">
        <f t="shared" si="752"/>
        <v>0</v>
      </c>
      <c r="P639" s="1375">
        <f t="shared" si="753"/>
        <v>0</v>
      </c>
      <c r="Q639" s="1378">
        <f t="shared" si="754"/>
        <v>0</v>
      </c>
      <c r="R639" s="1375">
        <f t="shared" si="755"/>
        <v>0</v>
      </c>
      <c r="S639" s="1375">
        <f t="shared" si="756"/>
        <v>0</v>
      </c>
      <c r="T639" s="1375">
        <f t="shared" si="757"/>
        <v>0</v>
      </c>
      <c r="U639" s="2028">
        <f t="shared" si="748"/>
        <v>0</v>
      </c>
      <c r="V639" s="1357"/>
      <c r="W639" s="1357"/>
      <c r="X639" s="1357"/>
      <c r="Y639" s="1357"/>
      <c r="AD639" s="2141">
        <f t="shared" si="728"/>
        <v>2.6</v>
      </c>
      <c r="AE639" s="2142" t="str">
        <f t="shared" si="723"/>
        <v/>
      </c>
      <c r="AG639" s="2118" t="s">
        <v>1816</v>
      </c>
    </row>
    <row r="640" spans="1:33" ht="15" hidden="1" outlineLevel="1" x14ac:dyDescent="0.2">
      <c r="A640" s="1360"/>
      <c r="B640" s="1380" t="s">
        <v>1885</v>
      </c>
      <c r="C640" s="522"/>
      <c r="D640" s="2152"/>
      <c r="E640" s="523" t="s">
        <v>218</v>
      </c>
      <c r="F640" s="2164"/>
      <c r="G640" s="2178"/>
      <c r="H640" s="1367"/>
      <c r="I640" s="2043">
        <f>SUM(I641:I643)</f>
        <v>0</v>
      </c>
      <c r="J640" s="524"/>
      <c r="K640" s="524"/>
      <c r="L640" s="526"/>
      <c r="M640" s="1368"/>
      <c r="N640" s="524"/>
      <c r="O640" s="1369"/>
      <c r="P640" s="1368"/>
      <c r="Q640" s="1370"/>
      <c r="R640" s="1368"/>
      <c r="S640" s="1371">
        <f>SUM(T641:T643)</f>
        <v>0</v>
      </c>
      <c r="T640" s="1370"/>
      <c r="U640" s="2028">
        <f t="shared" si="748"/>
        <v>0</v>
      </c>
      <c r="V640" s="1357"/>
      <c r="W640" s="1357"/>
      <c r="X640" s="1357"/>
      <c r="Y640" s="1357"/>
      <c r="AD640" s="2141" t="str">
        <f t="shared" si="728"/>
        <v/>
      </c>
      <c r="AE640" s="2142" t="str">
        <f t="shared" si="723"/>
        <v/>
      </c>
      <c r="AG640" s="2118" t="s">
        <v>1816</v>
      </c>
    </row>
    <row r="641" spans="1:33" ht="14.25" hidden="1" outlineLevel="2" x14ac:dyDescent="0.2">
      <c r="A641" s="1360">
        <f>A639+1</f>
        <v>212</v>
      </c>
      <c r="B641" s="1372" t="s">
        <v>1886</v>
      </c>
      <c r="C641" s="532" t="s">
        <v>1887</v>
      </c>
      <c r="D641" s="1358">
        <v>3</v>
      </c>
      <c r="E641" s="499" t="s">
        <v>465</v>
      </c>
      <c r="F641" s="2024" t="s">
        <v>303</v>
      </c>
      <c r="G641" s="1392">
        <v>1.2999999999999999E-2</v>
      </c>
      <c r="H641" s="1373"/>
      <c r="I641" s="1359">
        <f t="shared" ref="I641:I643" si="759">IF(G641=0,0,IF(H641&gt;0,IF((G641*H641/K641)&lt;0.084,0.084,(G641*H641/K641)),0))</f>
        <v>0</v>
      </c>
      <c r="J641" s="1374" t="str">
        <f t="shared" ref="J641:J643" si="760">CONCATENATE(TRUNC(I641,0),":",INT((I641-(TRUNC(I641,0)))*60),":","00")</f>
        <v>0:0:00</v>
      </c>
      <c r="K641" s="500">
        <v>1</v>
      </c>
      <c r="L641" s="2056">
        <v>0.99</v>
      </c>
      <c r="M641" s="1375">
        <f t="shared" ref="M641:M643" si="761">H641*L641/K641</f>
        <v>0</v>
      </c>
      <c r="N641" s="1376">
        <v>1</v>
      </c>
      <c r="O641" s="1377">
        <f t="shared" ref="O641:O643" si="762">M641*N641</f>
        <v>0</v>
      </c>
      <c r="P641" s="1375">
        <f t="shared" ref="P641:P643" si="763">(M641+O641)*0.15</f>
        <v>0</v>
      </c>
      <c r="Q641" s="1378">
        <f t="shared" ref="Q641:Q643" si="764">M641+O641+P641</f>
        <v>0</v>
      </c>
      <c r="R641" s="1375">
        <f t="shared" ref="R641:R643" si="765">Q641*$R$1</f>
        <v>0</v>
      </c>
      <c r="S641" s="1375">
        <f t="shared" ref="S641:S643" si="766">(Q641+R641)*$S$1</f>
        <v>0</v>
      </c>
      <c r="T641" s="1375">
        <f t="shared" ref="T641:T643" si="767">Q641+R641+S641</f>
        <v>0</v>
      </c>
      <c r="U641" s="2028">
        <f t="shared" si="748"/>
        <v>0</v>
      </c>
      <c r="V641" s="1357"/>
      <c r="W641" s="1357"/>
      <c r="X641" s="1357"/>
      <c r="Y641" s="1357"/>
      <c r="AD641" s="2141">
        <f t="shared" si="728"/>
        <v>2.6</v>
      </c>
      <c r="AE641" s="2142" t="str">
        <f t="shared" si="723"/>
        <v/>
      </c>
      <c r="AG641" s="2118" t="s">
        <v>1816</v>
      </c>
    </row>
    <row r="642" spans="1:33" ht="14.25" hidden="1" outlineLevel="2" x14ac:dyDescent="0.2">
      <c r="A642" s="1360">
        <f>A641+1</f>
        <v>213</v>
      </c>
      <c r="B642" s="1372" t="s">
        <v>1888</v>
      </c>
      <c r="C642" s="532" t="s">
        <v>1887</v>
      </c>
      <c r="D642" s="1358">
        <v>3</v>
      </c>
      <c r="E642" s="499" t="s">
        <v>465</v>
      </c>
      <c r="F642" s="2024" t="s">
        <v>303</v>
      </c>
      <c r="G642" s="1392">
        <v>0.01</v>
      </c>
      <c r="H642" s="1373"/>
      <c r="I642" s="1359">
        <f t="shared" si="759"/>
        <v>0</v>
      </c>
      <c r="J642" s="1374" t="str">
        <f t="shared" si="760"/>
        <v>0:0:00</v>
      </c>
      <c r="K642" s="500">
        <v>1</v>
      </c>
      <c r="L642" s="2056">
        <v>0.76</v>
      </c>
      <c r="M642" s="1375">
        <f t="shared" si="761"/>
        <v>0</v>
      </c>
      <c r="N642" s="1376">
        <v>1</v>
      </c>
      <c r="O642" s="1377">
        <f t="shared" si="762"/>
        <v>0</v>
      </c>
      <c r="P642" s="1375">
        <f t="shared" si="763"/>
        <v>0</v>
      </c>
      <c r="Q642" s="1378">
        <f t="shared" si="764"/>
        <v>0</v>
      </c>
      <c r="R642" s="1375">
        <f t="shared" si="765"/>
        <v>0</v>
      </c>
      <c r="S642" s="1375">
        <f t="shared" si="766"/>
        <v>0</v>
      </c>
      <c r="T642" s="1375">
        <f t="shared" si="767"/>
        <v>0</v>
      </c>
      <c r="U642" s="2028">
        <f t="shared" si="748"/>
        <v>0</v>
      </c>
      <c r="V642" s="1357"/>
      <c r="W642" s="1357"/>
      <c r="X642" s="1357"/>
      <c r="Y642" s="1357"/>
      <c r="AD642" s="2141">
        <f t="shared" si="728"/>
        <v>2.6</v>
      </c>
      <c r="AE642" s="2142" t="str">
        <f t="shared" si="723"/>
        <v/>
      </c>
      <c r="AG642" s="2118" t="s">
        <v>1816</v>
      </c>
    </row>
    <row r="643" spans="1:33" ht="14.25" hidden="1" outlineLevel="2" x14ac:dyDescent="0.2">
      <c r="A643" s="1360">
        <f>A642+1</f>
        <v>214</v>
      </c>
      <c r="B643" s="1372" t="s">
        <v>1889</v>
      </c>
      <c r="C643" s="532" t="s">
        <v>1887</v>
      </c>
      <c r="D643" s="1358">
        <v>3</v>
      </c>
      <c r="E643" s="499" t="s">
        <v>465</v>
      </c>
      <c r="F643" s="2024" t="s">
        <v>303</v>
      </c>
      <c r="G643" s="1392">
        <v>0.5</v>
      </c>
      <c r="H643" s="1373">
        <f>IF((H641+H642)&gt;0,1,0)</f>
        <v>0</v>
      </c>
      <c r="I643" s="1359">
        <f t="shared" si="759"/>
        <v>0</v>
      </c>
      <c r="J643" s="1374" t="str">
        <f t="shared" si="760"/>
        <v>0:0:00</v>
      </c>
      <c r="K643" s="500">
        <v>1</v>
      </c>
      <c r="L643" s="2056">
        <v>37.950000000000003</v>
      </c>
      <c r="M643" s="1375">
        <f t="shared" si="761"/>
        <v>0</v>
      </c>
      <c r="N643" s="1376">
        <v>1</v>
      </c>
      <c r="O643" s="1377">
        <f t="shared" si="762"/>
        <v>0</v>
      </c>
      <c r="P643" s="1375">
        <f t="shared" si="763"/>
        <v>0</v>
      </c>
      <c r="Q643" s="1378">
        <f t="shared" si="764"/>
        <v>0</v>
      </c>
      <c r="R643" s="1375">
        <f t="shared" si="765"/>
        <v>0</v>
      </c>
      <c r="S643" s="1375">
        <f t="shared" si="766"/>
        <v>0</v>
      </c>
      <c r="T643" s="1375">
        <f t="shared" si="767"/>
        <v>0</v>
      </c>
      <c r="U643" s="2028">
        <f t="shared" si="748"/>
        <v>0</v>
      </c>
      <c r="V643" s="1357"/>
      <c r="W643" s="1357"/>
      <c r="X643" s="1357"/>
      <c r="Y643" s="1357"/>
      <c r="AD643" s="2141">
        <f t="shared" si="728"/>
        <v>2.6</v>
      </c>
      <c r="AE643" s="2142" t="str">
        <f t="shared" si="723"/>
        <v/>
      </c>
      <c r="AG643" s="2118" t="s">
        <v>1816</v>
      </c>
    </row>
    <row r="644" spans="1:33" ht="15" hidden="1" outlineLevel="1" x14ac:dyDescent="0.2">
      <c r="A644" s="1360"/>
      <c r="B644" s="1380" t="s">
        <v>474</v>
      </c>
      <c r="C644" s="522"/>
      <c r="D644" s="2152"/>
      <c r="E644" s="523" t="s">
        <v>218</v>
      </c>
      <c r="F644" s="2164"/>
      <c r="G644" s="2178"/>
      <c r="H644" s="1367"/>
      <c r="I644" s="2043">
        <f>SUM(I645:I654)</f>
        <v>0</v>
      </c>
      <c r="J644" s="524"/>
      <c r="K644" s="524"/>
      <c r="L644" s="526"/>
      <c r="M644" s="1368"/>
      <c r="N644" s="524"/>
      <c r="O644" s="1369"/>
      <c r="P644" s="1368"/>
      <c r="Q644" s="1370"/>
      <c r="R644" s="1368"/>
      <c r="S644" s="1371">
        <f>SUM(T645:T654)</f>
        <v>0</v>
      </c>
      <c r="T644" s="1370"/>
      <c r="U644" s="2028">
        <f t="shared" si="449"/>
        <v>0</v>
      </c>
      <c r="V644" s="1357"/>
      <c r="W644" s="1357"/>
      <c r="X644" s="1357"/>
      <c r="Y644" s="1357"/>
      <c r="AD644" s="2141" t="str">
        <f t="shared" si="728"/>
        <v/>
      </c>
      <c r="AE644" s="2142" t="str">
        <f t="shared" si="723"/>
        <v/>
      </c>
      <c r="AG644" s="2118" t="s">
        <v>1816</v>
      </c>
    </row>
    <row r="645" spans="1:33" ht="28.5" hidden="1" outlineLevel="2" x14ac:dyDescent="0.2">
      <c r="A645" s="1360">
        <f>A643+1</f>
        <v>215</v>
      </c>
      <c r="B645" s="1372" t="s">
        <v>1643</v>
      </c>
      <c r="C645" s="532"/>
      <c r="D645" s="1358">
        <v>3</v>
      </c>
      <c r="E645" s="499" t="s">
        <v>465</v>
      </c>
      <c r="F645" s="2024" t="s">
        <v>344</v>
      </c>
      <c r="G645" s="1392">
        <v>1.2E-2</v>
      </c>
      <c r="H645" s="1373"/>
      <c r="I645" s="1359">
        <f t="shared" ref="I645:I654" si="768">IF(G645=0,0,IF(H645&gt;0,IF((G645*H645/K645)&lt;0.084,0.084,(G645*H645/K645)),0))</f>
        <v>0</v>
      </c>
      <c r="J645" s="1374" t="str">
        <f t="shared" ref="J645:J654" si="769">CONCATENATE(TRUNC(I645,0),":",INT((I645-(TRUNC(I645,0)))*60),":","00")</f>
        <v>0:0:00</v>
      </c>
      <c r="K645" s="500">
        <v>1</v>
      </c>
      <c r="L645" s="2009">
        <v>0.91</v>
      </c>
      <c r="M645" s="1375">
        <f t="shared" ref="M645:M654" si="770">H645*L645/K645</f>
        <v>0</v>
      </c>
      <c r="N645" s="1376">
        <v>1</v>
      </c>
      <c r="O645" s="1377">
        <f t="shared" ref="O645:O654" si="771">M645*N645</f>
        <v>0</v>
      </c>
      <c r="P645" s="1375">
        <f t="shared" ref="P645:P654" si="772">(M645+O645)*0.15</f>
        <v>0</v>
      </c>
      <c r="Q645" s="1378">
        <f t="shared" ref="Q645:Q654" si="773">M645+O645+P645</f>
        <v>0</v>
      </c>
      <c r="R645" s="1375">
        <f t="shared" ref="R645:R654" si="774">Q645*$R$1</f>
        <v>0</v>
      </c>
      <c r="S645" s="1375">
        <f t="shared" ref="S645:S654" si="775">(Q645+R645)*$S$1</f>
        <v>0</v>
      </c>
      <c r="T645" s="1375">
        <f t="shared" ref="T645:T654" si="776">Q645+R645+S645</f>
        <v>0</v>
      </c>
      <c r="U645" s="2028">
        <f t="shared" si="449"/>
        <v>0</v>
      </c>
      <c r="V645" s="1357"/>
      <c r="W645" s="1357"/>
      <c r="X645" s="1357"/>
      <c r="Y645" s="1357"/>
      <c r="AD645" s="2141">
        <f t="shared" si="728"/>
        <v>2.6</v>
      </c>
      <c r="AE645" s="2142" t="str">
        <f t="shared" si="723"/>
        <v/>
      </c>
      <c r="AG645" s="2118" t="s">
        <v>1816</v>
      </c>
    </row>
    <row r="646" spans="1:33" ht="28.5" hidden="1" outlineLevel="2" x14ac:dyDescent="0.2">
      <c r="A646" s="1360">
        <f>A645+1</f>
        <v>216</v>
      </c>
      <c r="B646" s="1372" t="s">
        <v>1644</v>
      </c>
      <c r="C646" s="532"/>
      <c r="D646" s="1358">
        <v>3</v>
      </c>
      <c r="E646" s="499" t="s">
        <v>465</v>
      </c>
      <c r="F646" s="2024" t="s">
        <v>303</v>
      </c>
      <c r="G646" s="1392">
        <v>3.9E-2</v>
      </c>
      <c r="H646" s="1373"/>
      <c r="I646" s="1359">
        <f t="shared" si="768"/>
        <v>0</v>
      </c>
      <c r="J646" s="1374" t="str">
        <f t="shared" si="769"/>
        <v>0:0:00</v>
      </c>
      <c r="K646" s="500">
        <v>1</v>
      </c>
      <c r="L646" s="2009">
        <v>2.96</v>
      </c>
      <c r="M646" s="1375">
        <f t="shared" si="770"/>
        <v>0</v>
      </c>
      <c r="N646" s="1376">
        <v>1</v>
      </c>
      <c r="O646" s="1377">
        <f t="shared" si="771"/>
        <v>0</v>
      </c>
      <c r="P646" s="1375">
        <f t="shared" si="772"/>
        <v>0</v>
      </c>
      <c r="Q646" s="1378">
        <f t="shared" si="773"/>
        <v>0</v>
      </c>
      <c r="R646" s="1375">
        <f t="shared" si="774"/>
        <v>0</v>
      </c>
      <c r="S646" s="1375">
        <f t="shared" si="775"/>
        <v>0</v>
      </c>
      <c r="T646" s="1375">
        <f t="shared" si="776"/>
        <v>0</v>
      </c>
      <c r="U646" s="2028">
        <f t="shared" ref="U646:U726" si="777">IF(T646&gt;0,1,0)</f>
        <v>0</v>
      </c>
      <c r="V646" s="1357"/>
      <c r="W646" s="1357"/>
      <c r="X646" s="1357"/>
      <c r="Y646" s="1357"/>
      <c r="AD646" s="2141">
        <f t="shared" si="728"/>
        <v>2.6</v>
      </c>
      <c r="AE646" s="2142" t="str">
        <f t="shared" si="723"/>
        <v/>
      </c>
      <c r="AG646" s="2118" t="s">
        <v>1816</v>
      </c>
    </row>
    <row r="647" spans="1:33" ht="28.5" hidden="1" outlineLevel="2" x14ac:dyDescent="0.2">
      <c r="A647" s="1360">
        <f t="shared" ref="A647:A654" si="778">A646+1</f>
        <v>217</v>
      </c>
      <c r="B647" s="1372" t="s">
        <v>1645</v>
      </c>
      <c r="C647" s="532"/>
      <c r="D647" s="1358">
        <v>3</v>
      </c>
      <c r="E647" s="499" t="s">
        <v>465</v>
      </c>
      <c r="F647" s="2024" t="s">
        <v>303</v>
      </c>
      <c r="G647" s="1392">
        <v>1.2999999999999999E-2</v>
      </c>
      <c r="H647" s="1373"/>
      <c r="I647" s="1359">
        <f t="shared" si="768"/>
        <v>0</v>
      </c>
      <c r="J647" s="1374" t="str">
        <f t="shared" si="769"/>
        <v>0:0:00</v>
      </c>
      <c r="K647" s="500">
        <v>1</v>
      </c>
      <c r="L647" s="2009">
        <v>0.99</v>
      </c>
      <c r="M647" s="1375">
        <f t="shared" si="770"/>
        <v>0</v>
      </c>
      <c r="N647" s="1376">
        <v>1</v>
      </c>
      <c r="O647" s="1377">
        <f t="shared" si="771"/>
        <v>0</v>
      </c>
      <c r="P647" s="1375">
        <f t="shared" si="772"/>
        <v>0</v>
      </c>
      <c r="Q647" s="1378">
        <f t="shared" si="773"/>
        <v>0</v>
      </c>
      <c r="R647" s="1375">
        <f t="shared" si="774"/>
        <v>0</v>
      </c>
      <c r="S647" s="1375">
        <f t="shared" si="775"/>
        <v>0</v>
      </c>
      <c r="T647" s="1375">
        <f t="shared" si="776"/>
        <v>0</v>
      </c>
      <c r="U647" s="2028">
        <f t="shared" si="777"/>
        <v>0</v>
      </c>
      <c r="V647" s="1357"/>
      <c r="W647" s="1357"/>
      <c r="X647" s="1357"/>
      <c r="Y647" s="1357"/>
      <c r="AD647" s="2141">
        <f t="shared" si="728"/>
        <v>2.6</v>
      </c>
      <c r="AE647" s="2142" t="str">
        <f t="shared" si="723"/>
        <v/>
      </c>
      <c r="AG647" s="2118" t="s">
        <v>1816</v>
      </c>
    </row>
    <row r="648" spans="1:33" ht="14.25" hidden="1" outlineLevel="2" x14ac:dyDescent="0.2">
      <c r="A648" s="1360">
        <f t="shared" si="778"/>
        <v>218</v>
      </c>
      <c r="B648" s="1372" t="s">
        <v>1919</v>
      </c>
      <c r="C648" s="532"/>
      <c r="D648" s="1358">
        <v>2</v>
      </c>
      <c r="E648" s="499" t="s">
        <v>465</v>
      </c>
      <c r="F648" s="2024" t="s">
        <v>303</v>
      </c>
      <c r="G648" s="1383">
        <v>2E-3</v>
      </c>
      <c r="H648" s="1373"/>
      <c r="I648" s="1359">
        <f t="shared" ref="I648:I650" si="779">IF(G648=0,0,IF(H648&gt;0,IF((G648*H648/K648)&lt;0.084,0.084,(G648*H648/K648)),0))</f>
        <v>0</v>
      </c>
      <c r="J648" s="1374" t="str">
        <f t="shared" ref="J648:J650" si="780">CONCATENATE(TRUNC(I648,0),":",INT((I648-(TRUNC(I648,0)))*60),":","00")</f>
        <v>0:0:00</v>
      </c>
      <c r="K648" s="500">
        <v>1</v>
      </c>
      <c r="L648" s="2009">
        <v>0.13</v>
      </c>
      <c r="M648" s="1375">
        <f t="shared" ref="M648:M650" si="781">H648*L648/K648</f>
        <v>0</v>
      </c>
      <c r="N648" s="1376">
        <v>1</v>
      </c>
      <c r="O648" s="1377">
        <f t="shared" ref="O648:O650" si="782">M648*N648</f>
        <v>0</v>
      </c>
      <c r="P648" s="1375">
        <f t="shared" ref="P648:P650" si="783">(M648+O648)*0.15</f>
        <v>0</v>
      </c>
      <c r="Q648" s="1378">
        <f t="shared" ref="Q648:Q650" si="784">M648+O648+P648</f>
        <v>0</v>
      </c>
      <c r="R648" s="1375">
        <f t="shared" ref="R648:R650" si="785">Q648*$R$1</f>
        <v>0</v>
      </c>
      <c r="S648" s="1375">
        <f t="shared" ref="S648:S650" si="786">(Q648+R648)*$S$1</f>
        <v>0</v>
      </c>
      <c r="T648" s="1375">
        <f t="shared" ref="T648:T650" si="787">Q648+R648+S648</f>
        <v>0</v>
      </c>
      <c r="U648" s="2028">
        <f t="shared" ref="U648:U650" si="788">IF(T648&gt;0,1,0)</f>
        <v>0</v>
      </c>
      <c r="V648" s="1357"/>
      <c r="W648" s="1357"/>
      <c r="X648" s="1357"/>
      <c r="Y648" s="1357"/>
      <c r="AD648" s="2141">
        <f t="shared" ref="AD648:AD650" si="789">IF(D648&gt;0,LOOKUP(D648,$Z$30:$Z$33,$AA$30:$AA$33),"")</f>
        <v>1.5</v>
      </c>
      <c r="AE648" s="2142" t="str">
        <f t="shared" ref="AE648:AE650" si="790">IF(T648&gt;0,T648*AD648,"")</f>
        <v/>
      </c>
      <c r="AG648" s="2118" t="s">
        <v>1816</v>
      </c>
    </row>
    <row r="649" spans="1:33" ht="14.25" hidden="1" outlineLevel="2" x14ac:dyDescent="0.2">
      <c r="A649" s="1360">
        <f t="shared" si="778"/>
        <v>219</v>
      </c>
      <c r="B649" s="1372" t="s">
        <v>1646</v>
      </c>
      <c r="C649" s="532"/>
      <c r="D649" s="1358">
        <v>2</v>
      </c>
      <c r="E649" s="586" t="s">
        <v>465</v>
      </c>
      <c r="F649" s="2170" t="s">
        <v>303</v>
      </c>
      <c r="G649" s="1383">
        <v>0.16700000000000001</v>
      </c>
      <c r="H649" s="1373"/>
      <c r="I649" s="1359">
        <f t="shared" si="779"/>
        <v>0</v>
      </c>
      <c r="J649" s="1374" t="str">
        <f t="shared" si="780"/>
        <v>0:0:00</v>
      </c>
      <c r="K649" s="500">
        <v>1</v>
      </c>
      <c r="L649" s="2009">
        <v>10.56</v>
      </c>
      <c r="M649" s="1375">
        <f t="shared" si="781"/>
        <v>0</v>
      </c>
      <c r="N649" s="1376">
        <v>1</v>
      </c>
      <c r="O649" s="1377">
        <f t="shared" si="782"/>
        <v>0</v>
      </c>
      <c r="P649" s="1375">
        <f t="shared" si="783"/>
        <v>0</v>
      </c>
      <c r="Q649" s="1378">
        <f t="shared" si="784"/>
        <v>0</v>
      </c>
      <c r="R649" s="1375">
        <f t="shared" si="785"/>
        <v>0</v>
      </c>
      <c r="S649" s="1375">
        <f t="shared" si="786"/>
        <v>0</v>
      </c>
      <c r="T649" s="1375">
        <f t="shared" si="787"/>
        <v>0</v>
      </c>
      <c r="U649" s="2028">
        <f t="shared" si="788"/>
        <v>0</v>
      </c>
      <c r="V649" s="1357"/>
      <c r="W649" s="1357"/>
      <c r="X649" s="1357"/>
      <c r="Y649" s="1357"/>
      <c r="AD649" s="2141">
        <f t="shared" si="789"/>
        <v>1.5</v>
      </c>
      <c r="AE649" s="2142" t="str">
        <f t="shared" si="790"/>
        <v/>
      </c>
      <c r="AG649" s="2118" t="s">
        <v>1816</v>
      </c>
    </row>
    <row r="650" spans="1:33" ht="14.25" hidden="1" outlineLevel="2" x14ac:dyDescent="0.2">
      <c r="A650" s="1360">
        <f t="shared" si="778"/>
        <v>220</v>
      </c>
      <c r="B650" s="1372" t="s">
        <v>1647</v>
      </c>
      <c r="C650" s="532"/>
      <c r="D650" s="1358">
        <v>2</v>
      </c>
      <c r="E650" s="586" t="s">
        <v>465</v>
      </c>
      <c r="F650" s="2170" t="s">
        <v>303</v>
      </c>
      <c r="G650" s="1383">
        <v>0.33400000000000002</v>
      </c>
      <c r="H650" s="1373"/>
      <c r="I650" s="1359">
        <f t="shared" si="779"/>
        <v>0</v>
      </c>
      <c r="J650" s="1374" t="str">
        <f t="shared" si="780"/>
        <v>0:0:00</v>
      </c>
      <c r="K650" s="500">
        <v>1</v>
      </c>
      <c r="L650" s="2009">
        <v>21.13</v>
      </c>
      <c r="M650" s="1375">
        <f t="shared" si="781"/>
        <v>0</v>
      </c>
      <c r="N650" s="1376">
        <v>1</v>
      </c>
      <c r="O650" s="1377">
        <f t="shared" si="782"/>
        <v>0</v>
      </c>
      <c r="P650" s="1375">
        <f t="shared" si="783"/>
        <v>0</v>
      </c>
      <c r="Q650" s="1378">
        <f t="shared" si="784"/>
        <v>0</v>
      </c>
      <c r="R650" s="1375">
        <f t="shared" si="785"/>
        <v>0</v>
      </c>
      <c r="S650" s="1375">
        <f t="shared" si="786"/>
        <v>0</v>
      </c>
      <c r="T650" s="1375">
        <f t="shared" si="787"/>
        <v>0</v>
      </c>
      <c r="U650" s="2028">
        <f t="shared" si="788"/>
        <v>0</v>
      </c>
      <c r="V650" s="1357"/>
      <c r="W650" s="1357"/>
      <c r="X650" s="1357"/>
      <c r="Y650" s="1357"/>
      <c r="AD650" s="2141">
        <f t="shared" si="789"/>
        <v>1.5</v>
      </c>
      <c r="AE650" s="2142" t="str">
        <f t="shared" si="790"/>
        <v/>
      </c>
      <c r="AG650" s="2118" t="s">
        <v>1816</v>
      </c>
    </row>
    <row r="651" spans="1:33" ht="28.5" hidden="1" outlineLevel="2" x14ac:dyDescent="0.2">
      <c r="A651" s="1360">
        <f t="shared" si="778"/>
        <v>221</v>
      </c>
      <c r="B651" s="1372" t="s">
        <v>1648</v>
      </c>
      <c r="C651" s="532"/>
      <c r="D651" s="1358">
        <v>3</v>
      </c>
      <c r="E651" s="499" t="s">
        <v>465</v>
      </c>
      <c r="F651" s="2024" t="s">
        <v>303</v>
      </c>
      <c r="G651" s="1383">
        <v>0.01</v>
      </c>
      <c r="H651" s="1373"/>
      <c r="I651" s="1359">
        <f t="shared" si="768"/>
        <v>0</v>
      </c>
      <c r="J651" s="1374" t="str">
        <f t="shared" si="769"/>
        <v>0:0:00</v>
      </c>
      <c r="K651" s="500">
        <v>1</v>
      </c>
      <c r="L651" s="2009">
        <v>0.76</v>
      </c>
      <c r="M651" s="1375">
        <f t="shared" si="770"/>
        <v>0</v>
      </c>
      <c r="N651" s="1376">
        <v>1</v>
      </c>
      <c r="O651" s="1377">
        <f t="shared" si="771"/>
        <v>0</v>
      </c>
      <c r="P651" s="1375">
        <f t="shared" si="772"/>
        <v>0</v>
      </c>
      <c r="Q651" s="1378">
        <f t="shared" si="773"/>
        <v>0</v>
      </c>
      <c r="R651" s="1375">
        <f t="shared" si="774"/>
        <v>0</v>
      </c>
      <c r="S651" s="1375">
        <f t="shared" si="775"/>
        <v>0</v>
      </c>
      <c r="T651" s="1375">
        <f t="shared" si="776"/>
        <v>0</v>
      </c>
      <c r="U651" s="2028">
        <f t="shared" si="777"/>
        <v>0</v>
      </c>
      <c r="V651" s="1357"/>
      <c r="W651" s="1357"/>
      <c r="X651" s="1357"/>
      <c r="Y651" s="1357"/>
      <c r="AD651" s="2141">
        <f t="shared" si="728"/>
        <v>2.6</v>
      </c>
      <c r="AE651" s="2142" t="str">
        <f t="shared" si="723"/>
        <v/>
      </c>
      <c r="AG651" s="2118" t="s">
        <v>1816</v>
      </c>
    </row>
    <row r="652" spans="1:33" ht="28.5" hidden="1" outlineLevel="2" x14ac:dyDescent="0.2">
      <c r="A652" s="1360">
        <f t="shared" si="778"/>
        <v>222</v>
      </c>
      <c r="B652" s="1372" t="s">
        <v>1649</v>
      </c>
      <c r="C652" s="532"/>
      <c r="D652" s="1358">
        <v>3</v>
      </c>
      <c r="E652" s="499" t="s">
        <v>465</v>
      </c>
      <c r="F652" s="2024" t="s">
        <v>303</v>
      </c>
      <c r="G652" s="1383">
        <v>8.0000000000000002E-3</v>
      </c>
      <c r="H652" s="1373"/>
      <c r="I652" s="1359">
        <f t="shared" si="768"/>
        <v>0</v>
      </c>
      <c r="J652" s="1374" t="str">
        <f t="shared" si="769"/>
        <v>0:0:00</v>
      </c>
      <c r="K652" s="500">
        <v>1</v>
      </c>
      <c r="L652" s="2009">
        <v>0.61</v>
      </c>
      <c r="M652" s="1375">
        <f t="shared" si="770"/>
        <v>0</v>
      </c>
      <c r="N652" s="1376">
        <v>1</v>
      </c>
      <c r="O652" s="1377">
        <f t="shared" si="771"/>
        <v>0</v>
      </c>
      <c r="P652" s="1375">
        <f t="shared" si="772"/>
        <v>0</v>
      </c>
      <c r="Q652" s="1378">
        <f t="shared" si="773"/>
        <v>0</v>
      </c>
      <c r="R652" s="1375">
        <f t="shared" si="774"/>
        <v>0</v>
      </c>
      <c r="S652" s="1375">
        <f t="shared" si="775"/>
        <v>0</v>
      </c>
      <c r="T652" s="1375">
        <f t="shared" si="776"/>
        <v>0</v>
      </c>
      <c r="U652" s="2028">
        <f t="shared" si="777"/>
        <v>0</v>
      </c>
      <c r="V652" s="1357"/>
      <c r="W652" s="1357"/>
      <c r="X652" s="1357"/>
      <c r="Y652" s="1357"/>
      <c r="AD652" s="2141">
        <f t="shared" si="728"/>
        <v>2.6</v>
      </c>
      <c r="AE652" s="2142" t="str">
        <f t="shared" si="723"/>
        <v/>
      </c>
      <c r="AG652" s="2118" t="s">
        <v>1816</v>
      </c>
    </row>
    <row r="653" spans="1:33" ht="28.5" hidden="1" outlineLevel="2" x14ac:dyDescent="0.2">
      <c r="A653" s="1360">
        <f t="shared" si="778"/>
        <v>223</v>
      </c>
      <c r="B653" s="1372" t="s">
        <v>1650</v>
      </c>
      <c r="C653" s="532"/>
      <c r="D653" s="1358">
        <v>2</v>
      </c>
      <c r="E653" s="586" t="s">
        <v>465</v>
      </c>
      <c r="F653" s="2170" t="s">
        <v>303</v>
      </c>
      <c r="G653" s="1383">
        <v>0.11700000000000001</v>
      </c>
      <c r="H653" s="1373"/>
      <c r="I653" s="1359">
        <f t="shared" si="768"/>
        <v>0</v>
      </c>
      <c r="J653" s="1374" t="str">
        <f t="shared" si="769"/>
        <v>0:0:00</v>
      </c>
      <c r="K653" s="500">
        <v>1</v>
      </c>
      <c r="L653" s="2009">
        <v>7.4</v>
      </c>
      <c r="M653" s="1375">
        <f t="shared" si="770"/>
        <v>0</v>
      </c>
      <c r="N653" s="1376">
        <v>1</v>
      </c>
      <c r="O653" s="1377">
        <f t="shared" si="771"/>
        <v>0</v>
      </c>
      <c r="P653" s="1375">
        <f t="shared" si="772"/>
        <v>0</v>
      </c>
      <c r="Q653" s="1378">
        <f t="shared" si="773"/>
        <v>0</v>
      </c>
      <c r="R653" s="1375">
        <f t="shared" si="774"/>
        <v>0</v>
      </c>
      <c r="S653" s="1375">
        <f t="shared" si="775"/>
        <v>0</v>
      </c>
      <c r="T653" s="1375">
        <f t="shared" si="776"/>
        <v>0</v>
      </c>
      <c r="U653" s="2028">
        <f t="shared" si="777"/>
        <v>0</v>
      </c>
      <c r="V653" s="1357"/>
      <c r="W653" s="1357"/>
      <c r="X653" s="1357"/>
      <c r="Y653" s="1357"/>
      <c r="AD653" s="2141">
        <f t="shared" si="728"/>
        <v>1.5</v>
      </c>
      <c r="AE653" s="2142" t="str">
        <f t="shared" si="723"/>
        <v/>
      </c>
      <c r="AG653" s="2118" t="s">
        <v>1816</v>
      </c>
    </row>
    <row r="654" spans="1:33" ht="28.5" hidden="1" outlineLevel="2" x14ac:dyDescent="0.2">
      <c r="A654" s="1360">
        <f t="shared" si="778"/>
        <v>224</v>
      </c>
      <c r="B654" s="1372" t="s">
        <v>1651</v>
      </c>
      <c r="C654" s="532"/>
      <c r="D654" s="1358">
        <v>2</v>
      </c>
      <c r="E654" s="586" t="s">
        <v>465</v>
      </c>
      <c r="F654" s="2170" t="s">
        <v>303</v>
      </c>
      <c r="G654" s="1383">
        <v>0.03</v>
      </c>
      <c r="H654" s="1373"/>
      <c r="I654" s="1359">
        <f t="shared" si="768"/>
        <v>0</v>
      </c>
      <c r="J654" s="1374" t="str">
        <f t="shared" si="769"/>
        <v>0:0:00</v>
      </c>
      <c r="K654" s="500">
        <v>1</v>
      </c>
      <c r="L654" s="2009">
        <v>1.9</v>
      </c>
      <c r="M654" s="1375">
        <f t="shared" si="770"/>
        <v>0</v>
      </c>
      <c r="N654" s="1376">
        <v>1</v>
      </c>
      <c r="O654" s="1377">
        <f t="shared" si="771"/>
        <v>0</v>
      </c>
      <c r="P654" s="1375">
        <f t="shared" si="772"/>
        <v>0</v>
      </c>
      <c r="Q654" s="1378">
        <f t="shared" si="773"/>
        <v>0</v>
      </c>
      <c r="R654" s="1375">
        <f t="shared" si="774"/>
        <v>0</v>
      </c>
      <c r="S654" s="1375">
        <f t="shared" si="775"/>
        <v>0</v>
      </c>
      <c r="T654" s="1375">
        <f t="shared" si="776"/>
        <v>0</v>
      </c>
      <c r="U654" s="2028">
        <f t="shared" si="777"/>
        <v>0</v>
      </c>
      <c r="V654" s="1357"/>
      <c r="W654" s="1357"/>
      <c r="X654" s="1357"/>
      <c r="Y654" s="1357"/>
      <c r="AD654" s="2141">
        <f t="shared" si="728"/>
        <v>1.5</v>
      </c>
      <c r="AE654" s="2142" t="str">
        <f t="shared" si="723"/>
        <v/>
      </c>
      <c r="AG654" s="2118" t="s">
        <v>1816</v>
      </c>
    </row>
    <row r="655" spans="1:33" ht="15" hidden="1" outlineLevel="1" x14ac:dyDescent="0.2">
      <c r="A655" s="1360"/>
      <c r="B655" s="2121" t="s">
        <v>1890</v>
      </c>
      <c r="C655" s="522"/>
      <c r="D655" s="2152"/>
      <c r="E655" s="523" t="s">
        <v>218</v>
      </c>
      <c r="F655" s="2164"/>
      <c r="G655" s="2178"/>
      <c r="H655" s="1367"/>
      <c r="I655" s="2043">
        <f>I657+I658+I660+I661+I662+I663</f>
        <v>0</v>
      </c>
      <c r="J655" s="524"/>
      <c r="K655" s="524"/>
      <c r="L655" s="526"/>
      <c r="M655" s="1368"/>
      <c r="N655" s="524"/>
      <c r="O655" s="1369"/>
      <c r="P655" s="1368"/>
      <c r="Q655" s="1370"/>
      <c r="R655" s="1368"/>
      <c r="S655" s="1371">
        <f>SUM(T656:T663)</f>
        <v>0</v>
      </c>
      <c r="T655" s="1370"/>
      <c r="U655" s="2028">
        <f t="shared" si="777"/>
        <v>0</v>
      </c>
      <c r="V655" s="1357"/>
      <c r="W655" s="1357"/>
      <c r="X655" s="1357"/>
      <c r="Y655" s="1357"/>
      <c r="AD655" s="2141" t="str">
        <f t="shared" si="728"/>
        <v/>
      </c>
      <c r="AE655" s="2142" t="str">
        <f t="shared" si="723"/>
        <v/>
      </c>
      <c r="AG655" s="2118" t="s">
        <v>1816</v>
      </c>
    </row>
    <row r="656" spans="1:33" ht="42.75" hidden="1" outlineLevel="2" x14ac:dyDescent="0.2">
      <c r="A656" s="1360"/>
      <c r="B656" s="1384" t="s">
        <v>1891</v>
      </c>
      <c r="C656" s="528"/>
      <c r="D656" s="2155"/>
      <c r="E656" s="529" t="s">
        <v>218</v>
      </c>
      <c r="F656" s="2166"/>
      <c r="G656" s="2184"/>
      <c r="H656" s="1385"/>
      <c r="I656" s="530"/>
      <c r="J656" s="530"/>
      <c r="K656" s="530"/>
      <c r="L656" s="531"/>
      <c r="M656" s="1386"/>
      <c r="N656" s="530"/>
      <c r="O656" s="1387"/>
      <c r="P656" s="1386"/>
      <c r="Q656" s="1388"/>
      <c r="R656" s="1386"/>
      <c r="S656" s="1386"/>
      <c r="T656" s="1388"/>
      <c r="U656" s="2028">
        <f t="shared" si="777"/>
        <v>0</v>
      </c>
      <c r="V656" s="1357"/>
      <c r="W656" s="1357"/>
      <c r="X656" s="1357"/>
      <c r="Y656" s="1357"/>
      <c r="AD656" s="2141" t="str">
        <f t="shared" si="728"/>
        <v/>
      </c>
      <c r="AE656" s="2142" t="str">
        <f t="shared" si="723"/>
        <v/>
      </c>
      <c r="AG656" s="2118" t="s">
        <v>1816</v>
      </c>
    </row>
    <row r="657" spans="1:33" ht="42.75" hidden="1" outlineLevel="3" x14ac:dyDescent="0.2">
      <c r="A657" s="1360">
        <f>A654+1</f>
        <v>225</v>
      </c>
      <c r="B657" s="1389" t="s">
        <v>1892</v>
      </c>
      <c r="C657" s="585" t="s">
        <v>1893</v>
      </c>
      <c r="D657" s="1390">
        <v>4</v>
      </c>
      <c r="E657" s="499" t="s">
        <v>462</v>
      </c>
      <c r="F657" s="2046" t="s">
        <v>1492</v>
      </c>
      <c r="G657" s="1355">
        <v>1</v>
      </c>
      <c r="H657" s="1373"/>
      <c r="I657" s="1359">
        <f t="shared" ref="I657:I658" si="791">IF(G657=0,0,IF(H657&gt;0,IF((G657*H657/K657)&lt;0.084,0.084,(G657*H657/K657)),0))</f>
        <v>0</v>
      </c>
      <c r="J657" s="1374" t="str">
        <f t="shared" ref="J657:J658" si="792">CONCATENATE(TRUNC(I657,0),":",INT((I657-(TRUNC(I657,0)))*60),":","00")</f>
        <v>0:0:00</v>
      </c>
      <c r="K657" s="500">
        <v>1</v>
      </c>
      <c r="L657" s="2009">
        <v>95.15</v>
      </c>
      <c r="M657" s="1375">
        <f t="shared" ref="M657:M658" si="793">H657*L657/K657</f>
        <v>0</v>
      </c>
      <c r="N657" s="1376">
        <v>1</v>
      </c>
      <c r="O657" s="1377">
        <f t="shared" ref="O657:O658" si="794">M657*N657</f>
        <v>0</v>
      </c>
      <c r="P657" s="1375">
        <f t="shared" ref="P657:P658" si="795">(M657+O657)*0.15</f>
        <v>0</v>
      </c>
      <c r="Q657" s="1378">
        <f t="shared" ref="Q657:Q658" si="796">M657+O657+P657</f>
        <v>0</v>
      </c>
      <c r="R657" s="1375">
        <f t="shared" ref="R657:R658" si="797">Q657*$R$1</f>
        <v>0</v>
      </c>
      <c r="S657" s="1375">
        <f t="shared" ref="S657:S658" si="798">(Q657+R657)*$S$1</f>
        <v>0</v>
      </c>
      <c r="T657" s="1375">
        <f t="shared" ref="T657:T658" si="799">Q657+R657+S657</f>
        <v>0</v>
      </c>
      <c r="U657" s="2028">
        <f t="shared" si="777"/>
        <v>0</v>
      </c>
      <c r="V657" s="1357"/>
      <c r="W657" s="1357"/>
      <c r="X657" s="1357"/>
      <c r="Y657" s="1357"/>
      <c r="AD657" s="2141">
        <f t="shared" si="728"/>
        <v>2.6</v>
      </c>
      <c r="AE657" s="2142" t="str">
        <f t="shared" si="723"/>
        <v/>
      </c>
      <c r="AG657" s="2118" t="s">
        <v>1816</v>
      </c>
    </row>
    <row r="658" spans="1:33" ht="42.75" hidden="1" outlineLevel="3" x14ac:dyDescent="0.2">
      <c r="A658" s="1360">
        <f>A657+1</f>
        <v>226</v>
      </c>
      <c r="B658" s="1389" t="s">
        <v>1894</v>
      </c>
      <c r="C658" s="585" t="s">
        <v>1893</v>
      </c>
      <c r="D658" s="1390">
        <v>4</v>
      </c>
      <c r="E658" s="499" t="s">
        <v>462</v>
      </c>
      <c r="F658" s="2046" t="s">
        <v>1492</v>
      </c>
      <c r="G658" s="1355">
        <v>1</v>
      </c>
      <c r="H658" s="1373"/>
      <c r="I658" s="1359">
        <f t="shared" si="791"/>
        <v>0</v>
      </c>
      <c r="J658" s="1374" t="str">
        <f t="shared" si="792"/>
        <v>0:0:00</v>
      </c>
      <c r="K658" s="500">
        <v>1</v>
      </c>
      <c r="L658" s="2009">
        <v>95.15</v>
      </c>
      <c r="M658" s="1375">
        <f t="shared" si="793"/>
        <v>0</v>
      </c>
      <c r="N658" s="1376">
        <v>1</v>
      </c>
      <c r="O658" s="1377">
        <f t="shared" si="794"/>
        <v>0</v>
      </c>
      <c r="P658" s="1375">
        <f t="shared" si="795"/>
        <v>0</v>
      </c>
      <c r="Q658" s="1378">
        <f t="shared" si="796"/>
        <v>0</v>
      </c>
      <c r="R658" s="1375">
        <f t="shared" si="797"/>
        <v>0</v>
      </c>
      <c r="S658" s="1375">
        <f t="shared" si="798"/>
        <v>0</v>
      </c>
      <c r="T658" s="1375">
        <f t="shared" si="799"/>
        <v>0</v>
      </c>
      <c r="U658" s="2028">
        <f t="shared" si="777"/>
        <v>0</v>
      </c>
      <c r="V658" s="1357"/>
      <c r="W658" s="1357"/>
      <c r="X658" s="1357"/>
      <c r="Y658" s="1357"/>
      <c r="AD658" s="2141">
        <f t="shared" si="728"/>
        <v>2.6</v>
      </c>
      <c r="AE658" s="2142" t="str">
        <f t="shared" si="723"/>
        <v/>
      </c>
      <c r="AG658" s="2118" t="s">
        <v>1816</v>
      </c>
    </row>
    <row r="659" spans="1:33" ht="42.75" hidden="1" outlineLevel="2" x14ac:dyDescent="0.2">
      <c r="A659" s="1360"/>
      <c r="B659" s="1384" t="s">
        <v>1895</v>
      </c>
      <c r="C659" s="528"/>
      <c r="D659" s="2155"/>
      <c r="E659" s="529" t="s">
        <v>218</v>
      </c>
      <c r="F659" s="2166"/>
      <c r="G659" s="2184"/>
      <c r="H659" s="1385"/>
      <c r="I659" s="1436"/>
      <c r="J659" s="530"/>
      <c r="K659" s="530"/>
      <c r="L659" s="533"/>
      <c r="M659" s="1386"/>
      <c r="N659" s="530"/>
      <c r="O659" s="1387"/>
      <c r="P659" s="1386"/>
      <c r="Q659" s="1388"/>
      <c r="R659" s="1386"/>
      <c r="S659" s="1386"/>
      <c r="T659" s="1388"/>
      <c r="U659" s="2028">
        <f t="shared" si="777"/>
        <v>0</v>
      </c>
      <c r="V659" s="1357"/>
      <c r="W659" s="1357"/>
      <c r="X659" s="1357"/>
      <c r="Y659" s="1357"/>
      <c r="AD659" s="2141" t="str">
        <f t="shared" si="728"/>
        <v/>
      </c>
      <c r="AE659" s="2142" t="str">
        <f t="shared" si="723"/>
        <v/>
      </c>
      <c r="AG659" s="2118" t="s">
        <v>1816</v>
      </c>
    </row>
    <row r="660" spans="1:33" ht="42.75" hidden="1" outlineLevel="3" x14ac:dyDescent="0.2">
      <c r="A660" s="1360">
        <f>A658+1</f>
        <v>227</v>
      </c>
      <c r="B660" s="1389" t="s">
        <v>1896</v>
      </c>
      <c r="C660" s="585" t="s">
        <v>1897</v>
      </c>
      <c r="D660" s="1358">
        <v>4</v>
      </c>
      <c r="E660" s="499" t="s">
        <v>462</v>
      </c>
      <c r="F660" s="2046" t="s">
        <v>1492</v>
      </c>
      <c r="G660" s="1355">
        <v>1</v>
      </c>
      <c r="H660" s="1373"/>
      <c r="I660" s="1359">
        <f t="shared" ref="I660:I663" si="800">IF(G660=0,0,IF(H660&gt;0,IF((G660*H660/K660)&lt;0.084,0.084,(G660*H660/K660)),0))</f>
        <v>0</v>
      </c>
      <c r="J660" s="1374" t="str">
        <f t="shared" ref="J660:J663" si="801">CONCATENATE(TRUNC(I660,0),":",INT((I660-(TRUNC(I660,0)))*60),":","00")</f>
        <v>0:0:00</v>
      </c>
      <c r="K660" s="500">
        <v>1</v>
      </c>
      <c r="L660" s="2009">
        <v>95.15</v>
      </c>
      <c r="M660" s="1375">
        <f t="shared" ref="M660:M663" si="802">H660*L660/K660</f>
        <v>0</v>
      </c>
      <c r="N660" s="1376">
        <v>1</v>
      </c>
      <c r="O660" s="1377">
        <f t="shared" ref="O660:O663" si="803">M660*N660</f>
        <v>0</v>
      </c>
      <c r="P660" s="1375">
        <f t="shared" ref="P660:P663" si="804">(M660+O660)*0.15</f>
        <v>0</v>
      </c>
      <c r="Q660" s="1378">
        <f t="shared" ref="Q660:Q663" si="805">M660+O660+P660</f>
        <v>0</v>
      </c>
      <c r="R660" s="1375">
        <f t="shared" ref="R660:R663" si="806">Q660*$R$1</f>
        <v>0</v>
      </c>
      <c r="S660" s="1375">
        <f t="shared" ref="S660:S663" si="807">(Q660+R660)*$S$1</f>
        <v>0</v>
      </c>
      <c r="T660" s="1375">
        <f t="shared" ref="T660:T663" si="808">Q660+R660+S660</f>
        <v>0</v>
      </c>
      <c r="U660" s="2028">
        <f t="shared" si="777"/>
        <v>0</v>
      </c>
      <c r="V660" s="1357"/>
      <c r="W660" s="1357"/>
      <c r="X660" s="1357"/>
      <c r="Y660" s="1357"/>
      <c r="AD660" s="2141">
        <f t="shared" si="728"/>
        <v>2.6</v>
      </c>
      <c r="AE660" s="2142" t="str">
        <f t="shared" si="723"/>
        <v/>
      </c>
      <c r="AG660" s="2118" t="s">
        <v>1816</v>
      </c>
    </row>
    <row r="661" spans="1:33" ht="42.75" hidden="1" outlineLevel="3" x14ac:dyDescent="0.2">
      <c r="A661" s="1360">
        <f>A660+1</f>
        <v>228</v>
      </c>
      <c r="B661" s="1389" t="s">
        <v>1898</v>
      </c>
      <c r="C661" s="585" t="s">
        <v>1897</v>
      </c>
      <c r="D661" s="1358">
        <v>4</v>
      </c>
      <c r="E661" s="499" t="s">
        <v>462</v>
      </c>
      <c r="F661" s="2046" t="s">
        <v>1492</v>
      </c>
      <c r="G661" s="1355">
        <v>1</v>
      </c>
      <c r="H661" s="1373"/>
      <c r="I661" s="1359">
        <f t="shared" si="800"/>
        <v>0</v>
      </c>
      <c r="J661" s="1374" t="str">
        <f t="shared" si="801"/>
        <v>0:0:00</v>
      </c>
      <c r="K661" s="500">
        <v>1</v>
      </c>
      <c r="L661" s="2009">
        <v>95.15</v>
      </c>
      <c r="M661" s="1375">
        <f t="shared" si="802"/>
        <v>0</v>
      </c>
      <c r="N661" s="1376">
        <v>1</v>
      </c>
      <c r="O661" s="1377">
        <f t="shared" si="803"/>
        <v>0</v>
      </c>
      <c r="P661" s="1375">
        <f t="shared" si="804"/>
        <v>0</v>
      </c>
      <c r="Q661" s="1378">
        <f t="shared" si="805"/>
        <v>0</v>
      </c>
      <c r="R661" s="1375">
        <f t="shared" si="806"/>
        <v>0</v>
      </c>
      <c r="S661" s="1375">
        <f t="shared" si="807"/>
        <v>0</v>
      </c>
      <c r="T661" s="1375">
        <f t="shared" si="808"/>
        <v>0</v>
      </c>
      <c r="U661" s="2028">
        <f t="shared" si="777"/>
        <v>0</v>
      </c>
      <c r="V661" s="1357"/>
      <c r="W661" s="1357"/>
      <c r="X661" s="1357"/>
      <c r="Y661" s="1357"/>
      <c r="AD661" s="2141">
        <f t="shared" si="728"/>
        <v>2.6</v>
      </c>
      <c r="AE661" s="2142" t="str">
        <f t="shared" si="723"/>
        <v/>
      </c>
      <c r="AG661" s="2118" t="s">
        <v>1816</v>
      </c>
    </row>
    <row r="662" spans="1:33" ht="28.5" hidden="1" outlineLevel="3" x14ac:dyDescent="0.2">
      <c r="A662" s="1360">
        <f t="shared" ref="A662:A663" si="809">A661+1</f>
        <v>229</v>
      </c>
      <c r="B662" s="1389" t="s">
        <v>1899</v>
      </c>
      <c r="C662" s="585" t="s">
        <v>1900</v>
      </c>
      <c r="D662" s="1358">
        <v>4</v>
      </c>
      <c r="E662" s="499" t="s">
        <v>462</v>
      </c>
      <c r="F662" s="2046" t="s">
        <v>303</v>
      </c>
      <c r="G662" s="1355">
        <v>0.25</v>
      </c>
      <c r="H662" s="1373">
        <f>H663</f>
        <v>0</v>
      </c>
      <c r="I662" s="1359">
        <f t="shared" si="800"/>
        <v>0</v>
      </c>
      <c r="J662" s="1374" t="str">
        <f t="shared" si="801"/>
        <v>0:0:00</v>
      </c>
      <c r="K662" s="500">
        <v>1</v>
      </c>
      <c r="L662" s="2009">
        <v>23.79</v>
      </c>
      <c r="M662" s="1375">
        <f t="shared" si="802"/>
        <v>0</v>
      </c>
      <c r="N662" s="1376">
        <v>1</v>
      </c>
      <c r="O662" s="1377">
        <f t="shared" si="803"/>
        <v>0</v>
      </c>
      <c r="P662" s="1375">
        <f t="shared" si="804"/>
        <v>0</v>
      </c>
      <c r="Q662" s="1378">
        <f t="shared" si="805"/>
        <v>0</v>
      </c>
      <c r="R662" s="1375">
        <f t="shared" si="806"/>
        <v>0</v>
      </c>
      <c r="S662" s="1375">
        <f t="shared" si="807"/>
        <v>0</v>
      </c>
      <c r="T662" s="1375">
        <f t="shared" si="808"/>
        <v>0</v>
      </c>
      <c r="U662" s="2028">
        <f t="shared" si="777"/>
        <v>0</v>
      </c>
      <c r="V662" s="1357"/>
      <c r="W662" s="1357"/>
      <c r="X662" s="1357"/>
      <c r="Y662" s="1357"/>
      <c r="AD662" s="2141">
        <f t="shared" si="728"/>
        <v>2.6</v>
      </c>
      <c r="AE662" s="2142" t="str">
        <f t="shared" si="723"/>
        <v/>
      </c>
      <c r="AG662" s="2118" t="s">
        <v>1816</v>
      </c>
    </row>
    <row r="663" spans="1:33" ht="28.5" hidden="1" outlineLevel="3" x14ac:dyDescent="0.2">
      <c r="A663" s="1360">
        <f t="shared" si="809"/>
        <v>230</v>
      </c>
      <c r="B663" s="1389" t="s">
        <v>1901</v>
      </c>
      <c r="C663" s="585" t="s">
        <v>1900</v>
      </c>
      <c r="D663" s="1358">
        <v>4</v>
      </c>
      <c r="E663" s="499" t="s">
        <v>462</v>
      </c>
      <c r="F663" s="2046" t="s">
        <v>303</v>
      </c>
      <c r="G663" s="1355">
        <v>0.5</v>
      </c>
      <c r="H663" s="1373">
        <f>IF((H657+H658+H660+H661)&gt;0,1,0)</f>
        <v>0</v>
      </c>
      <c r="I663" s="1359">
        <f t="shared" si="800"/>
        <v>0</v>
      </c>
      <c r="J663" s="1374" t="str">
        <f t="shared" si="801"/>
        <v>0:0:00</v>
      </c>
      <c r="K663" s="500">
        <v>1</v>
      </c>
      <c r="L663" s="2009">
        <v>47.58</v>
      </c>
      <c r="M663" s="1375">
        <f t="shared" si="802"/>
        <v>0</v>
      </c>
      <c r="N663" s="1376">
        <v>1</v>
      </c>
      <c r="O663" s="1377">
        <f t="shared" si="803"/>
        <v>0</v>
      </c>
      <c r="P663" s="1375">
        <f t="shared" si="804"/>
        <v>0</v>
      </c>
      <c r="Q663" s="1378">
        <f t="shared" si="805"/>
        <v>0</v>
      </c>
      <c r="R663" s="1375">
        <f t="shared" si="806"/>
        <v>0</v>
      </c>
      <c r="S663" s="1375">
        <f t="shared" si="807"/>
        <v>0</v>
      </c>
      <c r="T663" s="1375">
        <f t="shared" si="808"/>
        <v>0</v>
      </c>
      <c r="U663" s="2028">
        <f t="shared" si="777"/>
        <v>0</v>
      </c>
      <c r="V663" s="1357"/>
      <c r="W663" s="1357"/>
      <c r="X663" s="1357"/>
      <c r="Y663" s="1357"/>
      <c r="AD663" s="2141">
        <f t="shared" si="728"/>
        <v>2.6</v>
      </c>
      <c r="AE663" s="2142" t="str">
        <f t="shared" si="723"/>
        <v/>
      </c>
      <c r="AG663" s="2118" t="s">
        <v>1816</v>
      </c>
    </row>
    <row r="664" spans="1:33" ht="30" hidden="1" outlineLevel="1" x14ac:dyDescent="0.2">
      <c r="A664" s="1360"/>
      <c r="B664" s="1380" t="s">
        <v>476</v>
      </c>
      <c r="C664" s="522"/>
      <c r="D664" s="2152"/>
      <c r="E664" s="523" t="s">
        <v>218</v>
      </c>
      <c r="F664" s="2164"/>
      <c r="G664" s="2178"/>
      <c r="H664" s="1367"/>
      <c r="I664" s="2043">
        <f>I666+I674+I682+I690+I698+I707+I715+I723+I731+I739</f>
        <v>0</v>
      </c>
      <c r="J664" s="524"/>
      <c r="K664" s="524"/>
      <c r="L664" s="526"/>
      <c r="M664" s="1368"/>
      <c r="N664" s="524"/>
      <c r="O664" s="1369"/>
      <c r="P664" s="1368"/>
      <c r="Q664" s="1370"/>
      <c r="R664" s="1368"/>
      <c r="S664" s="1371">
        <f>SUM(T665:T748)</f>
        <v>0</v>
      </c>
      <c r="T664" s="1370"/>
      <c r="U664" s="2028">
        <f t="shared" si="777"/>
        <v>0</v>
      </c>
      <c r="V664" s="1357"/>
      <c r="W664" s="1357"/>
      <c r="X664" s="1357"/>
      <c r="Y664" s="1357"/>
      <c r="AD664" s="2141" t="str">
        <f t="shared" si="728"/>
        <v/>
      </c>
      <c r="AE664" s="2142" t="str">
        <f t="shared" si="723"/>
        <v/>
      </c>
      <c r="AG664" s="2118" t="s">
        <v>1816</v>
      </c>
    </row>
    <row r="665" spans="1:33" ht="14.25" hidden="1" outlineLevel="2" x14ac:dyDescent="0.2">
      <c r="A665" s="1360"/>
      <c r="B665" s="1384" t="s">
        <v>477</v>
      </c>
      <c r="C665" s="528"/>
      <c r="D665" s="2155"/>
      <c r="E665" s="529" t="s">
        <v>218</v>
      </c>
      <c r="F665" s="2166"/>
      <c r="G665" s="2184"/>
      <c r="H665" s="1385"/>
      <c r="I665" s="530"/>
      <c r="J665" s="530"/>
      <c r="K665" s="530"/>
      <c r="L665" s="531"/>
      <c r="M665" s="1386"/>
      <c r="N665" s="530"/>
      <c r="O665" s="1387"/>
      <c r="P665" s="1386"/>
      <c r="Q665" s="1388"/>
      <c r="R665" s="1386"/>
      <c r="S665" s="1393">
        <f>SUM(T666:T705)</f>
        <v>0</v>
      </c>
      <c r="T665" s="1388"/>
      <c r="U665" s="2028">
        <f t="shared" si="777"/>
        <v>0</v>
      </c>
      <c r="V665" s="1357"/>
      <c r="W665" s="1357"/>
      <c r="X665" s="1357"/>
      <c r="Y665" s="1357"/>
      <c r="AD665" s="2141" t="str">
        <f t="shared" si="728"/>
        <v/>
      </c>
      <c r="AE665" s="2142" t="str">
        <f t="shared" si="723"/>
        <v/>
      </c>
      <c r="AG665" s="2118" t="s">
        <v>1816</v>
      </c>
    </row>
    <row r="666" spans="1:33" ht="14.25" hidden="1" outlineLevel="3" x14ac:dyDescent="0.2">
      <c r="A666" s="1360"/>
      <c r="B666" s="1384" t="s">
        <v>478</v>
      </c>
      <c r="C666" s="528"/>
      <c r="D666" s="2155"/>
      <c r="E666" s="529" t="s">
        <v>218</v>
      </c>
      <c r="F666" s="2166"/>
      <c r="G666" s="2184"/>
      <c r="H666" s="1385"/>
      <c r="I666" s="2058">
        <f>I667+I668+I670+I671+I673</f>
        <v>0</v>
      </c>
      <c r="J666" s="530"/>
      <c r="K666" s="530"/>
      <c r="L666" s="531"/>
      <c r="M666" s="1386"/>
      <c r="N666" s="530"/>
      <c r="O666" s="1387"/>
      <c r="P666" s="1386"/>
      <c r="Q666" s="1388"/>
      <c r="R666" s="1386"/>
      <c r="S666" s="1393">
        <f>SUM(T667:T673)</f>
        <v>0</v>
      </c>
      <c r="T666" s="1388"/>
      <c r="U666" s="2028">
        <f t="shared" si="777"/>
        <v>0</v>
      </c>
      <c r="V666" s="1357"/>
      <c r="W666" s="1357"/>
      <c r="X666" s="1357"/>
      <c r="Y666" s="1357"/>
      <c r="AD666" s="2141" t="str">
        <f t="shared" si="728"/>
        <v/>
      </c>
      <c r="AE666" s="2142" t="str">
        <f t="shared" si="723"/>
        <v/>
      </c>
      <c r="AG666" s="2118" t="s">
        <v>1816</v>
      </c>
    </row>
    <row r="667" spans="1:33" ht="42.75" hidden="1" outlineLevel="4" x14ac:dyDescent="0.2">
      <c r="A667" s="1360">
        <f>A663+1</f>
        <v>231</v>
      </c>
      <c r="B667" s="1389" t="s">
        <v>1652</v>
      </c>
      <c r="C667" s="532" t="s">
        <v>479</v>
      </c>
      <c r="D667" s="1358">
        <v>3</v>
      </c>
      <c r="E667" s="499" t="s">
        <v>465</v>
      </c>
      <c r="F667" s="2024" t="s">
        <v>303</v>
      </c>
      <c r="G667" s="1355">
        <v>9.1743119266055047</v>
      </c>
      <c r="H667" s="1373"/>
      <c r="I667" s="1359">
        <f t="shared" ref="I667:I673" si="810">IF(G667=0,0,IF(H667&gt;0,IF((G667*H667/K667)&lt;0.084,0.084,(G667*H667/K667)),0))</f>
        <v>0</v>
      </c>
      <c r="J667" s="1374" t="str">
        <f t="shared" ref="J667:J673" si="811">CONCATENATE(TRUNC(I667,0),":",INT((I667-(TRUNC(I667,0)))*60),":","00")</f>
        <v>0:0:00</v>
      </c>
      <c r="K667" s="500">
        <v>1000</v>
      </c>
      <c r="L667" s="2009">
        <v>696.33</v>
      </c>
      <c r="M667" s="1375">
        <f t="shared" ref="M667:M673" si="812">H667*L667/K667</f>
        <v>0</v>
      </c>
      <c r="N667" s="1376">
        <v>1</v>
      </c>
      <c r="O667" s="1377">
        <f t="shared" ref="O667:O673" si="813">M667*N667</f>
        <v>0</v>
      </c>
      <c r="P667" s="1375">
        <f t="shared" ref="P667:P673" si="814">(M667+O667)*0.15</f>
        <v>0</v>
      </c>
      <c r="Q667" s="1378">
        <f t="shared" ref="Q667:Q673" si="815">M667+O667+P667</f>
        <v>0</v>
      </c>
      <c r="R667" s="1375">
        <f t="shared" ref="R667:R673" si="816">Q667*$R$1</f>
        <v>0</v>
      </c>
      <c r="S667" s="1375">
        <f t="shared" ref="S667:S673" si="817">(Q667+R667)*$S$1</f>
        <v>0</v>
      </c>
      <c r="T667" s="1375">
        <f t="shared" ref="T667:T673" si="818">Q667+R667+S667</f>
        <v>0</v>
      </c>
      <c r="U667" s="2028">
        <f t="shared" si="777"/>
        <v>0</v>
      </c>
      <c r="V667" s="1357"/>
      <c r="W667" s="1357"/>
      <c r="X667" s="1357"/>
      <c r="Y667" s="1357"/>
      <c r="AD667" s="2141">
        <f t="shared" si="728"/>
        <v>2.6</v>
      </c>
      <c r="AE667" s="2142" t="str">
        <f t="shared" ref="AE667:AE730" si="819">IF(T667&gt;0,T667*AD667,"")</f>
        <v/>
      </c>
      <c r="AG667" s="2118" t="s">
        <v>1816</v>
      </c>
    </row>
    <row r="668" spans="1:33" ht="28.5" hidden="1" outlineLevel="4" x14ac:dyDescent="0.2">
      <c r="A668" s="1360">
        <f>A667+1</f>
        <v>232</v>
      </c>
      <c r="B668" s="1389" t="s">
        <v>1653</v>
      </c>
      <c r="C668" s="532" t="s">
        <v>479</v>
      </c>
      <c r="D668" s="1358">
        <v>3</v>
      </c>
      <c r="E668" s="499" t="s">
        <v>465</v>
      </c>
      <c r="F668" s="2024" t="s">
        <v>303</v>
      </c>
      <c r="G668" s="1355">
        <v>8.1967213114754092</v>
      </c>
      <c r="H668" s="1373"/>
      <c r="I668" s="1359">
        <f t="shared" si="810"/>
        <v>0</v>
      </c>
      <c r="J668" s="1374" t="str">
        <f t="shared" si="811"/>
        <v>0:0:00</v>
      </c>
      <c r="K668" s="500">
        <v>1000</v>
      </c>
      <c r="L668" s="2009">
        <v>622.13</v>
      </c>
      <c r="M668" s="1375">
        <f t="shared" si="812"/>
        <v>0</v>
      </c>
      <c r="N668" s="1376">
        <v>1</v>
      </c>
      <c r="O668" s="1377">
        <f t="shared" si="813"/>
        <v>0</v>
      </c>
      <c r="P668" s="1375">
        <f t="shared" si="814"/>
        <v>0</v>
      </c>
      <c r="Q668" s="1378">
        <f t="shared" si="815"/>
        <v>0</v>
      </c>
      <c r="R668" s="1375">
        <f t="shared" si="816"/>
        <v>0</v>
      </c>
      <c r="S668" s="1375">
        <f t="shared" si="817"/>
        <v>0</v>
      </c>
      <c r="T668" s="1375">
        <f t="shared" si="818"/>
        <v>0</v>
      </c>
      <c r="U668" s="2028">
        <f t="shared" si="777"/>
        <v>0</v>
      </c>
      <c r="V668" s="1357"/>
      <c r="W668" s="1357"/>
      <c r="X668" s="1357"/>
      <c r="Y668" s="1357"/>
      <c r="AD668" s="2141">
        <f t="shared" si="728"/>
        <v>2.6</v>
      </c>
      <c r="AE668" s="2142" t="str">
        <f t="shared" si="819"/>
        <v/>
      </c>
      <c r="AG668" s="2118" t="s">
        <v>1816</v>
      </c>
    </row>
    <row r="669" spans="1:33" ht="28.5" hidden="1" outlineLevel="4" x14ac:dyDescent="0.2">
      <c r="A669" s="1360">
        <f t="shared" ref="A669:A673" si="820">A668+1</f>
        <v>233</v>
      </c>
      <c r="B669" s="1389" t="s">
        <v>1654</v>
      </c>
      <c r="C669" s="532" t="s">
        <v>479</v>
      </c>
      <c r="D669" s="1358">
        <v>2</v>
      </c>
      <c r="E669" s="499" t="s">
        <v>465</v>
      </c>
      <c r="F669" s="2024" t="s">
        <v>303</v>
      </c>
      <c r="G669" s="1355">
        <v>8.1967213114754092</v>
      </c>
      <c r="H669" s="1373">
        <f>H668</f>
        <v>0</v>
      </c>
      <c r="I669" s="1359">
        <f t="shared" si="810"/>
        <v>0</v>
      </c>
      <c r="J669" s="1374" t="str">
        <f t="shared" ref="J669" si="821">CONCATENATE(TRUNC(I669,0),":",INT((I669-(TRUNC(I669,0)))*60),":","00")</f>
        <v>0:0:00</v>
      </c>
      <c r="K669" s="500">
        <v>1000</v>
      </c>
      <c r="L669" s="2009">
        <v>518.44000000000005</v>
      </c>
      <c r="M669" s="1375">
        <f t="shared" ref="M669" si="822">H669*L669/K669</f>
        <v>0</v>
      </c>
      <c r="N669" s="1376">
        <v>1</v>
      </c>
      <c r="O669" s="1377">
        <f t="shared" ref="O669" si="823">M669*N669</f>
        <v>0</v>
      </c>
      <c r="P669" s="1375">
        <f t="shared" ref="P669" si="824">(M669+O669)*0.15</f>
        <v>0</v>
      </c>
      <c r="Q669" s="1378">
        <f t="shared" ref="Q669" si="825">M669+O669+P669</f>
        <v>0</v>
      </c>
      <c r="R669" s="1375">
        <f t="shared" ref="R669" si="826">Q669*$R$1</f>
        <v>0</v>
      </c>
      <c r="S669" s="1375">
        <f t="shared" ref="S669" si="827">(Q669+R669)*$S$1</f>
        <v>0</v>
      </c>
      <c r="T669" s="1375">
        <f t="shared" ref="T669" si="828">Q669+R669+S669</f>
        <v>0</v>
      </c>
      <c r="U669" s="2028">
        <f t="shared" ref="U669" si="829">IF(T669&gt;0,1,0)</f>
        <v>0</v>
      </c>
      <c r="V669" s="1357"/>
      <c r="W669" s="1357"/>
      <c r="X669" s="1357"/>
      <c r="Y669" s="1357"/>
      <c r="AD669" s="2141">
        <f t="shared" si="728"/>
        <v>1.5</v>
      </c>
      <c r="AE669" s="2142" t="str">
        <f t="shared" si="819"/>
        <v/>
      </c>
      <c r="AG669" s="2118" t="s">
        <v>1816</v>
      </c>
    </row>
    <row r="670" spans="1:33" ht="28.5" hidden="1" outlineLevel="4" x14ac:dyDescent="0.2">
      <c r="A670" s="1360">
        <f t="shared" si="820"/>
        <v>234</v>
      </c>
      <c r="B670" s="1389" t="s">
        <v>1655</v>
      </c>
      <c r="C670" s="532" t="s">
        <v>479</v>
      </c>
      <c r="D670" s="1358">
        <v>2</v>
      </c>
      <c r="E670" s="499" t="s">
        <v>465</v>
      </c>
      <c r="F670" s="2024" t="s">
        <v>303</v>
      </c>
      <c r="G670" s="1355">
        <v>6.1728395061728394</v>
      </c>
      <c r="H670" s="1373"/>
      <c r="I670" s="1359">
        <f t="shared" si="810"/>
        <v>0</v>
      </c>
      <c r="J670" s="1374" t="str">
        <f t="shared" si="811"/>
        <v>0:0:00</v>
      </c>
      <c r="K670" s="500">
        <v>1000</v>
      </c>
      <c r="L670" s="2009">
        <v>390.43</v>
      </c>
      <c r="M670" s="1375">
        <f t="shared" si="812"/>
        <v>0</v>
      </c>
      <c r="N670" s="1376">
        <v>1</v>
      </c>
      <c r="O670" s="1377">
        <f t="shared" si="813"/>
        <v>0</v>
      </c>
      <c r="P670" s="1375">
        <f t="shared" si="814"/>
        <v>0</v>
      </c>
      <c r="Q670" s="1378">
        <f t="shared" si="815"/>
        <v>0</v>
      </c>
      <c r="R670" s="1375">
        <f t="shared" si="816"/>
        <v>0</v>
      </c>
      <c r="S670" s="1375">
        <f t="shared" si="817"/>
        <v>0</v>
      </c>
      <c r="T670" s="1375">
        <f t="shared" si="818"/>
        <v>0</v>
      </c>
      <c r="U670" s="2028">
        <f t="shared" si="777"/>
        <v>0</v>
      </c>
      <c r="V670" s="1357"/>
      <c r="W670" s="1357"/>
      <c r="X670" s="1357"/>
      <c r="Y670" s="1357"/>
      <c r="AD670" s="2141">
        <f t="shared" si="728"/>
        <v>1.5</v>
      </c>
      <c r="AE670" s="2142" t="str">
        <f t="shared" si="819"/>
        <v/>
      </c>
      <c r="AG670" s="2118" t="s">
        <v>1816</v>
      </c>
    </row>
    <row r="671" spans="1:33" ht="28.5" hidden="1" outlineLevel="4" x14ac:dyDescent="0.2">
      <c r="A671" s="1360">
        <f t="shared" si="820"/>
        <v>235</v>
      </c>
      <c r="B671" s="1389" t="s">
        <v>1656</v>
      </c>
      <c r="C671" s="532" t="s">
        <v>479</v>
      </c>
      <c r="D671" s="1358">
        <v>3</v>
      </c>
      <c r="E671" s="499" t="s">
        <v>465</v>
      </c>
      <c r="F671" s="2024" t="s">
        <v>303</v>
      </c>
      <c r="G671" s="1355">
        <v>12.5</v>
      </c>
      <c r="H671" s="1373"/>
      <c r="I671" s="1359">
        <f t="shared" si="810"/>
        <v>0</v>
      </c>
      <c r="J671" s="1374" t="str">
        <f t="shared" si="811"/>
        <v>0:0:00</v>
      </c>
      <c r="K671" s="500">
        <v>1000</v>
      </c>
      <c r="L671" s="2009">
        <v>948.75</v>
      </c>
      <c r="M671" s="1375">
        <f t="shared" si="812"/>
        <v>0</v>
      </c>
      <c r="N671" s="1376">
        <v>1</v>
      </c>
      <c r="O671" s="1377">
        <f t="shared" si="813"/>
        <v>0</v>
      </c>
      <c r="P671" s="1375">
        <f t="shared" si="814"/>
        <v>0</v>
      </c>
      <c r="Q671" s="1378">
        <f t="shared" si="815"/>
        <v>0</v>
      </c>
      <c r="R671" s="1375">
        <f t="shared" si="816"/>
        <v>0</v>
      </c>
      <c r="S671" s="1375">
        <f t="shared" si="817"/>
        <v>0</v>
      </c>
      <c r="T671" s="1375">
        <f t="shared" si="818"/>
        <v>0</v>
      </c>
      <c r="U671" s="2028">
        <f t="shared" si="777"/>
        <v>0</v>
      </c>
      <c r="V671" s="1357"/>
      <c r="W671" s="1357"/>
      <c r="X671" s="1357"/>
      <c r="Y671" s="1357"/>
      <c r="AD671" s="2141">
        <f t="shared" si="728"/>
        <v>2.6</v>
      </c>
      <c r="AE671" s="2142" t="str">
        <f t="shared" si="819"/>
        <v/>
      </c>
      <c r="AG671" s="2118" t="s">
        <v>1816</v>
      </c>
    </row>
    <row r="672" spans="1:33" ht="28.5" hidden="1" outlineLevel="4" x14ac:dyDescent="0.2">
      <c r="A672" s="1360">
        <f t="shared" si="820"/>
        <v>236</v>
      </c>
      <c r="B672" s="1389" t="s">
        <v>1656</v>
      </c>
      <c r="C672" s="532" t="s">
        <v>479</v>
      </c>
      <c r="D672" s="1358">
        <v>3</v>
      </c>
      <c r="E672" s="499" t="s">
        <v>465</v>
      </c>
      <c r="F672" s="2024" t="s">
        <v>303</v>
      </c>
      <c r="G672" s="1355">
        <v>12.5</v>
      </c>
      <c r="H672" s="1373">
        <f>H671</f>
        <v>0</v>
      </c>
      <c r="I672" s="1359">
        <f t="shared" si="810"/>
        <v>0</v>
      </c>
      <c r="J672" s="1374" t="str">
        <f t="shared" si="811"/>
        <v>0:0:00</v>
      </c>
      <c r="K672" s="500">
        <v>1000</v>
      </c>
      <c r="L672" s="2009">
        <v>948.75</v>
      </c>
      <c r="M672" s="1375">
        <f t="shared" si="812"/>
        <v>0</v>
      </c>
      <c r="N672" s="1376">
        <v>1</v>
      </c>
      <c r="O672" s="1377">
        <f t="shared" si="813"/>
        <v>0</v>
      </c>
      <c r="P672" s="1375">
        <f t="shared" si="814"/>
        <v>0</v>
      </c>
      <c r="Q672" s="1378">
        <f t="shared" si="815"/>
        <v>0</v>
      </c>
      <c r="R672" s="1375">
        <f t="shared" si="816"/>
        <v>0</v>
      </c>
      <c r="S672" s="1375">
        <f t="shared" si="817"/>
        <v>0</v>
      </c>
      <c r="T672" s="1375">
        <f t="shared" si="818"/>
        <v>0</v>
      </c>
      <c r="U672" s="2028">
        <f t="shared" si="777"/>
        <v>0</v>
      </c>
      <c r="V672" s="1357"/>
      <c r="W672" s="1357"/>
      <c r="X672" s="1357"/>
      <c r="Y672" s="1357"/>
      <c r="AD672" s="2141">
        <f t="shared" si="728"/>
        <v>2.6</v>
      </c>
      <c r="AE672" s="2142" t="str">
        <f t="shared" si="819"/>
        <v/>
      </c>
      <c r="AG672" s="2118" t="s">
        <v>1816</v>
      </c>
    </row>
    <row r="673" spans="1:33" ht="28.5" hidden="1" outlineLevel="4" x14ac:dyDescent="0.2">
      <c r="A673" s="1360">
        <f t="shared" si="820"/>
        <v>237</v>
      </c>
      <c r="B673" s="1389" t="s">
        <v>1657</v>
      </c>
      <c r="C673" s="532" t="s">
        <v>479</v>
      </c>
      <c r="D673" s="1358">
        <v>2</v>
      </c>
      <c r="E673" s="499" t="s">
        <v>465</v>
      </c>
      <c r="F673" s="2024" t="s">
        <v>303</v>
      </c>
      <c r="G673" s="1355">
        <v>8</v>
      </c>
      <c r="H673" s="1373"/>
      <c r="I673" s="1359">
        <f t="shared" si="810"/>
        <v>0</v>
      </c>
      <c r="J673" s="1374" t="str">
        <f t="shared" si="811"/>
        <v>0:0:00</v>
      </c>
      <c r="K673" s="500">
        <v>1000</v>
      </c>
      <c r="L673" s="2009">
        <v>506</v>
      </c>
      <c r="M673" s="1375">
        <f t="shared" si="812"/>
        <v>0</v>
      </c>
      <c r="N673" s="1376">
        <v>1</v>
      </c>
      <c r="O673" s="1377">
        <f t="shared" si="813"/>
        <v>0</v>
      </c>
      <c r="P673" s="1375">
        <f t="shared" si="814"/>
        <v>0</v>
      </c>
      <c r="Q673" s="1378">
        <f t="shared" si="815"/>
        <v>0</v>
      </c>
      <c r="R673" s="1375">
        <f t="shared" si="816"/>
        <v>0</v>
      </c>
      <c r="S673" s="1375">
        <f t="shared" si="817"/>
        <v>0</v>
      </c>
      <c r="T673" s="1375">
        <f t="shared" si="818"/>
        <v>0</v>
      </c>
      <c r="U673" s="2028">
        <f t="shared" si="777"/>
        <v>0</v>
      </c>
      <c r="V673" s="1357"/>
      <c r="W673" s="1357"/>
      <c r="X673" s="1357"/>
      <c r="Y673" s="1357"/>
      <c r="AD673" s="2141">
        <f t="shared" si="728"/>
        <v>1.5</v>
      </c>
      <c r="AE673" s="2142" t="str">
        <f t="shared" si="819"/>
        <v/>
      </c>
      <c r="AG673" s="2118" t="s">
        <v>1816</v>
      </c>
    </row>
    <row r="674" spans="1:33" ht="14.25" hidden="1" outlineLevel="3" x14ac:dyDescent="0.2">
      <c r="A674" s="1360"/>
      <c r="B674" s="1384" t="s">
        <v>480</v>
      </c>
      <c r="C674" s="528"/>
      <c r="D674" s="2155"/>
      <c r="E674" s="529" t="s">
        <v>218</v>
      </c>
      <c r="F674" s="2166"/>
      <c r="G674" s="2184"/>
      <c r="H674" s="1385"/>
      <c r="I674" s="2058">
        <f>I675+I676+I678+I679+I681</f>
        <v>0</v>
      </c>
      <c r="J674" s="530"/>
      <c r="K674" s="530"/>
      <c r="L674" s="531"/>
      <c r="M674" s="1386"/>
      <c r="N674" s="530"/>
      <c r="O674" s="1387"/>
      <c r="P674" s="1386"/>
      <c r="Q674" s="1388"/>
      <c r="R674" s="1386"/>
      <c r="S674" s="1393">
        <f>SUM(T675:T681)</f>
        <v>0</v>
      </c>
      <c r="T674" s="1388"/>
      <c r="U674" s="2028">
        <f t="shared" si="777"/>
        <v>0</v>
      </c>
      <c r="V674" s="1357"/>
      <c r="W674" s="1357"/>
      <c r="X674" s="1357"/>
      <c r="Y674" s="1357"/>
      <c r="AD674" s="2141" t="str">
        <f t="shared" si="728"/>
        <v/>
      </c>
      <c r="AE674" s="2142" t="str">
        <f t="shared" si="819"/>
        <v/>
      </c>
      <c r="AG674" s="2118" t="s">
        <v>1816</v>
      </c>
    </row>
    <row r="675" spans="1:33" ht="42.75" hidden="1" outlineLevel="4" x14ac:dyDescent="0.2">
      <c r="A675" s="1360">
        <f>A673+1</f>
        <v>238</v>
      </c>
      <c r="B675" s="1389" t="s">
        <v>1658</v>
      </c>
      <c r="C675" s="532" t="s">
        <v>481</v>
      </c>
      <c r="D675" s="1358">
        <v>3</v>
      </c>
      <c r="E675" s="499" t="s">
        <v>465</v>
      </c>
      <c r="F675" s="2024" t="s">
        <v>303</v>
      </c>
      <c r="G675" s="1355">
        <v>11.904761904761905</v>
      </c>
      <c r="H675" s="1373"/>
      <c r="I675" s="1359">
        <f t="shared" ref="I675:I681" si="830">IF(G675=0,0,IF(H675&gt;0,IF((G675*H675/K675)&lt;0.084,0.084,(G675*H675/K675)),0))</f>
        <v>0</v>
      </c>
      <c r="J675" s="1374" t="str">
        <f t="shared" ref="J675:J681" si="831">CONCATENATE(TRUNC(I675,0),":",INT((I675-(TRUNC(I675,0)))*60),":","00")</f>
        <v>0:0:00</v>
      </c>
      <c r="K675" s="500">
        <v>1000</v>
      </c>
      <c r="L675" s="2009">
        <v>903.57</v>
      </c>
      <c r="M675" s="1375">
        <f t="shared" ref="M675:M681" si="832">H675*L675/K675</f>
        <v>0</v>
      </c>
      <c r="N675" s="1376">
        <v>1</v>
      </c>
      <c r="O675" s="1377">
        <f t="shared" ref="O675:O681" si="833">M675*N675</f>
        <v>0</v>
      </c>
      <c r="P675" s="1375">
        <f t="shared" ref="P675:P681" si="834">(M675+O675)*0.15</f>
        <v>0</v>
      </c>
      <c r="Q675" s="1378">
        <f t="shared" ref="Q675:Q681" si="835">M675+O675+P675</f>
        <v>0</v>
      </c>
      <c r="R675" s="1375">
        <f t="shared" ref="R675:R681" si="836">Q675*$R$1</f>
        <v>0</v>
      </c>
      <c r="S675" s="1375">
        <f t="shared" ref="S675:S681" si="837">(Q675+R675)*$S$1</f>
        <v>0</v>
      </c>
      <c r="T675" s="1375">
        <f t="shared" ref="T675:T681" si="838">Q675+R675+S675</f>
        <v>0</v>
      </c>
      <c r="U675" s="2028">
        <f t="shared" si="777"/>
        <v>0</v>
      </c>
      <c r="V675" s="1357"/>
      <c r="W675" s="1357"/>
      <c r="X675" s="1357"/>
      <c r="Y675" s="1357"/>
      <c r="AD675" s="2141">
        <f t="shared" si="728"/>
        <v>2.6</v>
      </c>
      <c r="AE675" s="2142" t="str">
        <f t="shared" si="819"/>
        <v/>
      </c>
      <c r="AG675" s="2118" t="s">
        <v>1816</v>
      </c>
    </row>
    <row r="676" spans="1:33" ht="28.5" hidden="1" outlineLevel="4" x14ac:dyDescent="0.2">
      <c r="A676" s="1360">
        <f>A675+1</f>
        <v>239</v>
      </c>
      <c r="B676" s="1389" t="s">
        <v>1659</v>
      </c>
      <c r="C676" s="532" t="s">
        <v>481</v>
      </c>
      <c r="D676" s="1358">
        <v>3</v>
      </c>
      <c r="E676" s="499" t="s">
        <v>465</v>
      </c>
      <c r="F676" s="2024" t="s">
        <v>303</v>
      </c>
      <c r="G676" s="1355">
        <v>9.3457943925233646</v>
      </c>
      <c r="H676" s="1373"/>
      <c r="I676" s="1359">
        <f t="shared" si="830"/>
        <v>0</v>
      </c>
      <c r="J676" s="1374" t="str">
        <f t="shared" si="831"/>
        <v>0:0:00</v>
      </c>
      <c r="K676" s="500">
        <v>1000</v>
      </c>
      <c r="L676" s="2009">
        <v>709.35</v>
      </c>
      <c r="M676" s="1375">
        <f t="shared" si="832"/>
        <v>0</v>
      </c>
      <c r="N676" s="1376">
        <v>1</v>
      </c>
      <c r="O676" s="1377">
        <f t="shared" si="833"/>
        <v>0</v>
      </c>
      <c r="P676" s="1375">
        <f t="shared" si="834"/>
        <v>0</v>
      </c>
      <c r="Q676" s="1378">
        <f t="shared" si="835"/>
        <v>0</v>
      </c>
      <c r="R676" s="1375">
        <f t="shared" si="836"/>
        <v>0</v>
      </c>
      <c r="S676" s="1375">
        <f t="shared" si="837"/>
        <v>0</v>
      </c>
      <c r="T676" s="1375">
        <f t="shared" si="838"/>
        <v>0</v>
      </c>
      <c r="U676" s="2028">
        <f t="shared" si="777"/>
        <v>0</v>
      </c>
      <c r="V676" s="1357"/>
      <c r="W676" s="1357"/>
      <c r="X676" s="1357"/>
      <c r="Y676" s="1357"/>
      <c r="AD676" s="2141">
        <f t="shared" si="728"/>
        <v>2.6</v>
      </c>
      <c r="AE676" s="2142" t="str">
        <f t="shared" si="819"/>
        <v/>
      </c>
      <c r="AG676" s="2118" t="s">
        <v>1816</v>
      </c>
    </row>
    <row r="677" spans="1:33" ht="28.5" hidden="1" outlineLevel="4" x14ac:dyDescent="0.2">
      <c r="A677" s="1360">
        <f t="shared" ref="A677:A681" si="839">A676+1</f>
        <v>240</v>
      </c>
      <c r="B677" s="1389" t="s">
        <v>1660</v>
      </c>
      <c r="C677" s="532" t="s">
        <v>481</v>
      </c>
      <c r="D677" s="1358">
        <v>2</v>
      </c>
      <c r="E677" s="499" t="s">
        <v>465</v>
      </c>
      <c r="F677" s="2024" t="s">
        <v>303</v>
      </c>
      <c r="G677" s="1355">
        <v>9.3457943925233646</v>
      </c>
      <c r="H677" s="1373">
        <f>H676</f>
        <v>0</v>
      </c>
      <c r="I677" s="1359">
        <f t="shared" si="830"/>
        <v>0</v>
      </c>
      <c r="J677" s="1374" t="str">
        <f t="shared" ref="J677" si="840">CONCATENATE(TRUNC(I677,0),":",INT((I677-(TRUNC(I677,0)))*60),":","00")</f>
        <v>0:0:00</v>
      </c>
      <c r="K677" s="500">
        <v>1000</v>
      </c>
      <c r="L677" s="2009">
        <v>591.12</v>
      </c>
      <c r="M677" s="1375">
        <f t="shared" ref="M677" si="841">H677*L677/K677</f>
        <v>0</v>
      </c>
      <c r="N677" s="1376">
        <v>1</v>
      </c>
      <c r="O677" s="1377">
        <f t="shared" ref="O677" si="842">M677*N677</f>
        <v>0</v>
      </c>
      <c r="P677" s="1375">
        <f t="shared" ref="P677" si="843">(M677+O677)*0.15</f>
        <v>0</v>
      </c>
      <c r="Q677" s="1378">
        <f t="shared" ref="Q677" si="844">M677+O677+P677</f>
        <v>0</v>
      </c>
      <c r="R677" s="1375">
        <f t="shared" ref="R677" si="845">Q677*$R$1</f>
        <v>0</v>
      </c>
      <c r="S677" s="1375">
        <f t="shared" ref="S677" si="846">(Q677+R677)*$S$1</f>
        <v>0</v>
      </c>
      <c r="T677" s="1375">
        <f t="shared" ref="T677" si="847">Q677+R677+S677</f>
        <v>0</v>
      </c>
      <c r="U677" s="2028">
        <f t="shared" ref="U677" si="848">IF(T677&gt;0,1,0)</f>
        <v>0</v>
      </c>
      <c r="V677" s="1357"/>
      <c r="W677" s="1357"/>
      <c r="X677" s="1357"/>
      <c r="Y677" s="1357"/>
      <c r="AD677" s="2141">
        <f t="shared" si="728"/>
        <v>1.5</v>
      </c>
      <c r="AE677" s="2142" t="str">
        <f t="shared" si="819"/>
        <v/>
      </c>
      <c r="AG677" s="2118" t="s">
        <v>1816</v>
      </c>
    </row>
    <row r="678" spans="1:33" ht="28.5" hidden="1" outlineLevel="4" x14ac:dyDescent="0.2">
      <c r="A678" s="1360">
        <f t="shared" si="839"/>
        <v>241</v>
      </c>
      <c r="B678" s="1389" t="s">
        <v>1661</v>
      </c>
      <c r="C678" s="532" t="s">
        <v>481</v>
      </c>
      <c r="D678" s="1358">
        <v>2</v>
      </c>
      <c r="E678" s="499" t="s">
        <v>465</v>
      </c>
      <c r="F678" s="2024" t="s">
        <v>303</v>
      </c>
      <c r="G678" s="1355">
        <v>6.1728395061728394</v>
      </c>
      <c r="H678" s="1373"/>
      <c r="I678" s="1359">
        <f t="shared" si="830"/>
        <v>0</v>
      </c>
      <c r="J678" s="1374" t="str">
        <f t="shared" si="831"/>
        <v>0:0:00</v>
      </c>
      <c r="K678" s="500">
        <v>1000</v>
      </c>
      <c r="L678" s="2009">
        <v>390.43</v>
      </c>
      <c r="M678" s="1375">
        <f t="shared" si="832"/>
        <v>0</v>
      </c>
      <c r="N678" s="1376">
        <v>1</v>
      </c>
      <c r="O678" s="1377">
        <f t="shared" si="833"/>
        <v>0</v>
      </c>
      <c r="P678" s="1375">
        <f t="shared" si="834"/>
        <v>0</v>
      </c>
      <c r="Q678" s="1378">
        <f t="shared" si="835"/>
        <v>0</v>
      </c>
      <c r="R678" s="1375">
        <f t="shared" si="836"/>
        <v>0</v>
      </c>
      <c r="S678" s="1375">
        <f t="shared" si="837"/>
        <v>0</v>
      </c>
      <c r="T678" s="1375">
        <f t="shared" si="838"/>
        <v>0</v>
      </c>
      <c r="U678" s="2028">
        <f t="shared" si="777"/>
        <v>0</v>
      </c>
      <c r="V678" s="1357"/>
      <c r="W678" s="1357"/>
      <c r="X678" s="1357"/>
      <c r="Y678" s="1357"/>
      <c r="AD678" s="2141">
        <f t="shared" si="728"/>
        <v>1.5</v>
      </c>
      <c r="AE678" s="2142" t="str">
        <f t="shared" si="819"/>
        <v/>
      </c>
      <c r="AG678" s="2118" t="s">
        <v>1816</v>
      </c>
    </row>
    <row r="679" spans="1:33" ht="28.5" hidden="1" outlineLevel="4" x14ac:dyDescent="0.2">
      <c r="A679" s="1360">
        <f t="shared" si="839"/>
        <v>242</v>
      </c>
      <c r="B679" s="1389" t="s">
        <v>1662</v>
      </c>
      <c r="C679" s="532" t="s">
        <v>481</v>
      </c>
      <c r="D679" s="1358">
        <v>3</v>
      </c>
      <c r="E679" s="499" t="s">
        <v>465</v>
      </c>
      <c r="F679" s="2024" t="s">
        <v>303</v>
      </c>
      <c r="G679" s="1355">
        <v>13.157894736842104</v>
      </c>
      <c r="H679" s="1373"/>
      <c r="I679" s="1359">
        <f t="shared" si="830"/>
        <v>0</v>
      </c>
      <c r="J679" s="1374" t="str">
        <f t="shared" si="831"/>
        <v>0:0:00</v>
      </c>
      <c r="K679" s="500">
        <v>1000</v>
      </c>
      <c r="L679" s="2009">
        <v>998.68</v>
      </c>
      <c r="M679" s="1375">
        <f t="shared" si="832"/>
        <v>0</v>
      </c>
      <c r="N679" s="1376">
        <v>1</v>
      </c>
      <c r="O679" s="1377">
        <f t="shared" si="833"/>
        <v>0</v>
      </c>
      <c r="P679" s="1375">
        <f t="shared" si="834"/>
        <v>0</v>
      </c>
      <c r="Q679" s="1378">
        <f t="shared" si="835"/>
        <v>0</v>
      </c>
      <c r="R679" s="1375">
        <f t="shared" si="836"/>
        <v>0</v>
      </c>
      <c r="S679" s="1375">
        <f t="shared" si="837"/>
        <v>0</v>
      </c>
      <c r="T679" s="1375">
        <f t="shared" si="838"/>
        <v>0</v>
      </c>
      <c r="U679" s="2028">
        <f t="shared" si="777"/>
        <v>0</v>
      </c>
      <c r="V679" s="1357"/>
      <c r="W679" s="1357"/>
      <c r="X679" s="1357"/>
      <c r="Y679" s="1357"/>
      <c r="AD679" s="2141">
        <f t="shared" si="728"/>
        <v>2.6</v>
      </c>
      <c r="AE679" s="2142" t="str">
        <f t="shared" si="819"/>
        <v/>
      </c>
      <c r="AG679" s="2118" t="s">
        <v>1816</v>
      </c>
    </row>
    <row r="680" spans="1:33" ht="28.5" hidden="1" outlineLevel="4" x14ac:dyDescent="0.2">
      <c r="A680" s="1360">
        <f t="shared" si="839"/>
        <v>243</v>
      </c>
      <c r="B680" s="1389" t="s">
        <v>1662</v>
      </c>
      <c r="C680" s="532" t="s">
        <v>481</v>
      </c>
      <c r="D680" s="1358">
        <v>3</v>
      </c>
      <c r="E680" s="499" t="s">
        <v>465</v>
      </c>
      <c r="F680" s="2024" t="s">
        <v>303</v>
      </c>
      <c r="G680" s="1355">
        <v>13.157894736842104</v>
      </c>
      <c r="H680" s="1373">
        <f>H679</f>
        <v>0</v>
      </c>
      <c r="I680" s="1359">
        <f t="shared" si="830"/>
        <v>0</v>
      </c>
      <c r="J680" s="1374" t="str">
        <f t="shared" si="831"/>
        <v>0:0:00</v>
      </c>
      <c r="K680" s="500">
        <v>1000</v>
      </c>
      <c r="L680" s="2009">
        <v>998.68</v>
      </c>
      <c r="M680" s="1375">
        <f t="shared" si="832"/>
        <v>0</v>
      </c>
      <c r="N680" s="1376">
        <v>1</v>
      </c>
      <c r="O680" s="1377">
        <f t="shared" si="833"/>
        <v>0</v>
      </c>
      <c r="P680" s="1375">
        <f t="shared" si="834"/>
        <v>0</v>
      </c>
      <c r="Q680" s="1378">
        <f t="shared" si="835"/>
        <v>0</v>
      </c>
      <c r="R680" s="1375">
        <f t="shared" si="836"/>
        <v>0</v>
      </c>
      <c r="S680" s="1375">
        <f t="shared" si="837"/>
        <v>0</v>
      </c>
      <c r="T680" s="1375">
        <f t="shared" si="838"/>
        <v>0</v>
      </c>
      <c r="U680" s="2028">
        <f t="shared" si="777"/>
        <v>0</v>
      </c>
      <c r="V680" s="1357"/>
      <c r="W680" s="1357"/>
      <c r="X680" s="1357"/>
      <c r="Y680" s="1357"/>
      <c r="AD680" s="2141">
        <f t="shared" si="728"/>
        <v>2.6</v>
      </c>
      <c r="AE680" s="2142" t="str">
        <f t="shared" si="819"/>
        <v/>
      </c>
      <c r="AG680" s="2118" t="s">
        <v>1816</v>
      </c>
    </row>
    <row r="681" spans="1:33" ht="28.5" hidden="1" outlineLevel="4" x14ac:dyDescent="0.2">
      <c r="A681" s="1360">
        <f t="shared" si="839"/>
        <v>244</v>
      </c>
      <c r="B681" s="1389" t="s">
        <v>1663</v>
      </c>
      <c r="C681" s="532" t="s">
        <v>481</v>
      </c>
      <c r="D681" s="1358">
        <v>2</v>
      </c>
      <c r="E681" s="499" t="s">
        <v>465</v>
      </c>
      <c r="F681" s="2024" t="s">
        <v>303</v>
      </c>
      <c r="G681" s="1355">
        <v>8</v>
      </c>
      <c r="H681" s="1373"/>
      <c r="I681" s="1359">
        <f t="shared" si="830"/>
        <v>0</v>
      </c>
      <c r="J681" s="1374" t="str">
        <f t="shared" si="831"/>
        <v>0:0:00</v>
      </c>
      <c r="K681" s="500">
        <v>1000</v>
      </c>
      <c r="L681" s="2009">
        <v>506</v>
      </c>
      <c r="M681" s="1375">
        <f t="shared" si="832"/>
        <v>0</v>
      </c>
      <c r="N681" s="1376">
        <v>1</v>
      </c>
      <c r="O681" s="1377">
        <f t="shared" si="833"/>
        <v>0</v>
      </c>
      <c r="P681" s="1375">
        <f t="shared" si="834"/>
        <v>0</v>
      </c>
      <c r="Q681" s="1378">
        <f t="shared" si="835"/>
        <v>0</v>
      </c>
      <c r="R681" s="1375">
        <f t="shared" si="836"/>
        <v>0</v>
      </c>
      <c r="S681" s="1375">
        <f t="shared" si="837"/>
        <v>0</v>
      </c>
      <c r="T681" s="1375">
        <f t="shared" si="838"/>
        <v>0</v>
      </c>
      <c r="U681" s="2028">
        <f t="shared" si="777"/>
        <v>0</v>
      </c>
      <c r="V681" s="1357"/>
      <c r="W681" s="1357"/>
      <c r="X681" s="1357"/>
      <c r="Y681" s="1357"/>
      <c r="AD681" s="2141">
        <f t="shared" si="728"/>
        <v>1.5</v>
      </c>
      <c r="AE681" s="2142" t="str">
        <f t="shared" si="819"/>
        <v/>
      </c>
      <c r="AG681" s="2118" t="s">
        <v>1816</v>
      </c>
    </row>
    <row r="682" spans="1:33" ht="14.25" hidden="1" outlineLevel="3" x14ac:dyDescent="0.2">
      <c r="A682" s="1360"/>
      <c r="B682" s="1384" t="s">
        <v>482</v>
      </c>
      <c r="C682" s="528"/>
      <c r="D682" s="2155"/>
      <c r="E682" s="529" t="s">
        <v>218</v>
      </c>
      <c r="F682" s="2166"/>
      <c r="G682" s="2184"/>
      <c r="H682" s="1385"/>
      <c r="I682" s="2058">
        <f>I683+I684+I686+I687+I689</f>
        <v>0</v>
      </c>
      <c r="J682" s="530"/>
      <c r="K682" s="530"/>
      <c r="L682" s="531"/>
      <c r="M682" s="1386"/>
      <c r="N682" s="530"/>
      <c r="O682" s="1387"/>
      <c r="P682" s="1386"/>
      <c r="Q682" s="1388"/>
      <c r="R682" s="1386"/>
      <c r="S682" s="1393">
        <f>SUM(T683:T689)</f>
        <v>0</v>
      </c>
      <c r="T682" s="1388"/>
      <c r="U682" s="2028">
        <f t="shared" si="777"/>
        <v>0</v>
      </c>
      <c r="V682" s="1357"/>
      <c r="W682" s="1357"/>
      <c r="X682" s="1357"/>
      <c r="Y682" s="1357"/>
      <c r="AD682" s="2141" t="str">
        <f t="shared" si="728"/>
        <v/>
      </c>
      <c r="AE682" s="2142" t="str">
        <f t="shared" si="819"/>
        <v/>
      </c>
      <c r="AG682" s="2118" t="s">
        <v>1816</v>
      </c>
    </row>
    <row r="683" spans="1:33" ht="42.75" hidden="1" outlineLevel="4" x14ac:dyDescent="0.2">
      <c r="A683" s="1360">
        <f>A681+1</f>
        <v>245</v>
      </c>
      <c r="B683" s="1389" t="s">
        <v>1664</v>
      </c>
      <c r="C683" s="532" t="s">
        <v>483</v>
      </c>
      <c r="D683" s="1358">
        <v>3</v>
      </c>
      <c r="E683" s="499" t="s">
        <v>465</v>
      </c>
      <c r="F683" s="2024" t="s">
        <v>303</v>
      </c>
      <c r="G683" s="1355">
        <v>12.195121951219512</v>
      </c>
      <c r="H683" s="1373"/>
      <c r="I683" s="1359">
        <f t="shared" ref="I683:I689" si="849">IF(G683=0,0,IF(H683&gt;0,IF((G683*H683/K683)&lt;0.084,0.084,(G683*H683/K683)),0))</f>
        <v>0</v>
      </c>
      <c r="J683" s="1374" t="str">
        <f t="shared" ref="J683:J689" si="850">CONCATENATE(TRUNC(I683,0),":",INT((I683-(TRUNC(I683,0)))*60),":","00")</f>
        <v>0:0:00</v>
      </c>
      <c r="K683" s="500">
        <v>1000</v>
      </c>
      <c r="L683" s="2009">
        <v>925.61</v>
      </c>
      <c r="M683" s="1375">
        <f t="shared" ref="M683:M689" si="851">H683*L683/K683</f>
        <v>0</v>
      </c>
      <c r="N683" s="1376">
        <v>1</v>
      </c>
      <c r="O683" s="1377">
        <f t="shared" ref="O683:O689" si="852">M683*N683</f>
        <v>0</v>
      </c>
      <c r="P683" s="1375">
        <f t="shared" ref="P683:P689" si="853">(M683+O683)*0.15</f>
        <v>0</v>
      </c>
      <c r="Q683" s="1378">
        <f t="shared" ref="Q683:Q689" si="854">M683+O683+P683</f>
        <v>0</v>
      </c>
      <c r="R683" s="1375">
        <f t="shared" ref="R683:R689" si="855">Q683*$R$1</f>
        <v>0</v>
      </c>
      <c r="S683" s="1375">
        <f t="shared" ref="S683:S689" si="856">(Q683+R683)*$S$1</f>
        <v>0</v>
      </c>
      <c r="T683" s="1375">
        <f t="shared" ref="T683:T689" si="857">Q683+R683+S683</f>
        <v>0</v>
      </c>
      <c r="U683" s="2028">
        <f t="shared" si="777"/>
        <v>0</v>
      </c>
      <c r="V683" s="1357"/>
      <c r="W683" s="1357"/>
      <c r="X683" s="1357"/>
      <c r="Y683" s="1357"/>
      <c r="AD683" s="2141">
        <f t="shared" si="728"/>
        <v>2.6</v>
      </c>
      <c r="AE683" s="2142" t="str">
        <f t="shared" si="819"/>
        <v/>
      </c>
      <c r="AG683" s="2118" t="s">
        <v>1816</v>
      </c>
    </row>
    <row r="684" spans="1:33" ht="28.5" hidden="1" outlineLevel="4" x14ac:dyDescent="0.2">
      <c r="A684" s="1360">
        <f>A683+1</f>
        <v>246</v>
      </c>
      <c r="B684" s="1389" t="s">
        <v>1665</v>
      </c>
      <c r="C684" s="532" t="s">
        <v>483</v>
      </c>
      <c r="D684" s="1358">
        <v>3</v>
      </c>
      <c r="E684" s="499" t="s">
        <v>465</v>
      </c>
      <c r="F684" s="2024" t="s">
        <v>303</v>
      </c>
      <c r="G684" s="1355">
        <v>10.638297872340425</v>
      </c>
      <c r="H684" s="1373"/>
      <c r="I684" s="1359">
        <f t="shared" si="849"/>
        <v>0</v>
      </c>
      <c r="J684" s="1374" t="str">
        <f t="shared" si="850"/>
        <v>0:0:00</v>
      </c>
      <c r="K684" s="500">
        <v>1000</v>
      </c>
      <c r="L684" s="2009">
        <v>807.45</v>
      </c>
      <c r="M684" s="1375">
        <f t="shared" si="851"/>
        <v>0</v>
      </c>
      <c r="N684" s="1376">
        <v>1</v>
      </c>
      <c r="O684" s="1377">
        <f t="shared" si="852"/>
        <v>0</v>
      </c>
      <c r="P684" s="1375">
        <f t="shared" si="853"/>
        <v>0</v>
      </c>
      <c r="Q684" s="1378">
        <f t="shared" si="854"/>
        <v>0</v>
      </c>
      <c r="R684" s="1375">
        <f t="shared" si="855"/>
        <v>0</v>
      </c>
      <c r="S684" s="1375">
        <f t="shared" si="856"/>
        <v>0</v>
      </c>
      <c r="T684" s="1375">
        <f t="shared" si="857"/>
        <v>0</v>
      </c>
      <c r="U684" s="2028">
        <f t="shared" si="777"/>
        <v>0</v>
      </c>
      <c r="V684" s="1357"/>
      <c r="W684" s="1357"/>
      <c r="X684" s="1357"/>
      <c r="Y684" s="1357"/>
      <c r="AD684" s="2141">
        <f t="shared" si="728"/>
        <v>2.6</v>
      </c>
      <c r="AE684" s="2142" t="str">
        <f t="shared" si="819"/>
        <v/>
      </c>
      <c r="AG684" s="2118" t="s">
        <v>1816</v>
      </c>
    </row>
    <row r="685" spans="1:33" ht="28.5" hidden="1" outlineLevel="4" x14ac:dyDescent="0.2">
      <c r="A685" s="1360">
        <f t="shared" ref="A685:A689" si="858">A684+1</f>
        <v>247</v>
      </c>
      <c r="B685" s="1389" t="s">
        <v>1665</v>
      </c>
      <c r="C685" s="532" t="s">
        <v>483</v>
      </c>
      <c r="D685" s="1358">
        <v>2</v>
      </c>
      <c r="E685" s="499" t="s">
        <v>465</v>
      </c>
      <c r="F685" s="2024" t="s">
        <v>303</v>
      </c>
      <c r="G685" s="1355">
        <v>10.638297872340425</v>
      </c>
      <c r="H685" s="1373">
        <f>H684</f>
        <v>0</v>
      </c>
      <c r="I685" s="1359">
        <f t="shared" si="849"/>
        <v>0</v>
      </c>
      <c r="J685" s="1374" t="str">
        <f t="shared" ref="J685" si="859">CONCATENATE(TRUNC(I685,0),":",INT((I685-(TRUNC(I685,0)))*60),":","00")</f>
        <v>0:0:00</v>
      </c>
      <c r="K685" s="500">
        <v>1000</v>
      </c>
      <c r="L685" s="2009">
        <v>672.87</v>
      </c>
      <c r="M685" s="1375">
        <f t="shared" ref="M685" si="860">H685*L685/K685</f>
        <v>0</v>
      </c>
      <c r="N685" s="1376">
        <v>1</v>
      </c>
      <c r="O685" s="1377">
        <f t="shared" ref="O685" si="861">M685*N685</f>
        <v>0</v>
      </c>
      <c r="P685" s="1375">
        <f t="shared" ref="P685" si="862">(M685+O685)*0.15</f>
        <v>0</v>
      </c>
      <c r="Q685" s="1378">
        <f t="shared" ref="Q685" si="863">M685+O685+P685</f>
        <v>0</v>
      </c>
      <c r="R685" s="1375">
        <f t="shared" ref="R685" si="864">Q685*$R$1</f>
        <v>0</v>
      </c>
      <c r="S685" s="1375">
        <f t="shared" ref="S685" si="865">(Q685+R685)*$S$1</f>
        <v>0</v>
      </c>
      <c r="T685" s="1375">
        <f t="shared" ref="T685" si="866">Q685+R685+S685</f>
        <v>0</v>
      </c>
      <c r="U685" s="2028">
        <f t="shared" ref="U685" si="867">IF(T685&gt;0,1,0)</f>
        <v>0</v>
      </c>
      <c r="V685" s="1357"/>
      <c r="W685" s="1357"/>
      <c r="X685" s="1357"/>
      <c r="Y685" s="1357"/>
      <c r="AD685" s="2141">
        <f t="shared" si="728"/>
        <v>1.5</v>
      </c>
      <c r="AE685" s="2142" t="str">
        <f t="shared" si="819"/>
        <v/>
      </c>
      <c r="AG685" s="2118" t="s">
        <v>1816</v>
      </c>
    </row>
    <row r="686" spans="1:33" ht="28.5" hidden="1" outlineLevel="4" x14ac:dyDescent="0.2">
      <c r="A686" s="1360">
        <f t="shared" si="858"/>
        <v>248</v>
      </c>
      <c r="B686" s="1389" t="s">
        <v>1666</v>
      </c>
      <c r="C686" s="532" t="s">
        <v>483</v>
      </c>
      <c r="D686" s="1358">
        <v>2</v>
      </c>
      <c r="E686" s="499" t="s">
        <v>465</v>
      </c>
      <c r="F686" s="2024" t="s">
        <v>303</v>
      </c>
      <c r="G686" s="1355">
        <v>6.9930069930069934</v>
      </c>
      <c r="H686" s="1373"/>
      <c r="I686" s="1359">
        <f t="shared" si="849"/>
        <v>0</v>
      </c>
      <c r="J686" s="1374" t="str">
        <f t="shared" si="850"/>
        <v>0:0:00</v>
      </c>
      <c r="K686" s="500">
        <v>1000</v>
      </c>
      <c r="L686" s="2009">
        <v>442.31</v>
      </c>
      <c r="M686" s="1375">
        <f t="shared" si="851"/>
        <v>0</v>
      </c>
      <c r="N686" s="1376">
        <v>1</v>
      </c>
      <c r="O686" s="1377">
        <f t="shared" si="852"/>
        <v>0</v>
      </c>
      <c r="P686" s="1375">
        <f t="shared" si="853"/>
        <v>0</v>
      </c>
      <c r="Q686" s="1378">
        <f t="shared" si="854"/>
        <v>0</v>
      </c>
      <c r="R686" s="1375">
        <f t="shared" si="855"/>
        <v>0</v>
      </c>
      <c r="S686" s="1375">
        <f t="shared" si="856"/>
        <v>0</v>
      </c>
      <c r="T686" s="1375">
        <f t="shared" si="857"/>
        <v>0</v>
      </c>
      <c r="U686" s="2028">
        <f t="shared" si="777"/>
        <v>0</v>
      </c>
      <c r="V686" s="1357"/>
      <c r="W686" s="1357"/>
      <c r="X686" s="1357"/>
      <c r="Y686" s="1357"/>
      <c r="AD686" s="2141">
        <f t="shared" si="728"/>
        <v>1.5</v>
      </c>
      <c r="AE686" s="2142" t="str">
        <f t="shared" si="819"/>
        <v/>
      </c>
      <c r="AG686" s="2118" t="s">
        <v>1816</v>
      </c>
    </row>
    <row r="687" spans="1:33" ht="28.5" hidden="1" outlineLevel="4" x14ac:dyDescent="0.2">
      <c r="A687" s="1360">
        <f t="shared" si="858"/>
        <v>249</v>
      </c>
      <c r="B687" s="1389" t="s">
        <v>1667</v>
      </c>
      <c r="C687" s="532" t="s">
        <v>483</v>
      </c>
      <c r="D687" s="1358">
        <v>3</v>
      </c>
      <c r="E687" s="499" t="s">
        <v>465</v>
      </c>
      <c r="F687" s="2024" t="s">
        <v>303</v>
      </c>
      <c r="G687" s="1355">
        <v>10.869565217391305</v>
      </c>
      <c r="H687" s="1373"/>
      <c r="I687" s="1359">
        <f t="shared" si="849"/>
        <v>0</v>
      </c>
      <c r="J687" s="1374" t="str">
        <f t="shared" si="850"/>
        <v>0:0:00</v>
      </c>
      <c r="K687" s="500">
        <v>1000</v>
      </c>
      <c r="L687" s="2009">
        <v>825</v>
      </c>
      <c r="M687" s="1375">
        <f t="shared" si="851"/>
        <v>0</v>
      </c>
      <c r="N687" s="1376">
        <v>1</v>
      </c>
      <c r="O687" s="1377">
        <f t="shared" si="852"/>
        <v>0</v>
      </c>
      <c r="P687" s="1375">
        <f t="shared" si="853"/>
        <v>0</v>
      </c>
      <c r="Q687" s="1378">
        <f t="shared" si="854"/>
        <v>0</v>
      </c>
      <c r="R687" s="1375">
        <f t="shared" si="855"/>
        <v>0</v>
      </c>
      <c r="S687" s="1375">
        <f t="shared" si="856"/>
        <v>0</v>
      </c>
      <c r="T687" s="1375">
        <f t="shared" si="857"/>
        <v>0</v>
      </c>
      <c r="U687" s="2028">
        <f t="shared" si="777"/>
        <v>0</v>
      </c>
      <c r="V687" s="1357"/>
      <c r="W687" s="1357"/>
      <c r="X687" s="1357"/>
      <c r="Y687" s="1357"/>
      <c r="AD687" s="2141">
        <f t="shared" si="728"/>
        <v>2.6</v>
      </c>
      <c r="AE687" s="2142" t="str">
        <f t="shared" si="819"/>
        <v/>
      </c>
      <c r="AG687" s="2118" t="s">
        <v>1816</v>
      </c>
    </row>
    <row r="688" spans="1:33" ht="28.5" hidden="1" outlineLevel="4" x14ac:dyDescent="0.2">
      <c r="A688" s="1360">
        <f t="shared" si="858"/>
        <v>250</v>
      </c>
      <c r="B688" s="1389" t="s">
        <v>1667</v>
      </c>
      <c r="C688" s="532" t="s">
        <v>483</v>
      </c>
      <c r="D688" s="1358">
        <v>3</v>
      </c>
      <c r="E688" s="499" t="s">
        <v>465</v>
      </c>
      <c r="F688" s="2024" t="s">
        <v>303</v>
      </c>
      <c r="G688" s="1355">
        <v>10.869565217391305</v>
      </c>
      <c r="H688" s="1373">
        <f>H687</f>
        <v>0</v>
      </c>
      <c r="I688" s="1359">
        <f t="shared" si="849"/>
        <v>0</v>
      </c>
      <c r="J688" s="1374" t="str">
        <f t="shared" si="850"/>
        <v>0:0:00</v>
      </c>
      <c r="K688" s="500">
        <v>1000</v>
      </c>
      <c r="L688" s="2009">
        <v>825</v>
      </c>
      <c r="M688" s="1375">
        <f t="shared" si="851"/>
        <v>0</v>
      </c>
      <c r="N688" s="1376">
        <v>1</v>
      </c>
      <c r="O688" s="1377">
        <f t="shared" si="852"/>
        <v>0</v>
      </c>
      <c r="P688" s="1375">
        <f t="shared" si="853"/>
        <v>0</v>
      </c>
      <c r="Q688" s="1378">
        <f t="shared" si="854"/>
        <v>0</v>
      </c>
      <c r="R688" s="1375">
        <f t="shared" si="855"/>
        <v>0</v>
      </c>
      <c r="S688" s="1375">
        <f t="shared" si="856"/>
        <v>0</v>
      </c>
      <c r="T688" s="1375">
        <f t="shared" si="857"/>
        <v>0</v>
      </c>
      <c r="U688" s="2028">
        <f t="shared" si="777"/>
        <v>0</v>
      </c>
      <c r="V688" s="1357"/>
      <c r="W688" s="1357"/>
      <c r="X688" s="1357"/>
      <c r="Y688" s="1357"/>
      <c r="AD688" s="2141">
        <f t="shared" si="728"/>
        <v>2.6</v>
      </c>
      <c r="AE688" s="2142" t="str">
        <f t="shared" si="819"/>
        <v/>
      </c>
      <c r="AG688" s="2118" t="s">
        <v>1816</v>
      </c>
    </row>
    <row r="689" spans="1:33" ht="28.5" hidden="1" outlineLevel="4" x14ac:dyDescent="0.2">
      <c r="A689" s="1360">
        <f t="shared" si="858"/>
        <v>251</v>
      </c>
      <c r="B689" s="1389" t="s">
        <v>1668</v>
      </c>
      <c r="C689" s="532" t="s">
        <v>483</v>
      </c>
      <c r="D689" s="1358">
        <v>2</v>
      </c>
      <c r="E689" s="499" t="s">
        <v>465</v>
      </c>
      <c r="F689" s="2024" t="s">
        <v>303</v>
      </c>
      <c r="G689" s="1355">
        <v>9.0909090909090917</v>
      </c>
      <c r="H689" s="1373"/>
      <c r="I689" s="1359">
        <f t="shared" si="849"/>
        <v>0</v>
      </c>
      <c r="J689" s="1374" t="str">
        <f t="shared" si="850"/>
        <v>0:0:00</v>
      </c>
      <c r="K689" s="500">
        <v>1000</v>
      </c>
      <c r="L689" s="2009">
        <v>575</v>
      </c>
      <c r="M689" s="1375">
        <f t="shared" si="851"/>
        <v>0</v>
      </c>
      <c r="N689" s="1376">
        <v>1</v>
      </c>
      <c r="O689" s="1377">
        <f t="shared" si="852"/>
        <v>0</v>
      </c>
      <c r="P689" s="1375">
        <f t="shared" si="853"/>
        <v>0</v>
      </c>
      <c r="Q689" s="1378">
        <f t="shared" si="854"/>
        <v>0</v>
      </c>
      <c r="R689" s="1375">
        <f t="shared" si="855"/>
        <v>0</v>
      </c>
      <c r="S689" s="1375">
        <f t="shared" si="856"/>
        <v>0</v>
      </c>
      <c r="T689" s="1375">
        <f t="shared" si="857"/>
        <v>0</v>
      </c>
      <c r="U689" s="2028">
        <f t="shared" si="777"/>
        <v>0</v>
      </c>
      <c r="V689" s="1357"/>
      <c r="W689" s="1357"/>
      <c r="X689" s="1357"/>
      <c r="Y689" s="1357"/>
      <c r="AD689" s="2141">
        <f t="shared" si="728"/>
        <v>1.5</v>
      </c>
      <c r="AE689" s="2142" t="str">
        <f t="shared" si="819"/>
        <v/>
      </c>
      <c r="AG689" s="2118" t="s">
        <v>1816</v>
      </c>
    </row>
    <row r="690" spans="1:33" ht="14.25" hidden="1" outlineLevel="3" x14ac:dyDescent="0.2">
      <c r="A690" s="1360"/>
      <c r="B690" s="1384" t="s">
        <v>484</v>
      </c>
      <c r="C690" s="528"/>
      <c r="D690" s="2155"/>
      <c r="E690" s="529" t="s">
        <v>218</v>
      </c>
      <c r="F690" s="2166"/>
      <c r="G690" s="2184"/>
      <c r="H690" s="1385"/>
      <c r="I690" s="2058">
        <f>I691+I692+I694+I695+I697</f>
        <v>0</v>
      </c>
      <c r="J690" s="530"/>
      <c r="K690" s="530"/>
      <c r="L690" s="531"/>
      <c r="M690" s="1386"/>
      <c r="N690" s="530"/>
      <c r="O690" s="1387"/>
      <c r="P690" s="1386"/>
      <c r="Q690" s="1388"/>
      <c r="R690" s="1386"/>
      <c r="S690" s="1393">
        <f>SUM(T691:T697)</f>
        <v>0</v>
      </c>
      <c r="T690" s="1388"/>
      <c r="U690" s="2028">
        <f t="shared" si="777"/>
        <v>0</v>
      </c>
      <c r="V690" s="1357"/>
      <c r="W690" s="1357"/>
      <c r="X690" s="1357"/>
      <c r="Y690" s="1357"/>
      <c r="AD690" s="2141" t="str">
        <f t="shared" ref="AD690:AD753" si="868">IF(D690&gt;0,LOOKUP(D690,$Z$30:$Z$33,$AA$30:$AA$33),"")</f>
        <v/>
      </c>
      <c r="AE690" s="2142" t="str">
        <f t="shared" si="819"/>
        <v/>
      </c>
      <c r="AG690" s="2118" t="s">
        <v>1816</v>
      </c>
    </row>
    <row r="691" spans="1:33" ht="42.75" hidden="1" outlineLevel="4" x14ac:dyDescent="0.2">
      <c r="A691" s="1360">
        <f>A689+1</f>
        <v>252</v>
      </c>
      <c r="B691" s="1389" t="s">
        <v>1669</v>
      </c>
      <c r="C691" s="532" t="s">
        <v>485</v>
      </c>
      <c r="D691" s="1358">
        <v>3</v>
      </c>
      <c r="E691" s="499" t="s">
        <v>465</v>
      </c>
      <c r="F691" s="2024" t="s">
        <v>303</v>
      </c>
      <c r="G691" s="1355">
        <v>13.513513513513514</v>
      </c>
      <c r="H691" s="1373"/>
      <c r="I691" s="1359">
        <f t="shared" ref="I691:I697" si="869">IF(G691=0,0,IF(H691&gt;0,IF((G691*H691/K691)&lt;0.084,0.084,(G691*H691/K691)),0))</f>
        <v>0</v>
      </c>
      <c r="J691" s="1374" t="str">
        <f t="shared" ref="J691:J697" si="870">CONCATENATE(TRUNC(I691,0),":",INT((I691-(TRUNC(I691,0)))*60),":","00")</f>
        <v>0:0:00</v>
      </c>
      <c r="K691" s="500">
        <v>1000</v>
      </c>
      <c r="L691" s="2009">
        <v>1025.68</v>
      </c>
      <c r="M691" s="1375">
        <f t="shared" ref="M691:M697" si="871">H691*L691/K691</f>
        <v>0</v>
      </c>
      <c r="N691" s="1376">
        <v>1</v>
      </c>
      <c r="O691" s="1377">
        <f t="shared" ref="O691:O697" si="872">M691*N691</f>
        <v>0</v>
      </c>
      <c r="P691" s="1375">
        <f t="shared" ref="P691:P697" si="873">(M691+O691)*0.15</f>
        <v>0</v>
      </c>
      <c r="Q691" s="1378">
        <f t="shared" ref="Q691:Q697" si="874">M691+O691+P691</f>
        <v>0</v>
      </c>
      <c r="R691" s="1375">
        <f t="shared" ref="R691:R697" si="875">Q691*$R$1</f>
        <v>0</v>
      </c>
      <c r="S691" s="1375">
        <f t="shared" ref="S691:S697" si="876">(Q691+R691)*$S$1</f>
        <v>0</v>
      </c>
      <c r="T691" s="1375">
        <f t="shared" ref="T691:T697" si="877">Q691+R691+S691</f>
        <v>0</v>
      </c>
      <c r="U691" s="2028">
        <f t="shared" si="777"/>
        <v>0</v>
      </c>
      <c r="V691" s="1357"/>
      <c r="W691" s="1357"/>
      <c r="X691" s="1357"/>
      <c r="Y691" s="1357"/>
      <c r="AD691" s="2141">
        <f t="shared" si="868"/>
        <v>2.6</v>
      </c>
      <c r="AE691" s="2142" t="str">
        <f t="shared" si="819"/>
        <v/>
      </c>
      <c r="AG691" s="2118" t="s">
        <v>1816</v>
      </c>
    </row>
    <row r="692" spans="1:33" ht="28.5" hidden="1" outlineLevel="4" x14ac:dyDescent="0.2">
      <c r="A692" s="1360">
        <f>A691+1</f>
        <v>253</v>
      </c>
      <c r="B692" s="1389" t="s">
        <v>1670</v>
      </c>
      <c r="C692" s="532" t="s">
        <v>485</v>
      </c>
      <c r="D692" s="1358">
        <v>3</v>
      </c>
      <c r="E692" s="499" t="s">
        <v>465</v>
      </c>
      <c r="F692" s="2024" t="s">
        <v>303</v>
      </c>
      <c r="G692" s="1355">
        <v>12.048192771084338</v>
      </c>
      <c r="H692" s="1373"/>
      <c r="I692" s="1359">
        <f t="shared" si="869"/>
        <v>0</v>
      </c>
      <c r="J692" s="1374" t="str">
        <f t="shared" si="870"/>
        <v>0:0:00</v>
      </c>
      <c r="K692" s="500">
        <v>1000</v>
      </c>
      <c r="L692" s="2009">
        <v>914.46</v>
      </c>
      <c r="M692" s="1375">
        <f t="shared" si="871"/>
        <v>0</v>
      </c>
      <c r="N692" s="1376">
        <v>1</v>
      </c>
      <c r="O692" s="1377">
        <f t="shared" si="872"/>
        <v>0</v>
      </c>
      <c r="P692" s="1375">
        <f t="shared" si="873"/>
        <v>0</v>
      </c>
      <c r="Q692" s="1378">
        <f t="shared" si="874"/>
        <v>0</v>
      </c>
      <c r="R692" s="1375">
        <f t="shared" si="875"/>
        <v>0</v>
      </c>
      <c r="S692" s="1375">
        <f t="shared" si="876"/>
        <v>0</v>
      </c>
      <c r="T692" s="1375">
        <f t="shared" si="877"/>
        <v>0</v>
      </c>
      <c r="U692" s="2028">
        <f t="shared" si="777"/>
        <v>0</v>
      </c>
      <c r="V692" s="1357"/>
      <c r="W692" s="1357"/>
      <c r="X692" s="1357"/>
      <c r="Y692" s="1357"/>
      <c r="AD692" s="2141">
        <f t="shared" si="868"/>
        <v>2.6</v>
      </c>
      <c r="AE692" s="2142" t="str">
        <f t="shared" si="819"/>
        <v/>
      </c>
      <c r="AG692" s="2118" t="s">
        <v>1816</v>
      </c>
    </row>
    <row r="693" spans="1:33" ht="28.5" hidden="1" outlineLevel="4" x14ac:dyDescent="0.2">
      <c r="A693" s="1360">
        <f t="shared" ref="A693:A697" si="878">A692+1</f>
        <v>254</v>
      </c>
      <c r="B693" s="1389" t="s">
        <v>1671</v>
      </c>
      <c r="C693" s="532" t="s">
        <v>485</v>
      </c>
      <c r="D693" s="1358">
        <v>2</v>
      </c>
      <c r="E693" s="499" t="s">
        <v>465</v>
      </c>
      <c r="F693" s="2024" t="s">
        <v>303</v>
      </c>
      <c r="G693" s="1355">
        <v>12.048192771084338</v>
      </c>
      <c r="H693" s="1373">
        <f>H692</f>
        <v>0</v>
      </c>
      <c r="I693" s="1359">
        <f t="shared" si="869"/>
        <v>0</v>
      </c>
      <c r="J693" s="1374" t="str">
        <f t="shared" si="870"/>
        <v>0:0:00</v>
      </c>
      <c r="K693" s="500">
        <v>1000</v>
      </c>
      <c r="L693" s="2009">
        <v>762.05</v>
      </c>
      <c r="M693" s="1375">
        <f t="shared" si="871"/>
        <v>0</v>
      </c>
      <c r="N693" s="1376">
        <v>1</v>
      </c>
      <c r="O693" s="1377">
        <f t="shared" si="872"/>
        <v>0</v>
      </c>
      <c r="P693" s="1375">
        <f t="shared" si="873"/>
        <v>0</v>
      </c>
      <c r="Q693" s="1378">
        <f t="shared" si="874"/>
        <v>0</v>
      </c>
      <c r="R693" s="1375">
        <f t="shared" si="875"/>
        <v>0</v>
      </c>
      <c r="S693" s="1375">
        <f t="shared" si="876"/>
        <v>0</v>
      </c>
      <c r="T693" s="1375">
        <f t="shared" si="877"/>
        <v>0</v>
      </c>
      <c r="U693" s="2028">
        <f t="shared" si="777"/>
        <v>0</v>
      </c>
      <c r="V693" s="1357"/>
      <c r="W693" s="1357"/>
      <c r="X693" s="1357"/>
      <c r="Y693" s="1357"/>
      <c r="AD693" s="2141">
        <f t="shared" si="868"/>
        <v>1.5</v>
      </c>
      <c r="AE693" s="2142" t="str">
        <f t="shared" si="819"/>
        <v/>
      </c>
      <c r="AG693" s="2118" t="s">
        <v>1816</v>
      </c>
    </row>
    <row r="694" spans="1:33" ht="28.5" hidden="1" outlineLevel="4" x14ac:dyDescent="0.2">
      <c r="A694" s="1360">
        <f t="shared" si="878"/>
        <v>255</v>
      </c>
      <c r="B694" s="1389" t="s">
        <v>1672</v>
      </c>
      <c r="C694" s="532" t="s">
        <v>485</v>
      </c>
      <c r="D694" s="1358">
        <v>2</v>
      </c>
      <c r="E694" s="499" t="s">
        <v>465</v>
      </c>
      <c r="F694" s="2024" t="s">
        <v>303</v>
      </c>
      <c r="G694" s="1355">
        <v>6.9930069930069934</v>
      </c>
      <c r="H694" s="1373"/>
      <c r="I694" s="1359">
        <f t="shared" si="869"/>
        <v>0</v>
      </c>
      <c r="J694" s="1374" t="str">
        <f t="shared" ref="J694" si="879">CONCATENATE(TRUNC(I694,0),":",INT((I694-(TRUNC(I694,0)))*60),":","00")</f>
        <v>0:0:00</v>
      </c>
      <c r="K694" s="500">
        <v>1000</v>
      </c>
      <c r="L694" s="2009">
        <v>442.31</v>
      </c>
      <c r="M694" s="1375">
        <f t="shared" ref="M694" si="880">H694*L694/K694</f>
        <v>0</v>
      </c>
      <c r="N694" s="1376">
        <v>1</v>
      </c>
      <c r="O694" s="1377">
        <f t="shared" ref="O694" si="881">M694*N694</f>
        <v>0</v>
      </c>
      <c r="P694" s="1375">
        <f t="shared" ref="P694" si="882">(M694+O694)*0.15</f>
        <v>0</v>
      </c>
      <c r="Q694" s="1378">
        <f t="shared" ref="Q694" si="883">M694+O694+P694</f>
        <v>0</v>
      </c>
      <c r="R694" s="1375">
        <f t="shared" ref="R694" si="884">Q694*$R$1</f>
        <v>0</v>
      </c>
      <c r="S694" s="1375">
        <f t="shared" ref="S694" si="885">(Q694+R694)*$S$1</f>
        <v>0</v>
      </c>
      <c r="T694" s="1375">
        <f t="shared" ref="T694" si="886">Q694+R694+S694</f>
        <v>0</v>
      </c>
      <c r="U694" s="2028">
        <f t="shared" ref="U694" si="887">IF(T694&gt;0,1,0)</f>
        <v>0</v>
      </c>
      <c r="V694" s="1357"/>
      <c r="W694" s="1357"/>
      <c r="X694" s="1357"/>
      <c r="Y694" s="1357"/>
      <c r="AD694" s="2141">
        <f t="shared" si="868"/>
        <v>1.5</v>
      </c>
      <c r="AE694" s="2142" t="str">
        <f t="shared" si="819"/>
        <v/>
      </c>
      <c r="AG694" s="2118" t="s">
        <v>1816</v>
      </c>
    </row>
    <row r="695" spans="1:33" ht="28.5" hidden="1" outlineLevel="4" x14ac:dyDescent="0.2">
      <c r="A695" s="1360">
        <f t="shared" si="878"/>
        <v>256</v>
      </c>
      <c r="B695" s="1389" t="s">
        <v>1673</v>
      </c>
      <c r="C695" s="532" t="s">
        <v>485</v>
      </c>
      <c r="D695" s="1358">
        <v>3</v>
      </c>
      <c r="E695" s="499" t="s">
        <v>465</v>
      </c>
      <c r="F695" s="2024" t="s">
        <v>303</v>
      </c>
      <c r="G695" s="1355">
        <v>11.764705882352942</v>
      </c>
      <c r="H695" s="1373"/>
      <c r="I695" s="1359">
        <f t="shared" si="869"/>
        <v>0</v>
      </c>
      <c r="J695" s="1374" t="str">
        <f t="shared" si="870"/>
        <v>0:0:00</v>
      </c>
      <c r="K695" s="500">
        <v>1000</v>
      </c>
      <c r="L695" s="2009">
        <v>892.94</v>
      </c>
      <c r="M695" s="1375">
        <f t="shared" si="871"/>
        <v>0</v>
      </c>
      <c r="N695" s="1376">
        <v>1</v>
      </c>
      <c r="O695" s="1377">
        <f t="shared" si="872"/>
        <v>0</v>
      </c>
      <c r="P695" s="1375">
        <f t="shared" si="873"/>
        <v>0</v>
      </c>
      <c r="Q695" s="1378">
        <f t="shared" si="874"/>
        <v>0</v>
      </c>
      <c r="R695" s="1375">
        <f t="shared" si="875"/>
        <v>0</v>
      </c>
      <c r="S695" s="1375">
        <f t="shared" si="876"/>
        <v>0</v>
      </c>
      <c r="T695" s="1375">
        <f t="shared" si="877"/>
        <v>0</v>
      </c>
      <c r="U695" s="2028">
        <f t="shared" si="777"/>
        <v>0</v>
      </c>
      <c r="V695" s="1357"/>
      <c r="W695" s="1357"/>
      <c r="X695" s="1357"/>
      <c r="Y695" s="1357"/>
      <c r="AD695" s="2141">
        <f t="shared" si="868"/>
        <v>2.6</v>
      </c>
      <c r="AE695" s="2142" t="str">
        <f t="shared" si="819"/>
        <v/>
      </c>
      <c r="AG695" s="2118" t="s">
        <v>1816</v>
      </c>
    </row>
    <row r="696" spans="1:33" ht="28.5" hidden="1" outlineLevel="4" x14ac:dyDescent="0.2">
      <c r="A696" s="1360">
        <f t="shared" si="878"/>
        <v>257</v>
      </c>
      <c r="B696" s="1389" t="s">
        <v>1673</v>
      </c>
      <c r="C696" s="532" t="s">
        <v>485</v>
      </c>
      <c r="D696" s="1358">
        <v>3</v>
      </c>
      <c r="E696" s="499" t="s">
        <v>465</v>
      </c>
      <c r="F696" s="2024" t="s">
        <v>303</v>
      </c>
      <c r="G696" s="1355">
        <v>11.764705882352942</v>
      </c>
      <c r="H696" s="1373">
        <f>H695</f>
        <v>0</v>
      </c>
      <c r="I696" s="1359">
        <f t="shared" si="869"/>
        <v>0</v>
      </c>
      <c r="J696" s="1374" t="str">
        <f t="shared" si="870"/>
        <v>0:0:00</v>
      </c>
      <c r="K696" s="500">
        <v>1000</v>
      </c>
      <c r="L696" s="2009">
        <v>892.94</v>
      </c>
      <c r="M696" s="1375">
        <f t="shared" si="871"/>
        <v>0</v>
      </c>
      <c r="N696" s="1376">
        <v>1</v>
      </c>
      <c r="O696" s="1377">
        <f t="shared" si="872"/>
        <v>0</v>
      </c>
      <c r="P696" s="1375">
        <f t="shared" si="873"/>
        <v>0</v>
      </c>
      <c r="Q696" s="1378">
        <f t="shared" si="874"/>
        <v>0</v>
      </c>
      <c r="R696" s="1375">
        <f t="shared" si="875"/>
        <v>0</v>
      </c>
      <c r="S696" s="1375">
        <f t="shared" si="876"/>
        <v>0</v>
      </c>
      <c r="T696" s="1375">
        <f t="shared" si="877"/>
        <v>0</v>
      </c>
      <c r="U696" s="2028">
        <f t="shared" si="777"/>
        <v>0</v>
      </c>
      <c r="V696" s="1357"/>
      <c r="W696" s="1357"/>
      <c r="X696" s="1357"/>
      <c r="Y696" s="1357"/>
      <c r="AD696" s="2141">
        <f t="shared" si="868"/>
        <v>2.6</v>
      </c>
      <c r="AE696" s="2142" t="str">
        <f t="shared" si="819"/>
        <v/>
      </c>
      <c r="AG696" s="2118" t="s">
        <v>1816</v>
      </c>
    </row>
    <row r="697" spans="1:33" ht="28.5" hidden="1" outlineLevel="4" x14ac:dyDescent="0.2">
      <c r="A697" s="1360">
        <f t="shared" si="878"/>
        <v>258</v>
      </c>
      <c r="B697" s="1389" t="s">
        <v>1674</v>
      </c>
      <c r="C697" s="532" t="s">
        <v>485</v>
      </c>
      <c r="D697" s="1358">
        <v>2</v>
      </c>
      <c r="E697" s="499" t="s">
        <v>465</v>
      </c>
      <c r="F697" s="2024" t="s">
        <v>303</v>
      </c>
      <c r="G697" s="1355">
        <v>9.0909090909090917</v>
      </c>
      <c r="H697" s="1373"/>
      <c r="I697" s="1359">
        <f t="shared" si="869"/>
        <v>0</v>
      </c>
      <c r="J697" s="1374" t="str">
        <f t="shared" si="870"/>
        <v>0:0:00</v>
      </c>
      <c r="K697" s="500">
        <v>1000</v>
      </c>
      <c r="L697" s="2009">
        <v>575</v>
      </c>
      <c r="M697" s="1375">
        <f t="shared" si="871"/>
        <v>0</v>
      </c>
      <c r="N697" s="1376">
        <v>1</v>
      </c>
      <c r="O697" s="1377">
        <f t="shared" si="872"/>
        <v>0</v>
      </c>
      <c r="P697" s="1375">
        <f t="shared" si="873"/>
        <v>0</v>
      </c>
      <c r="Q697" s="1378">
        <f t="shared" si="874"/>
        <v>0</v>
      </c>
      <c r="R697" s="1375">
        <f t="shared" si="875"/>
        <v>0</v>
      </c>
      <c r="S697" s="1375">
        <f t="shared" si="876"/>
        <v>0</v>
      </c>
      <c r="T697" s="1375">
        <f t="shared" si="877"/>
        <v>0</v>
      </c>
      <c r="U697" s="2028">
        <f t="shared" si="777"/>
        <v>0</v>
      </c>
      <c r="V697" s="1357"/>
      <c r="W697" s="1357"/>
      <c r="X697" s="1357"/>
      <c r="Y697" s="1357"/>
      <c r="AD697" s="2141">
        <f t="shared" si="868"/>
        <v>1.5</v>
      </c>
      <c r="AE697" s="2142" t="str">
        <f t="shared" si="819"/>
        <v/>
      </c>
      <c r="AG697" s="2118" t="s">
        <v>1816</v>
      </c>
    </row>
    <row r="698" spans="1:33" ht="14.25" hidden="1" outlineLevel="3" x14ac:dyDescent="0.2">
      <c r="A698" s="1360"/>
      <c r="B698" s="1384" t="s">
        <v>486</v>
      </c>
      <c r="C698" s="528"/>
      <c r="D698" s="2155"/>
      <c r="E698" s="529" t="s">
        <v>218</v>
      </c>
      <c r="F698" s="2166"/>
      <c r="G698" s="2184"/>
      <c r="H698" s="1385"/>
      <c r="I698" s="2058">
        <f>I699+I700+I702+I703+I705</f>
        <v>0</v>
      </c>
      <c r="J698" s="530"/>
      <c r="K698" s="530"/>
      <c r="L698" s="531"/>
      <c r="M698" s="1386"/>
      <c r="N698" s="530"/>
      <c r="O698" s="1387"/>
      <c r="P698" s="1386"/>
      <c r="Q698" s="1388"/>
      <c r="R698" s="1386"/>
      <c r="S698" s="1393">
        <f>SUM(T699:T705)</f>
        <v>0</v>
      </c>
      <c r="T698" s="1388"/>
      <c r="U698" s="2028">
        <f t="shared" si="777"/>
        <v>0</v>
      </c>
      <c r="V698" s="1357"/>
      <c r="W698" s="1357"/>
      <c r="X698" s="1357"/>
      <c r="Y698" s="1357"/>
      <c r="AD698" s="2141" t="str">
        <f t="shared" si="868"/>
        <v/>
      </c>
      <c r="AE698" s="2142" t="str">
        <f t="shared" si="819"/>
        <v/>
      </c>
      <c r="AG698" s="2118" t="s">
        <v>1816</v>
      </c>
    </row>
    <row r="699" spans="1:33" ht="42.75" hidden="1" outlineLevel="4" x14ac:dyDescent="0.2">
      <c r="A699" s="1360">
        <f>A697+1</f>
        <v>259</v>
      </c>
      <c r="B699" s="1389" t="s">
        <v>1675</v>
      </c>
      <c r="C699" s="532" t="s">
        <v>487</v>
      </c>
      <c r="D699" s="1358">
        <v>3</v>
      </c>
      <c r="E699" s="499" t="s">
        <v>465</v>
      </c>
      <c r="F699" s="2024" t="s">
        <v>303</v>
      </c>
      <c r="G699" s="1355">
        <v>19.23076923076923</v>
      </c>
      <c r="H699" s="1373"/>
      <c r="I699" s="1359">
        <f t="shared" ref="I699:I705" si="888">IF(G699=0,0,IF(H699&gt;0,IF((G699*H699/K699)&lt;0.084,0.084,(G699*H699/K699)),0))</f>
        <v>0</v>
      </c>
      <c r="J699" s="1374" t="str">
        <f t="shared" ref="J699:J705" si="889">CONCATENATE(TRUNC(I699,0),":",INT((I699-(TRUNC(I699,0)))*60),":","00")</f>
        <v>0:0:00</v>
      </c>
      <c r="K699" s="500">
        <v>1000</v>
      </c>
      <c r="L699" s="2009">
        <v>1459.62</v>
      </c>
      <c r="M699" s="1375">
        <f t="shared" ref="M699:M705" si="890">H699*L699/K699</f>
        <v>0</v>
      </c>
      <c r="N699" s="1376">
        <v>1</v>
      </c>
      <c r="O699" s="1377">
        <f t="shared" ref="O699:O705" si="891">M699*N699</f>
        <v>0</v>
      </c>
      <c r="P699" s="1375">
        <f t="shared" ref="P699:P705" si="892">(M699+O699)*0.15</f>
        <v>0</v>
      </c>
      <c r="Q699" s="1378">
        <f t="shared" ref="Q699:Q705" si="893">M699+O699+P699</f>
        <v>0</v>
      </c>
      <c r="R699" s="1375">
        <f t="shared" ref="R699:R705" si="894">Q699*$R$1</f>
        <v>0</v>
      </c>
      <c r="S699" s="1375">
        <f t="shared" ref="S699:S705" si="895">(Q699+R699)*$S$1</f>
        <v>0</v>
      </c>
      <c r="T699" s="1375">
        <f t="shared" ref="T699:T705" si="896">Q699+R699+S699</f>
        <v>0</v>
      </c>
      <c r="U699" s="2028">
        <f t="shared" si="777"/>
        <v>0</v>
      </c>
      <c r="V699" s="1357"/>
      <c r="W699" s="1357"/>
      <c r="X699" s="1357"/>
      <c r="Y699" s="1357"/>
      <c r="AD699" s="2141">
        <f t="shared" si="868"/>
        <v>2.6</v>
      </c>
      <c r="AE699" s="2142" t="str">
        <f t="shared" si="819"/>
        <v/>
      </c>
      <c r="AG699" s="2118" t="s">
        <v>1816</v>
      </c>
    </row>
    <row r="700" spans="1:33" ht="28.5" hidden="1" outlineLevel="4" x14ac:dyDescent="0.2">
      <c r="A700" s="1360">
        <f>A699+1</f>
        <v>260</v>
      </c>
      <c r="B700" s="1389" t="s">
        <v>1676</v>
      </c>
      <c r="C700" s="532" t="s">
        <v>487</v>
      </c>
      <c r="D700" s="1358">
        <v>3</v>
      </c>
      <c r="E700" s="499" t="s">
        <v>465</v>
      </c>
      <c r="F700" s="2024" t="s">
        <v>303</v>
      </c>
      <c r="G700" s="1355">
        <v>13.698630136986301</v>
      </c>
      <c r="H700" s="1373"/>
      <c r="I700" s="1359">
        <f t="shared" si="888"/>
        <v>0</v>
      </c>
      <c r="J700" s="1374" t="str">
        <f t="shared" si="889"/>
        <v>0:0:00</v>
      </c>
      <c r="K700" s="500">
        <v>1000</v>
      </c>
      <c r="L700" s="2009">
        <v>1039.73</v>
      </c>
      <c r="M700" s="1375">
        <f t="shared" si="890"/>
        <v>0</v>
      </c>
      <c r="N700" s="1376">
        <v>1</v>
      </c>
      <c r="O700" s="1377">
        <f t="shared" si="891"/>
        <v>0</v>
      </c>
      <c r="P700" s="1375">
        <f t="shared" si="892"/>
        <v>0</v>
      </c>
      <c r="Q700" s="1378">
        <f t="shared" si="893"/>
        <v>0</v>
      </c>
      <c r="R700" s="1375">
        <f t="shared" si="894"/>
        <v>0</v>
      </c>
      <c r="S700" s="1375">
        <f t="shared" si="895"/>
        <v>0</v>
      </c>
      <c r="T700" s="1375">
        <f t="shared" si="896"/>
        <v>0</v>
      </c>
      <c r="U700" s="2028">
        <f t="shared" si="777"/>
        <v>0</v>
      </c>
      <c r="V700" s="1357"/>
      <c r="W700" s="1357"/>
      <c r="X700" s="1357"/>
      <c r="Y700" s="1357"/>
      <c r="AD700" s="2141">
        <f t="shared" si="868"/>
        <v>2.6</v>
      </c>
      <c r="AE700" s="2142" t="str">
        <f t="shared" si="819"/>
        <v/>
      </c>
      <c r="AG700" s="2118" t="s">
        <v>1816</v>
      </c>
    </row>
    <row r="701" spans="1:33" ht="28.5" hidden="1" outlineLevel="4" x14ac:dyDescent="0.2">
      <c r="A701" s="1360">
        <f t="shared" ref="A701:A705" si="897">A700+1</f>
        <v>261</v>
      </c>
      <c r="B701" s="1389" t="s">
        <v>1677</v>
      </c>
      <c r="C701" s="532" t="s">
        <v>487</v>
      </c>
      <c r="D701" s="1358">
        <v>2</v>
      </c>
      <c r="E701" s="499" t="s">
        <v>465</v>
      </c>
      <c r="F701" s="2024" t="s">
        <v>303</v>
      </c>
      <c r="G701" s="1355">
        <v>13.698630136986301</v>
      </c>
      <c r="H701" s="1373">
        <f>H700</f>
        <v>0</v>
      </c>
      <c r="I701" s="1359">
        <f t="shared" si="888"/>
        <v>0</v>
      </c>
      <c r="J701" s="1374" t="str">
        <f t="shared" si="889"/>
        <v>0:0:00</v>
      </c>
      <c r="K701" s="500">
        <v>1000</v>
      </c>
      <c r="L701" s="2009">
        <v>866.44</v>
      </c>
      <c r="M701" s="1375">
        <f t="shared" si="890"/>
        <v>0</v>
      </c>
      <c r="N701" s="1376">
        <v>1</v>
      </c>
      <c r="O701" s="1377">
        <f t="shared" si="891"/>
        <v>0</v>
      </c>
      <c r="P701" s="1375">
        <f t="shared" si="892"/>
        <v>0</v>
      </c>
      <c r="Q701" s="1378">
        <f t="shared" si="893"/>
        <v>0</v>
      </c>
      <c r="R701" s="1375">
        <f t="shared" si="894"/>
        <v>0</v>
      </c>
      <c r="S701" s="1375">
        <f t="shared" si="895"/>
        <v>0</v>
      </c>
      <c r="T701" s="1375">
        <f t="shared" si="896"/>
        <v>0</v>
      </c>
      <c r="U701" s="2028">
        <f t="shared" si="777"/>
        <v>0</v>
      </c>
      <c r="V701" s="1357"/>
      <c r="W701" s="1357"/>
      <c r="X701" s="1357"/>
      <c r="Y701" s="1357"/>
      <c r="AD701" s="2141">
        <f t="shared" si="868"/>
        <v>1.5</v>
      </c>
      <c r="AE701" s="2142" t="str">
        <f t="shared" si="819"/>
        <v/>
      </c>
      <c r="AG701" s="2118" t="s">
        <v>1816</v>
      </c>
    </row>
    <row r="702" spans="1:33" ht="28.5" hidden="1" outlineLevel="4" x14ac:dyDescent="0.2">
      <c r="A702" s="1360">
        <f t="shared" si="897"/>
        <v>262</v>
      </c>
      <c r="B702" s="1389" t="s">
        <v>1678</v>
      </c>
      <c r="C702" s="532" t="s">
        <v>487</v>
      </c>
      <c r="D702" s="1358">
        <v>2</v>
      </c>
      <c r="E702" s="499" t="s">
        <v>465</v>
      </c>
      <c r="F702" s="2024" t="s">
        <v>303</v>
      </c>
      <c r="G702" s="1355">
        <v>8</v>
      </c>
      <c r="H702" s="1373"/>
      <c r="I702" s="1359">
        <f t="shared" si="888"/>
        <v>0</v>
      </c>
      <c r="J702" s="1374" t="str">
        <f t="shared" ref="J702" si="898">CONCATENATE(TRUNC(I702,0),":",INT((I702-(TRUNC(I702,0)))*60),":","00")</f>
        <v>0:0:00</v>
      </c>
      <c r="K702" s="500">
        <v>1000</v>
      </c>
      <c r="L702" s="2009">
        <v>506</v>
      </c>
      <c r="M702" s="1375">
        <f t="shared" ref="M702" si="899">H702*L702/K702</f>
        <v>0</v>
      </c>
      <c r="N702" s="1376">
        <v>1</v>
      </c>
      <c r="O702" s="1377">
        <f t="shared" ref="O702" si="900">M702*N702</f>
        <v>0</v>
      </c>
      <c r="P702" s="1375">
        <f t="shared" ref="P702" si="901">(M702+O702)*0.15</f>
        <v>0</v>
      </c>
      <c r="Q702" s="1378">
        <f t="shared" ref="Q702" si="902">M702+O702+P702</f>
        <v>0</v>
      </c>
      <c r="R702" s="1375">
        <f t="shared" ref="R702" si="903">Q702*$R$1</f>
        <v>0</v>
      </c>
      <c r="S702" s="1375">
        <f t="shared" ref="S702" si="904">(Q702+R702)*$S$1</f>
        <v>0</v>
      </c>
      <c r="T702" s="1375">
        <f t="shared" ref="T702" si="905">Q702+R702+S702</f>
        <v>0</v>
      </c>
      <c r="U702" s="2028">
        <f t="shared" ref="U702" si="906">IF(T702&gt;0,1,0)</f>
        <v>0</v>
      </c>
      <c r="V702" s="1357"/>
      <c r="W702" s="1357"/>
      <c r="X702" s="1357"/>
      <c r="Y702" s="1357"/>
      <c r="AD702" s="2141">
        <f t="shared" si="868"/>
        <v>1.5</v>
      </c>
      <c r="AE702" s="2142" t="str">
        <f t="shared" si="819"/>
        <v/>
      </c>
      <c r="AG702" s="2118" t="s">
        <v>1816</v>
      </c>
    </row>
    <row r="703" spans="1:33" ht="28.5" hidden="1" outlineLevel="4" x14ac:dyDescent="0.2">
      <c r="A703" s="1360">
        <f t="shared" si="897"/>
        <v>263</v>
      </c>
      <c r="B703" s="1389" t="s">
        <v>1679</v>
      </c>
      <c r="C703" s="532" t="s">
        <v>487</v>
      </c>
      <c r="D703" s="1358">
        <v>3</v>
      </c>
      <c r="E703" s="499" t="s">
        <v>465</v>
      </c>
      <c r="F703" s="2024" t="s">
        <v>303</v>
      </c>
      <c r="G703" s="1355">
        <v>19.23076923076923</v>
      </c>
      <c r="H703" s="1373"/>
      <c r="I703" s="1359">
        <f t="shared" si="888"/>
        <v>0</v>
      </c>
      <c r="J703" s="1374" t="str">
        <f t="shared" si="889"/>
        <v>0:0:00</v>
      </c>
      <c r="K703" s="500">
        <v>1000</v>
      </c>
      <c r="L703" s="2009">
        <v>1459.62</v>
      </c>
      <c r="M703" s="1375">
        <f t="shared" si="890"/>
        <v>0</v>
      </c>
      <c r="N703" s="1376">
        <v>1</v>
      </c>
      <c r="O703" s="1377">
        <f t="shared" si="891"/>
        <v>0</v>
      </c>
      <c r="P703" s="1375">
        <f t="shared" si="892"/>
        <v>0</v>
      </c>
      <c r="Q703" s="1378">
        <f t="shared" si="893"/>
        <v>0</v>
      </c>
      <c r="R703" s="1375">
        <f t="shared" si="894"/>
        <v>0</v>
      </c>
      <c r="S703" s="1375">
        <f t="shared" si="895"/>
        <v>0</v>
      </c>
      <c r="T703" s="1375">
        <f t="shared" si="896"/>
        <v>0</v>
      </c>
      <c r="U703" s="2028">
        <f t="shared" si="777"/>
        <v>0</v>
      </c>
      <c r="V703" s="1357"/>
      <c r="W703" s="1357"/>
      <c r="X703" s="1357"/>
      <c r="Y703" s="1357"/>
      <c r="AD703" s="2141">
        <f t="shared" si="868"/>
        <v>2.6</v>
      </c>
      <c r="AE703" s="2142" t="str">
        <f t="shared" si="819"/>
        <v/>
      </c>
      <c r="AG703" s="2118" t="s">
        <v>1816</v>
      </c>
    </row>
    <row r="704" spans="1:33" ht="28.5" hidden="1" outlineLevel="4" x14ac:dyDescent="0.2">
      <c r="A704" s="1360">
        <f t="shared" si="897"/>
        <v>264</v>
      </c>
      <c r="B704" s="1389" t="s">
        <v>1679</v>
      </c>
      <c r="C704" s="532" t="s">
        <v>487</v>
      </c>
      <c r="D704" s="1358">
        <v>3</v>
      </c>
      <c r="E704" s="499" t="s">
        <v>465</v>
      </c>
      <c r="F704" s="2024" t="s">
        <v>303</v>
      </c>
      <c r="G704" s="1355">
        <v>19.23076923076923</v>
      </c>
      <c r="H704" s="1373">
        <f>H703</f>
        <v>0</v>
      </c>
      <c r="I704" s="1359">
        <f t="shared" si="888"/>
        <v>0</v>
      </c>
      <c r="J704" s="1374" t="str">
        <f t="shared" si="889"/>
        <v>0:0:00</v>
      </c>
      <c r="K704" s="500">
        <v>1000</v>
      </c>
      <c r="L704" s="2009">
        <v>1459.62</v>
      </c>
      <c r="M704" s="1375">
        <f t="shared" si="890"/>
        <v>0</v>
      </c>
      <c r="N704" s="1376">
        <v>1</v>
      </c>
      <c r="O704" s="1377">
        <f t="shared" si="891"/>
        <v>0</v>
      </c>
      <c r="P704" s="1375">
        <f t="shared" si="892"/>
        <v>0</v>
      </c>
      <c r="Q704" s="1378">
        <f t="shared" si="893"/>
        <v>0</v>
      </c>
      <c r="R704" s="1375">
        <f t="shared" si="894"/>
        <v>0</v>
      </c>
      <c r="S704" s="1375">
        <f t="shared" si="895"/>
        <v>0</v>
      </c>
      <c r="T704" s="1375">
        <f t="shared" si="896"/>
        <v>0</v>
      </c>
      <c r="U704" s="2028">
        <f t="shared" si="777"/>
        <v>0</v>
      </c>
      <c r="V704" s="1357"/>
      <c r="W704" s="1357"/>
      <c r="X704" s="1357"/>
      <c r="Y704" s="1357"/>
      <c r="AD704" s="2141">
        <f t="shared" si="868"/>
        <v>2.6</v>
      </c>
      <c r="AE704" s="2142" t="str">
        <f t="shared" si="819"/>
        <v/>
      </c>
      <c r="AG704" s="2118" t="s">
        <v>1816</v>
      </c>
    </row>
    <row r="705" spans="1:33" ht="28.5" hidden="1" outlineLevel="4" x14ac:dyDescent="0.2">
      <c r="A705" s="1360">
        <f t="shared" si="897"/>
        <v>265</v>
      </c>
      <c r="B705" s="1389" t="s">
        <v>1680</v>
      </c>
      <c r="C705" s="532" t="s">
        <v>487</v>
      </c>
      <c r="D705" s="1358">
        <v>2</v>
      </c>
      <c r="E705" s="499" t="s">
        <v>465</v>
      </c>
      <c r="F705" s="2024" t="s">
        <v>303</v>
      </c>
      <c r="G705" s="1355">
        <v>10.416666666666666</v>
      </c>
      <c r="H705" s="1373"/>
      <c r="I705" s="1359">
        <f t="shared" si="888"/>
        <v>0</v>
      </c>
      <c r="J705" s="1374" t="str">
        <f t="shared" si="889"/>
        <v>0:0:00</v>
      </c>
      <c r="K705" s="500">
        <v>1000</v>
      </c>
      <c r="L705" s="2009">
        <v>658.85</v>
      </c>
      <c r="M705" s="1375">
        <f t="shared" si="890"/>
        <v>0</v>
      </c>
      <c r="N705" s="1376">
        <v>1</v>
      </c>
      <c r="O705" s="1377">
        <f t="shared" si="891"/>
        <v>0</v>
      </c>
      <c r="P705" s="1375">
        <f t="shared" si="892"/>
        <v>0</v>
      </c>
      <c r="Q705" s="1378">
        <f t="shared" si="893"/>
        <v>0</v>
      </c>
      <c r="R705" s="1375">
        <f t="shared" si="894"/>
        <v>0</v>
      </c>
      <c r="S705" s="1375">
        <f t="shared" si="895"/>
        <v>0</v>
      </c>
      <c r="T705" s="1375">
        <f t="shared" si="896"/>
        <v>0</v>
      </c>
      <c r="U705" s="2028">
        <f t="shared" si="777"/>
        <v>0</v>
      </c>
      <c r="V705" s="1357"/>
      <c r="W705" s="1357"/>
      <c r="X705" s="1357"/>
      <c r="Y705" s="1357"/>
      <c r="AD705" s="2141">
        <f t="shared" si="868"/>
        <v>1.5</v>
      </c>
      <c r="AE705" s="2142" t="str">
        <f t="shared" si="819"/>
        <v/>
      </c>
      <c r="AG705" s="2118" t="s">
        <v>1816</v>
      </c>
    </row>
    <row r="706" spans="1:33" ht="14.25" hidden="1" outlineLevel="2" x14ac:dyDescent="0.2">
      <c r="A706" s="1360"/>
      <c r="B706" s="1384" t="s">
        <v>488</v>
      </c>
      <c r="C706" s="528"/>
      <c r="D706" s="2155"/>
      <c r="E706" s="529" t="s">
        <v>218</v>
      </c>
      <c r="F706" s="2166"/>
      <c r="G706" s="2184"/>
      <c r="H706" s="1385"/>
      <c r="I706" s="530"/>
      <c r="J706" s="530"/>
      <c r="K706" s="530"/>
      <c r="L706" s="531"/>
      <c r="M706" s="1386"/>
      <c r="N706" s="530"/>
      <c r="O706" s="1387"/>
      <c r="P706" s="1386"/>
      <c r="Q706" s="1388"/>
      <c r="R706" s="1386"/>
      <c r="S706" s="1393">
        <f>SUM(T707:T746)</f>
        <v>0</v>
      </c>
      <c r="T706" s="1388"/>
      <c r="U706" s="2028">
        <f t="shared" si="777"/>
        <v>0</v>
      </c>
      <c r="V706" s="1357"/>
      <c r="W706" s="1357"/>
      <c r="X706" s="1357"/>
      <c r="Y706" s="1357"/>
      <c r="AD706" s="2141" t="str">
        <f t="shared" si="868"/>
        <v/>
      </c>
      <c r="AE706" s="2142" t="str">
        <f t="shared" si="819"/>
        <v/>
      </c>
      <c r="AG706" s="2118" t="s">
        <v>1816</v>
      </c>
    </row>
    <row r="707" spans="1:33" ht="14.25" hidden="1" outlineLevel="3" x14ac:dyDescent="0.2">
      <c r="A707" s="1360"/>
      <c r="B707" s="1384" t="s">
        <v>423</v>
      </c>
      <c r="C707" s="528"/>
      <c r="D707" s="2155"/>
      <c r="E707" s="529" t="s">
        <v>218</v>
      </c>
      <c r="F707" s="2166"/>
      <c r="G707" s="2184"/>
      <c r="H707" s="1385"/>
      <c r="I707" s="2058">
        <f>I708+I709+I711+I712+I714</f>
        <v>0</v>
      </c>
      <c r="J707" s="530"/>
      <c r="K707" s="530"/>
      <c r="L707" s="531"/>
      <c r="M707" s="1386"/>
      <c r="N707" s="530"/>
      <c r="O707" s="1387"/>
      <c r="P707" s="1386"/>
      <c r="Q707" s="1388"/>
      <c r="R707" s="1386"/>
      <c r="S707" s="1393">
        <f>SUM(T708:T714)</f>
        <v>0</v>
      </c>
      <c r="T707" s="1388"/>
      <c r="U707" s="2028">
        <f t="shared" si="777"/>
        <v>0</v>
      </c>
      <c r="V707" s="1357"/>
      <c r="W707" s="1357"/>
      <c r="X707" s="1357"/>
      <c r="Y707" s="1357"/>
      <c r="AD707" s="2141" t="str">
        <f t="shared" si="868"/>
        <v/>
      </c>
      <c r="AE707" s="2142" t="str">
        <f t="shared" si="819"/>
        <v/>
      </c>
      <c r="AG707" s="2118" t="s">
        <v>1816</v>
      </c>
    </row>
    <row r="708" spans="1:33" ht="42.75" hidden="1" outlineLevel="4" x14ac:dyDescent="0.2">
      <c r="A708" s="1360">
        <f>A705+1</f>
        <v>266</v>
      </c>
      <c r="B708" s="1389" t="s">
        <v>1681</v>
      </c>
      <c r="C708" s="532" t="s">
        <v>489</v>
      </c>
      <c r="D708" s="1358">
        <v>3</v>
      </c>
      <c r="E708" s="499" t="s">
        <v>465</v>
      </c>
      <c r="F708" s="2024" t="s">
        <v>303</v>
      </c>
      <c r="G708" s="1354">
        <v>8</v>
      </c>
      <c r="H708" s="1373"/>
      <c r="I708" s="1359">
        <f t="shared" ref="I708:I714" si="907">IF(G708=0,0,IF(H708&gt;0,IF((G708*H708/K708)&lt;0.084,0.084,(G708*H708/K708)),0))</f>
        <v>0</v>
      </c>
      <c r="J708" s="1374" t="str">
        <f t="shared" ref="J708:J714" si="908">CONCATENATE(TRUNC(I708,0),":",INT((I708-(TRUNC(I708,0)))*60),":","00")</f>
        <v>0:0:00</v>
      </c>
      <c r="K708" s="500">
        <v>1000</v>
      </c>
      <c r="L708" s="2009">
        <v>607.20000000000005</v>
      </c>
      <c r="M708" s="1375">
        <f t="shared" ref="M708:M714" si="909">H708*L708/K708</f>
        <v>0</v>
      </c>
      <c r="N708" s="1376">
        <v>1</v>
      </c>
      <c r="O708" s="1377">
        <f t="shared" ref="O708:O714" si="910">M708*N708</f>
        <v>0</v>
      </c>
      <c r="P708" s="1375">
        <f t="shared" ref="P708:P714" si="911">(M708+O708)*0.15</f>
        <v>0</v>
      </c>
      <c r="Q708" s="1378">
        <f t="shared" ref="Q708:Q714" si="912">M708+O708+P708</f>
        <v>0</v>
      </c>
      <c r="R708" s="1375">
        <f t="shared" ref="R708:R714" si="913">Q708*$R$1</f>
        <v>0</v>
      </c>
      <c r="S708" s="1375">
        <f t="shared" ref="S708:S714" si="914">(Q708+R708)*$S$1</f>
        <v>0</v>
      </c>
      <c r="T708" s="1375">
        <f t="shared" ref="T708:T714" si="915">Q708+R708+S708</f>
        <v>0</v>
      </c>
      <c r="U708" s="2028">
        <f t="shared" si="777"/>
        <v>0</v>
      </c>
      <c r="V708" s="1357"/>
      <c r="W708" s="1357"/>
      <c r="X708" s="1357"/>
      <c r="Y708" s="1357"/>
      <c r="AD708" s="2141">
        <f t="shared" si="868"/>
        <v>2.6</v>
      </c>
      <c r="AE708" s="2142" t="str">
        <f t="shared" si="819"/>
        <v/>
      </c>
      <c r="AG708" s="2118" t="s">
        <v>1816</v>
      </c>
    </row>
    <row r="709" spans="1:33" ht="28.5" hidden="1" outlineLevel="4" x14ac:dyDescent="0.2">
      <c r="A709" s="1360">
        <f>A708+1</f>
        <v>267</v>
      </c>
      <c r="B709" s="1389" t="s">
        <v>1682</v>
      </c>
      <c r="C709" s="532" t="s">
        <v>489</v>
      </c>
      <c r="D709" s="1358">
        <v>3</v>
      </c>
      <c r="E709" s="499" t="s">
        <v>465</v>
      </c>
      <c r="F709" s="2024" t="s">
        <v>303</v>
      </c>
      <c r="G709" s="1383">
        <v>8.2644628099173545</v>
      </c>
      <c r="H709" s="1373"/>
      <c r="I709" s="1359">
        <f t="shared" si="907"/>
        <v>0</v>
      </c>
      <c r="J709" s="1374" t="str">
        <f t="shared" si="908"/>
        <v>0:0:00</v>
      </c>
      <c r="K709" s="500">
        <v>1000</v>
      </c>
      <c r="L709" s="2009">
        <v>627.27</v>
      </c>
      <c r="M709" s="1375">
        <f t="shared" si="909"/>
        <v>0</v>
      </c>
      <c r="N709" s="1376">
        <v>1</v>
      </c>
      <c r="O709" s="1377">
        <f t="shared" si="910"/>
        <v>0</v>
      </c>
      <c r="P709" s="1375">
        <f t="shared" si="911"/>
        <v>0</v>
      </c>
      <c r="Q709" s="1378">
        <f t="shared" si="912"/>
        <v>0</v>
      </c>
      <c r="R709" s="1375">
        <f t="shared" si="913"/>
        <v>0</v>
      </c>
      <c r="S709" s="1375">
        <f t="shared" si="914"/>
        <v>0</v>
      </c>
      <c r="T709" s="1375">
        <f t="shared" si="915"/>
        <v>0</v>
      </c>
      <c r="U709" s="2028">
        <f t="shared" si="777"/>
        <v>0</v>
      </c>
      <c r="V709" s="1357"/>
      <c r="W709" s="1357"/>
      <c r="X709" s="1357"/>
      <c r="Y709" s="1357"/>
      <c r="AD709" s="2141">
        <f t="shared" si="868"/>
        <v>2.6</v>
      </c>
      <c r="AE709" s="2142" t="str">
        <f t="shared" si="819"/>
        <v/>
      </c>
      <c r="AG709" s="2118" t="s">
        <v>1816</v>
      </c>
    </row>
    <row r="710" spans="1:33" ht="28.5" hidden="1" outlineLevel="4" x14ac:dyDescent="0.2">
      <c r="A710" s="1360">
        <f t="shared" ref="A710:A714" si="916">A709+1</f>
        <v>268</v>
      </c>
      <c r="B710" s="1389" t="s">
        <v>1683</v>
      </c>
      <c r="C710" s="532" t="s">
        <v>489</v>
      </c>
      <c r="D710" s="1358">
        <v>2</v>
      </c>
      <c r="E710" s="499" t="s">
        <v>465</v>
      </c>
      <c r="F710" s="2024" t="s">
        <v>303</v>
      </c>
      <c r="G710" s="1383">
        <v>8.2644628099173545</v>
      </c>
      <c r="H710" s="1373">
        <f>H709</f>
        <v>0</v>
      </c>
      <c r="I710" s="1359">
        <f t="shared" si="907"/>
        <v>0</v>
      </c>
      <c r="J710" s="1374" t="str">
        <f t="shared" si="908"/>
        <v>0:0:00</v>
      </c>
      <c r="K710" s="500">
        <v>1000</v>
      </c>
      <c r="L710" s="2009">
        <v>522.73</v>
      </c>
      <c r="M710" s="1375">
        <f t="shared" si="909"/>
        <v>0</v>
      </c>
      <c r="N710" s="1376">
        <v>1</v>
      </c>
      <c r="O710" s="1377">
        <f t="shared" si="910"/>
        <v>0</v>
      </c>
      <c r="P710" s="1375">
        <f t="shared" si="911"/>
        <v>0</v>
      </c>
      <c r="Q710" s="1378">
        <f t="shared" si="912"/>
        <v>0</v>
      </c>
      <c r="R710" s="1375">
        <f t="shared" si="913"/>
        <v>0</v>
      </c>
      <c r="S710" s="1375">
        <f t="shared" si="914"/>
        <v>0</v>
      </c>
      <c r="T710" s="1375">
        <f t="shared" si="915"/>
        <v>0</v>
      </c>
      <c r="U710" s="2028">
        <f t="shared" si="777"/>
        <v>0</v>
      </c>
      <c r="V710" s="1357"/>
      <c r="W710" s="1357"/>
      <c r="X710" s="1357"/>
      <c r="Y710" s="1357"/>
      <c r="AD710" s="2141">
        <f t="shared" si="868"/>
        <v>1.5</v>
      </c>
      <c r="AE710" s="2142" t="str">
        <f t="shared" si="819"/>
        <v/>
      </c>
      <c r="AG710" s="2118" t="s">
        <v>1816</v>
      </c>
    </row>
    <row r="711" spans="1:33" ht="28.5" hidden="1" outlineLevel="4" x14ac:dyDescent="0.2">
      <c r="A711" s="1360">
        <f t="shared" si="916"/>
        <v>269</v>
      </c>
      <c r="B711" s="1389" t="s">
        <v>1684</v>
      </c>
      <c r="C711" s="532" t="s">
        <v>489</v>
      </c>
      <c r="D711" s="1358">
        <v>2</v>
      </c>
      <c r="E711" s="499" t="s">
        <v>465</v>
      </c>
      <c r="F711" s="2024" t="s">
        <v>303</v>
      </c>
      <c r="G711" s="1383">
        <v>5.0505050505050502</v>
      </c>
      <c r="H711" s="1373"/>
      <c r="I711" s="1359">
        <f t="shared" si="907"/>
        <v>0</v>
      </c>
      <c r="J711" s="1374" t="str">
        <f t="shared" ref="J711" si="917">CONCATENATE(TRUNC(I711,0),":",INT((I711-(TRUNC(I711,0)))*60),":","00")</f>
        <v>0:0:00</v>
      </c>
      <c r="K711" s="500">
        <v>1000</v>
      </c>
      <c r="L711" s="2009">
        <v>319.44</v>
      </c>
      <c r="M711" s="1375">
        <f t="shared" ref="M711" si="918">H711*L711/K711</f>
        <v>0</v>
      </c>
      <c r="N711" s="1376">
        <v>1</v>
      </c>
      <c r="O711" s="1377">
        <f t="shared" ref="O711" si="919">M711*N711</f>
        <v>0</v>
      </c>
      <c r="P711" s="1375">
        <f t="shared" ref="P711" si="920">(M711+O711)*0.15</f>
        <v>0</v>
      </c>
      <c r="Q711" s="1378">
        <f t="shared" ref="Q711" si="921">M711+O711+P711</f>
        <v>0</v>
      </c>
      <c r="R711" s="1375">
        <f t="shared" ref="R711" si="922">Q711*$R$1</f>
        <v>0</v>
      </c>
      <c r="S711" s="1375">
        <f t="shared" ref="S711" si="923">(Q711+R711)*$S$1</f>
        <v>0</v>
      </c>
      <c r="T711" s="1375">
        <f t="shared" ref="T711" si="924">Q711+R711+S711</f>
        <v>0</v>
      </c>
      <c r="U711" s="2028">
        <f t="shared" ref="U711" si="925">IF(T711&gt;0,1,0)</f>
        <v>0</v>
      </c>
      <c r="V711" s="1357"/>
      <c r="W711" s="1357"/>
      <c r="X711" s="1357"/>
      <c r="Y711" s="1357"/>
      <c r="AD711" s="2141">
        <f t="shared" si="868"/>
        <v>1.5</v>
      </c>
      <c r="AE711" s="2142" t="str">
        <f t="shared" si="819"/>
        <v/>
      </c>
      <c r="AG711" s="2118" t="s">
        <v>1816</v>
      </c>
    </row>
    <row r="712" spans="1:33" ht="28.5" hidden="1" outlineLevel="4" x14ac:dyDescent="0.2">
      <c r="A712" s="1360">
        <f t="shared" si="916"/>
        <v>270</v>
      </c>
      <c r="B712" s="1389" t="s">
        <v>1685</v>
      </c>
      <c r="C712" s="532" t="s">
        <v>489</v>
      </c>
      <c r="D712" s="1358">
        <v>3</v>
      </c>
      <c r="E712" s="499" t="s">
        <v>465</v>
      </c>
      <c r="F712" s="2024" t="s">
        <v>303</v>
      </c>
      <c r="G712" s="1383">
        <v>9.8039215686274517</v>
      </c>
      <c r="H712" s="1373"/>
      <c r="I712" s="1359">
        <f t="shared" si="907"/>
        <v>0</v>
      </c>
      <c r="J712" s="1374" t="str">
        <f t="shared" si="908"/>
        <v>0:0:00</v>
      </c>
      <c r="K712" s="500">
        <v>1000</v>
      </c>
      <c r="L712" s="2009">
        <v>744.12</v>
      </c>
      <c r="M712" s="1375">
        <f t="shared" si="909"/>
        <v>0</v>
      </c>
      <c r="N712" s="1376">
        <v>1</v>
      </c>
      <c r="O712" s="1377">
        <f t="shared" si="910"/>
        <v>0</v>
      </c>
      <c r="P712" s="1375">
        <f t="shared" si="911"/>
        <v>0</v>
      </c>
      <c r="Q712" s="1378">
        <f t="shared" si="912"/>
        <v>0</v>
      </c>
      <c r="R712" s="1375">
        <f t="shared" si="913"/>
        <v>0</v>
      </c>
      <c r="S712" s="1375">
        <f t="shared" si="914"/>
        <v>0</v>
      </c>
      <c r="T712" s="1375">
        <f t="shared" si="915"/>
        <v>0</v>
      </c>
      <c r="U712" s="2028">
        <f t="shared" si="777"/>
        <v>0</v>
      </c>
      <c r="V712" s="1357"/>
      <c r="W712" s="1357"/>
      <c r="X712" s="1357"/>
      <c r="Y712" s="1357"/>
      <c r="AD712" s="2141">
        <f t="shared" si="868"/>
        <v>2.6</v>
      </c>
      <c r="AE712" s="2142" t="str">
        <f t="shared" si="819"/>
        <v/>
      </c>
      <c r="AG712" s="2118" t="s">
        <v>1816</v>
      </c>
    </row>
    <row r="713" spans="1:33" ht="28.5" hidden="1" outlineLevel="4" x14ac:dyDescent="0.2">
      <c r="A713" s="1360">
        <f t="shared" si="916"/>
        <v>271</v>
      </c>
      <c r="B713" s="1389" t="s">
        <v>1685</v>
      </c>
      <c r="C713" s="532" t="s">
        <v>489</v>
      </c>
      <c r="D713" s="1358">
        <v>3</v>
      </c>
      <c r="E713" s="499" t="s">
        <v>465</v>
      </c>
      <c r="F713" s="2024" t="s">
        <v>303</v>
      </c>
      <c r="G713" s="1383">
        <v>9.8039215686274517</v>
      </c>
      <c r="H713" s="1373">
        <f>H712</f>
        <v>0</v>
      </c>
      <c r="I713" s="1359">
        <f t="shared" si="907"/>
        <v>0</v>
      </c>
      <c r="J713" s="1374" t="str">
        <f t="shared" si="908"/>
        <v>0:0:00</v>
      </c>
      <c r="K713" s="500">
        <v>1000</v>
      </c>
      <c r="L713" s="2009">
        <v>744.12</v>
      </c>
      <c r="M713" s="1375">
        <f t="shared" si="909"/>
        <v>0</v>
      </c>
      <c r="N713" s="1376">
        <v>1</v>
      </c>
      <c r="O713" s="1377">
        <f t="shared" si="910"/>
        <v>0</v>
      </c>
      <c r="P713" s="1375">
        <f t="shared" si="911"/>
        <v>0</v>
      </c>
      <c r="Q713" s="1378">
        <f t="shared" si="912"/>
        <v>0</v>
      </c>
      <c r="R713" s="1375">
        <f t="shared" si="913"/>
        <v>0</v>
      </c>
      <c r="S713" s="1375">
        <f t="shared" si="914"/>
        <v>0</v>
      </c>
      <c r="T713" s="1375">
        <f t="shared" si="915"/>
        <v>0</v>
      </c>
      <c r="U713" s="2028">
        <f t="shared" si="777"/>
        <v>0</v>
      </c>
      <c r="V713" s="1357"/>
      <c r="W713" s="1357"/>
      <c r="X713" s="1357"/>
      <c r="Y713" s="1357"/>
      <c r="AD713" s="2141">
        <f t="shared" si="868"/>
        <v>2.6</v>
      </c>
      <c r="AE713" s="2142" t="str">
        <f t="shared" si="819"/>
        <v/>
      </c>
      <c r="AG713" s="2118" t="s">
        <v>1816</v>
      </c>
    </row>
    <row r="714" spans="1:33" ht="28.5" hidden="1" outlineLevel="4" x14ac:dyDescent="0.2">
      <c r="A714" s="1360">
        <f t="shared" si="916"/>
        <v>272</v>
      </c>
      <c r="B714" s="1389" t="s">
        <v>1686</v>
      </c>
      <c r="C714" s="532" t="s">
        <v>489</v>
      </c>
      <c r="D714" s="1358">
        <v>2</v>
      </c>
      <c r="E714" s="499" t="s">
        <v>465</v>
      </c>
      <c r="F714" s="2024" t="s">
        <v>303</v>
      </c>
      <c r="G714" s="1383">
        <v>6.5359477124183005</v>
      </c>
      <c r="H714" s="1373"/>
      <c r="I714" s="1359">
        <f t="shared" si="907"/>
        <v>0</v>
      </c>
      <c r="J714" s="1374" t="str">
        <f t="shared" si="908"/>
        <v>0:0:00</v>
      </c>
      <c r="K714" s="500">
        <v>1000</v>
      </c>
      <c r="L714" s="2009">
        <v>413.4</v>
      </c>
      <c r="M714" s="1375">
        <f t="shared" si="909"/>
        <v>0</v>
      </c>
      <c r="N714" s="1376">
        <v>1</v>
      </c>
      <c r="O714" s="1377">
        <f t="shared" si="910"/>
        <v>0</v>
      </c>
      <c r="P714" s="1375">
        <f t="shared" si="911"/>
        <v>0</v>
      </c>
      <c r="Q714" s="1378">
        <f t="shared" si="912"/>
        <v>0</v>
      </c>
      <c r="R714" s="1375">
        <f t="shared" si="913"/>
        <v>0</v>
      </c>
      <c r="S714" s="1375">
        <f t="shared" si="914"/>
        <v>0</v>
      </c>
      <c r="T714" s="1375">
        <f t="shared" si="915"/>
        <v>0</v>
      </c>
      <c r="U714" s="2028">
        <f t="shared" si="777"/>
        <v>0</v>
      </c>
      <c r="V714" s="1357"/>
      <c r="W714" s="1357"/>
      <c r="X714" s="1357"/>
      <c r="Y714" s="1357"/>
      <c r="AD714" s="2141">
        <f t="shared" si="868"/>
        <v>1.5</v>
      </c>
      <c r="AE714" s="2142" t="str">
        <f t="shared" si="819"/>
        <v/>
      </c>
      <c r="AG714" s="2118" t="s">
        <v>1816</v>
      </c>
    </row>
    <row r="715" spans="1:33" ht="14.25" hidden="1" outlineLevel="3" x14ac:dyDescent="0.2">
      <c r="A715" s="1360"/>
      <c r="B715" s="1384" t="s">
        <v>133</v>
      </c>
      <c r="C715" s="528"/>
      <c r="D715" s="2155"/>
      <c r="E715" s="529" t="s">
        <v>218</v>
      </c>
      <c r="F715" s="2166"/>
      <c r="G715" s="2184"/>
      <c r="H715" s="1385"/>
      <c r="I715" s="2058">
        <f>I716+I717+I719+I720+I722</f>
        <v>0</v>
      </c>
      <c r="J715" s="530"/>
      <c r="K715" s="530"/>
      <c r="L715" s="531"/>
      <c r="M715" s="1386"/>
      <c r="N715" s="530"/>
      <c r="O715" s="1387"/>
      <c r="P715" s="1386"/>
      <c r="Q715" s="1388"/>
      <c r="R715" s="1386"/>
      <c r="S715" s="1393">
        <f>SUM(T716:T722)</f>
        <v>0</v>
      </c>
      <c r="T715" s="1388"/>
      <c r="U715" s="2028">
        <f t="shared" si="777"/>
        <v>0</v>
      </c>
      <c r="V715" s="1357"/>
      <c r="W715" s="1357"/>
      <c r="X715" s="1357"/>
      <c r="Y715" s="1357"/>
      <c r="AD715" s="2141" t="str">
        <f t="shared" si="868"/>
        <v/>
      </c>
      <c r="AE715" s="2142" t="str">
        <f t="shared" si="819"/>
        <v/>
      </c>
      <c r="AG715" s="2118" t="s">
        <v>1816</v>
      </c>
    </row>
    <row r="716" spans="1:33" ht="42.75" hidden="1" outlineLevel="4" x14ac:dyDescent="0.2">
      <c r="A716" s="1360">
        <f>A714+1</f>
        <v>273</v>
      </c>
      <c r="B716" s="1389" t="s">
        <v>1687</v>
      </c>
      <c r="C716" s="532" t="s">
        <v>490</v>
      </c>
      <c r="D716" s="1358">
        <v>3</v>
      </c>
      <c r="E716" s="499" t="s">
        <v>465</v>
      </c>
      <c r="F716" s="2024" t="s">
        <v>303</v>
      </c>
      <c r="G716" s="1354">
        <v>10.416666666666666</v>
      </c>
      <c r="H716" s="1373"/>
      <c r="I716" s="1359">
        <f t="shared" ref="I716:I722" si="926">IF(G716=0,0,IF(H716&gt;0,IF((G716*H716/K716)&lt;0.084,0.084,(G716*H716/K716)),0))</f>
        <v>0</v>
      </c>
      <c r="J716" s="1374" t="str">
        <f t="shared" ref="J716:J722" si="927">CONCATENATE(TRUNC(I716,0),":",INT((I716-(TRUNC(I716,0)))*60),":","00")</f>
        <v>0:0:00</v>
      </c>
      <c r="K716" s="500">
        <v>1000</v>
      </c>
      <c r="L716" s="2009">
        <v>790.62</v>
      </c>
      <c r="M716" s="1375">
        <f t="shared" ref="M716:M722" si="928">H716*L716/K716</f>
        <v>0</v>
      </c>
      <c r="N716" s="1376">
        <v>1</v>
      </c>
      <c r="O716" s="1377">
        <f t="shared" ref="O716:O722" si="929">M716*N716</f>
        <v>0</v>
      </c>
      <c r="P716" s="1375">
        <f t="shared" ref="P716:P722" si="930">(M716+O716)*0.15</f>
        <v>0</v>
      </c>
      <c r="Q716" s="1378">
        <f t="shared" ref="Q716:Q722" si="931">M716+O716+P716</f>
        <v>0</v>
      </c>
      <c r="R716" s="1375">
        <f t="shared" ref="R716:R722" si="932">Q716*$R$1</f>
        <v>0</v>
      </c>
      <c r="S716" s="1375">
        <f t="shared" ref="S716:S722" si="933">(Q716+R716)*$S$1</f>
        <v>0</v>
      </c>
      <c r="T716" s="1375">
        <f t="shared" ref="T716:T722" si="934">Q716+R716+S716</f>
        <v>0</v>
      </c>
      <c r="U716" s="2028">
        <f t="shared" si="777"/>
        <v>0</v>
      </c>
      <c r="V716" s="1357"/>
      <c r="W716" s="1357"/>
      <c r="X716" s="1357"/>
      <c r="Y716" s="1357"/>
      <c r="AD716" s="2141">
        <f t="shared" si="868"/>
        <v>2.6</v>
      </c>
      <c r="AE716" s="2142" t="str">
        <f t="shared" si="819"/>
        <v/>
      </c>
      <c r="AG716" s="2118" t="s">
        <v>1816</v>
      </c>
    </row>
    <row r="717" spans="1:33" ht="28.5" hidden="1" outlineLevel="4" x14ac:dyDescent="0.2">
      <c r="A717" s="1360">
        <f>A716+1</f>
        <v>274</v>
      </c>
      <c r="B717" s="1389" t="s">
        <v>1688</v>
      </c>
      <c r="C717" s="532" t="s">
        <v>490</v>
      </c>
      <c r="D717" s="1358">
        <v>3</v>
      </c>
      <c r="E717" s="499" t="s">
        <v>465</v>
      </c>
      <c r="F717" s="2024" t="s">
        <v>303</v>
      </c>
      <c r="G717" s="1355">
        <v>8.695652173913043</v>
      </c>
      <c r="H717" s="1373"/>
      <c r="I717" s="1359">
        <f t="shared" si="926"/>
        <v>0</v>
      </c>
      <c r="J717" s="1374" t="str">
        <f t="shared" si="927"/>
        <v>0:0:00</v>
      </c>
      <c r="K717" s="500">
        <v>1000</v>
      </c>
      <c r="L717" s="2009">
        <v>660</v>
      </c>
      <c r="M717" s="1375">
        <f t="shared" si="928"/>
        <v>0</v>
      </c>
      <c r="N717" s="1376">
        <v>1</v>
      </c>
      <c r="O717" s="1377">
        <f t="shared" si="929"/>
        <v>0</v>
      </c>
      <c r="P717" s="1375">
        <f t="shared" si="930"/>
        <v>0</v>
      </c>
      <c r="Q717" s="1378">
        <f t="shared" si="931"/>
        <v>0</v>
      </c>
      <c r="R717" s="1375">
        <f t="shared" si="932"/>
        <v>0</v>
      </c>
      <c r="S717" s="1375">
        <f t="shared" si="933"/>
        <v>0</v>
      </c>
      <c r="T717" s="1375">
        <f t="shared" si="934"/>
        <v>0</v>
      </c>
      <c r="U717" s="2028">
        <f t="shared" si="777"/>
        <v>0</v>
      </c>
      <c r="V717" s="1357"/>
      <c r="W717" s="1357"/>
      <c r="X717" s="1357"/>
      <c r="Y717" s="1357"/>
      <c r="AD717" s="2141">
        <f t="shared" si="868"/>
        <v>2.6</v>
      </c>
      <c r="AE717" s="2142" t="str">
        <f t="shared" si="819"/>
        <v/>
      </c>
      <c r="AG717" s="2118" t="s">
        <v>1816</v>
      </c>
    </row>
    <row r="718" spans="1:33" ht="28.5" hidden="1" outlineLevel="4" x14ac:dyDescent="0.2">
      <c r="A718" s="1360">
        <f t="shared" ref="A718:A722" si="935">A717+1</f>
        <v>275</v>
      </c>
      <c r="B718" s="1389" t="s">
        <v>1689</v>
      </c>
      <c r="C718" s="532" t="s">
        <v>490</v>
      </c>
      <c r="D718" s="1358">
        <v>2</v>
      </c>
      <c r="E718" s="499" t="s">
        <v>465</v>
      </c>
      <c r="F718" s="2024" t="s">
        <v>303</v>
      </c>
      <c r="G718" s="1355">
        <v>8.695652173913043</v>
      </c>
      <c r="H718" s="1373">
        <f>H717</f>
        <v>0</v>
      </c>
      <c r="I718" s="1359">
        <f t="shared" si="926"/>
        <v>0</v>
      </c>
      <c r="J718" s="1374" t="str">
        <f t="shared" si="927"/>
        <v>0:0:00</v>
      </c>
      <c r="K718" s="500">
        <v>1000</v>
      </c>
      <c r="L718" s="2009">
        <v>550</v>
      </c>
      <c r="M718" s="1375">
        <f t="shared" si="928"/>
        <v>0</v>
      </c>
      <c r="N718" s="1376">
        <v>1</v>
      </c>
      <c r="O718" s="1377">
        <f t="shared" si="929"/>
        <v>0</v>
      </c>
      <c r="P718" s="1375">
        <f t="shared" si="930"/>
        <v>0</v>
      </c>
      <c r="Q718" s="1378">
        <f t="shared" si="931"/>
        <v>0</v>
      </c>
      <c r="R718" s="1375">
        <f t="shared" si="932"/>
        <v>0</v>
      </c>
      <c r="S718" s="1375">
        <f t="shared" si="933"/>
        <v>0</v>
      </c>
      <c r="T718" s="1375">
        <f t="shared" si="934"/>
        <v>0</v>
      </c>
      <c r="U718" s="2028">
        <f t="shared" si="777"/>
        <v>0</v>
      </c>
      <c r="V718" s="1357"/>
      <c r="W718" s="1357"/>
      <c r="X718" s="1357"/>
      <c r="Y718" s="1357"/>
      <c r="AD718" s="2141">
        <f t="shared" si="868"/>
        <v>1.5</v>
      </c>
      <c r="AE718" s="2142" t="str">
        <f t="shared" si="819"/>
        <v/>
      </c>
      <c r="AG718" s="2118" t="s">
        <v>1816</v>
      </c>
    </row>
    <row r="719" spans="1:33" ht="28.5" hidden="1" outlineLevel="4" x14ac:dyDescent="0.2">
      <c r="A719" s="1360">
        <f t="shared" si="935"/>
        <v>276</v>
      </c>
      <c r="B719" s="1389" t="s">
        <v>1690</v>
      </c>
      <c r="C719" s="532" t="s">
        <v>490</v>
      </c>
      <c r="D719" s="1358">
        <v>2</v>
      </c>
      <c r="E719" s="499" t="s">
        <v>465</v>
      </c>
      <c r="F719" s="2024" t="s">
        <v>303</v>
      </c>
      <c r="G719" s="1355">
        <v>5.0505050505050502</v>
      </c>
      <c r="H719" s="1373"/>
      <c r="I719" s="1359">
        <f t="shared" si="926"/>
        <v>0</v>
      </c>
      <c r="J719" s="1374" t="str">
        <f t="shared" ref="J719" si="936">CONCATENATE(TRUNC(I719,0),":",INT((I719-(TRUNC(I719,0)))*60),":","00")</f>
        <v>0:0:00</v>
      </c>
      <c r="K719" s="500">
        <v>1000</v>
      </c>
      <c r="L719" s="2009">
        <v>319.44</v>
      </c>
      <c r="M719" s="1375">
        <f t="shared" ref="M719" si="937">H719*L719/K719</f>
        <v>0</v>
      </c>
      <c r="N719" s="1376">
        <v>1</v>
      </c>
      <c r="O719" s="1377">
        <f t="shared" ref="O719" si="938">M719*N719</f>
        <v>0</v>
      </c>
      <c r="P719" s="1375">
        <f t="shared" ref="P719" si="939">(M719+O719)*0.15</f>
        <v>0</v>
      </c>
      <c r="Q719" s="1378">
        <f t="shared" ref="Q719" si="940">M719+O719+P719</f>
        <v>0</v>
      </c>
      <c r="R719" s="1375">
        <f t="shared" ref="R719" si="941">Q719*$R$1</f>
        <v>0</v>
      </c>
      <c r="S719" s="1375">
        <f t="shared" ref="S719" si="942">(Q719+R719)*$S$1</f>
        <v>0</v>
      </c>
      <c r="T719" s="1375">
        <f t="shared" ref="T719" si="943">Q719+R719+S719</f>
        <v>0</v>
      </c>
      <c r="U719" s="2028">
        <f t="shared" ref="U719" si="944">IF(T719&gt;0,1,0)</f>
        <v>0</v>
      </c>
      <c r="V719" s="1357"/>
      <c r="W719" s="1357"/>
      <c r="X719" s="1357"/>
      <c r="Y719" s="1357"/>
      <c r="AD719" s="2141">
        <f t="shared" si="868"/>
        <v>1.5</v>
      </c>
      <c r="AE719" s="2142" t="str">
        <f t="shared" si="819"/>
        <v/>
      </c>
      <c r="AG719" s="2118" t="s">
        <v>1816</v>
      </c>
    </row>
    <row r="720" spans="1:33" ht="28.5" hidden="1" outlineLevel="4" x14ac:dyDescent="0.2">
      <c r="A720" s="1360">
        <f t="shared" si="935"/>
        <v>277</v>
      </c>
      <c r="B720" s="1389" t="s">
        <v>1691</v>
      </c>
      <c r="C720" s="532" t="s">
        <v>490</v>
      </c>
      <c r="D720" s="1358">
        <v>3</v>
      </c>
      <c r="E720" s="499" t="s">
        <v>465</v>
      </c>
      <c r="F720" s="2024" t="s">
        <v>303</v>
      </c>
      <c r="G720" s="1355">
        <v>11.363636363636363</v>
      </c>
      <c r="H720" s="1373"/>
      <c r="I720" s="1359">
        <f t="shared" si="926"/>
        <v>0</v>
      </c>
      <c r="J720" s="1374" t="str">
        <f t="shared" si="927"/>
        <v>0:0:00</v>
      </c>
      <c r="K720" s="500">
        <v>1000</v>
      </c>
      <c r="L720" s="2009">
        <v>862.5</v>
      </c>
      <c r="M720" s="1375">
        <f t="shared" si="928"/>
        <v>0</v>
      </c>
      <c r="N720" s="1376">
        <v>1</v>
      </c>
      <c r="O720" s="1377">
        <f t="shared" si="929"/>
        <v>0</v>
      </c>
      <c r="P720" s="1375">
        <f t="shared" si="930"/>
        <v>0</v>
      </c>
      <c r="Q720" s="1378">
        <f t="shared" si="931"/>
        <v>0</v>
      </c>
      <c r="R720" s="1375">
        <f t="shared" si="932"/>
        <v>0</v>
      </c>
      <c r="S720" s="1375">
        <f t="shared" si="933"/>
        <v>0</v>
      </c>
      <c r="T720" s="1375">
        <f t="shared" si="934"/>
        <v>0</v>
      </c>
      <c r="U720" s="2028">
        <f t="shared" si="777"/>
        <v>0</v>
      </c>
      <c r="V720" s="1357"/>
      <c r="W720" s="1357"/>
      <c r="X720" s="1357"/>
      <c r="Y720" s="1357"/>
      <c r="AD720" s="2141">
        <f t="shared" si="868"/>
        <v>2.6</v>
      </c>
      <c r="AE720" s="2142" t="str">
        <f t="shared" si="819"/>
        <v/>
      </c>
      <c r="AG720" s="2118" t="s">
        <v>1816</v>
      </c>
    </row>
    <row r="721" spans="1:33" ht="28.5" hidden="1" outlineLevel="4" x14ac:dyDescent="0.2">
      <c r="A721" s="1360">
        <f t="shared" si="935"/>
        <v>278</v>
      </c>
      <c r="B721" s="1389" t="s">
        <v>1691</v>
      </c>
      <c r="C721" s="532" t="s">
        <v>490</v>
      </c>
      <c r="D721" s="1358">
        <v>3</v>
      </c>
      <c r="E721" s="499" t="s">
        <v>465</v>
      </c>
      <c r="F721" s="2024" t="s">
        <v>303</v>
      </c>
      <c r="G721" s="1355">
        <v>11.363636363636363</v>
      </c>
      <c r="H721" s="1373">
        <f>H720</f>
        <v>0</v>
      </c>
      <c r="I721" s="1359">
        <f t="shared" si="926"/>
        <v>0</v>
      </c>
      <c r="J721" s="1374" t="str">
        <f t="shared" si="927"/>
        <v>0:0:00</v>
      </c>
      <c r="K721" s="500">
        <v>1000</v>
      </c>
      <c r="L721" s="2009">
        <v>862.5</v>
      </c>
      <c r="M721" s="1375">
        <f t="shared" si="928"/>
        <v>0</v>
      </c>
      <c r="N721" s="1376">
        <v>1</v>
      </c>
      <c r="O721" s="1377">
        <f t="shared" si="929"/>
        <v>0</v>
      </c>
      <c r="P721" s="1375">
        <f t="shared" si="930"/>
        <v>0</v>
      </c>
      <c r="Q721" s="1378">
        <f t="shared" si="931"/>
        <v>0</v>
      </c>
      <c r="R721" s="1375">
        <f t="shared" si="932"/>
        <v>0</v>
      </c>
      <c r="S721" s="1375">
        <f t="shared" si="933"/>
        <v>0</v>
      </c>
      <c r="T721" s="1375">
        <f t="shared" si="934"/>
        <v>0</v>
      </c>
      <c r="U721" s="2028">
        <f t="shared" si="777"/>
        <v>0</v>
      </c>
      <c r="V721" s="1357"/>
      <c r="W721" s="1357"/>
      <c r="X721" s="1357"/>
      <c r="Y721" s="1357"/>
      <c r="AD721" s="2141">
        <f t="shared" si="868"/>
        <v>2.6</v>
      </c>
      <c r="AE721" s="2142" t="str">
        <f t="shared" si="819"/>
        <v/>
      </c>
      <c r="AG721" s="2118" t="s">
        <v>1816</v>
      </c>
    </row>
    <row r="722" spans="1:33" ht="28.5" hidden="1" outlineLevel="4" x14ac:dyDescent="0.2">
      <c r="A722" s="1360">
        <f t="shared" si="935"/>
        <v>279</v>
      </c>
      <c r="B722" s="1389" t="s">
        <v>1692</v>
      </c>
      <c r="C722" s="532" t="s">
        <v>490</v>
      </c>
      <c r="D722" s="1358">
        <v>2</v>
      </c>
      <c r="E722" s="499" t="s">
        <v>465</v>
      </c>
      <c r="F722" s="2024" t="s">
        <v>303</v>
      </c>
      <c r="G722" s="1355">
        <v>6.5359477124183005</v>
      </c>
      <c r="H722" s="1373"/>
      <c r="I722" s="1359">
        <f t="shared" si="926"/>
        <v>0</v>
      </c>
      <c r="J722" s="1374" t="str">
        <f t="shared" si="927"/>
        <v>0:0:00</v>
      </c>
      <c r="K722" s="500">
        <v>1000</v>
      </c>
      <c r="L722" s="2009">
        <v>413.4</v>
      </c>
      <c r="M722" s="1375">
        <f t="shared" si="928"/>
        <v>0</v>
      </c>
      <c r="N722" s="1376">
        <v>1</v>
      </c>
      <c r="O722" s="1377">
        <f t="shared" si="929"/>
        <v>0</v>
      </c>
      <c r="P722" s="1375">
        <f t="shared" si="930"/>
        <v>0</v>
      </c>
      <c r="Q722" s="1378">
        <f t="shared" si="931"/>
        <v>0</v>
      </c>
      <c r="R722" s="1375">
        <f t="shared" si="932"/>
        <v>0</v>
      </c>
      <c r="S722" s="1375">
        <f t="shared" si="933"/>
        <v>0</v>
      </c>
      <c r="T722" s="1375">
        <f t="shared" si="934"/>
        <v>0</v>
      </c>
      <c r="U722" s="2028">
        <f t="shared" si="777"/>
        <v>0</v>
      </c>
      <c r="V722" s="1357"/>
      <c r="W722" s="1357"/>
      <c r="X722" s="1357"/>
      <c r="Y722" s="1357"/>
      <c r="AD722" s="2141">
        <f t="shared" si="868"/>
        <v>1.5</v>
      </c>
      <c r="AE722" s="2142" t="str">
        <f t="shared" si="819"/>
        <v/>
      </c>
      <c r="AG722" s="2118" t="s">
        <v>1816</v>
      </c>
    </row>
    <row r="723" spans="1:33" ht="14.25" hidden="1" outlineLevel="3" x14ac:dyDescent="0.2">
      <c r="A723" s="1360"/>
      <c r="B723" s="1384" t="s">
        <v>134</v>
      </c>
      <c r="C723" s="528"/>
      <c r="D723" s="2155"/>
      <c r="E723" s="529" t="s">
        <v>218</v>
      </c>
      <c r="F723" s="2166"/>
      <c r="G723" s="2184"/>
      <c r="H723" s="1385"/>
      <c r="I723" s="2058">
        <f>I724+I725+I727+I728+I730</f>
        <v>0</v>
      </c>
      <c r="J723" s="530"/>
      <c r="K723" s="530"/>
      <c r="L723" s="531"/>
      <c r="M723" s="1386"/>
      <c r="N723" s="530"/>
      <c r="O723" s="1387"/>
      <c r="P723" s="1386"/>
      <c r="Q723" s="1388"/>
      <c r="R723" s="1386"/>
      <c r="S723" s="1393">
        <f>SUM(T724:T730)</f>
        <v>0</v>
      </c>
      <c r="T723" s="1388"/>
      <c r="U723" s="2028">
        <f t="shared" si="777"/>
        <v>0</v>
      </c>
      <c r="V723" s="1357"/>
      <c r="W723" s="1357"/>
      <c r="X723" s="1357"/>
      <c r="Y723" s="1357"/>
      <c r="AD723" s="2141" t="str">
        <f t="shared" si="868"/>
        <v/>
      </c>
      <c r="AE723" s="2142" t="str">
        <f t="shared" si="819"/>
        <v/>
      </c>
      <c r="AG723" s="2118" t="s">
        <v>1816</v>
      </c>
    </row>
    <row r="724" spans="1:33" ht="42.75" hidden="1" outlineLevel="4" x14ac:dyDescent="0.2">
      <c r="A724" s="1360">
        <f>A722+1</f>
        <v>280</v>
      </c>
      <c r="B724" s="1389" t="s">
        <v>1693</v>
      </c>
      <c r="C724" s="532" t="s">
        <v>491</v>
      </c>
      <c r="D724" s="1358">
        <v>3</v>
      </c>
      <c r="E724" s="499" t="s">
        <v>465</v>
      </c>
      <c r="F724" s="2024" t="s">
        <v>303</v>
      </c>
      <c r="G724" s="1355">
        <v>10.638297872340425</v>
      </c>
      <c r="H724" s="1373"/>
      <c r="I724" s="1359">
        <f t="shared" ref="I724:I730" si="945">IF(G724=0,0,IF(H724&gt;0,IF((G724*H724/K724)&lt;0.084,0.084,(G724*H724/K724)),0))</f>
        <v>0</v>
      </c>
      <c r="J724" s="1374" t="str">
        <f t="shared" ref="J724:J730" si="946">CONCATENATE(TRUNC(I724,0),":",INT((I724-(TRUNC(I724,0)))*60),":","00")</f>
        <v>0:0:00</v>
      </c>
      <c r="K724" s="500">
        <v>1000</v>
      </c>
      <c r="L724" s="2009">
        <v>807.45</v>
      </c>
      <c r="M724" s="1375">
        <f t="shared" ref="M724:M730" si="947">H724*L724/K724</f>
        <v>0</v>
      </c>
      <c r="N724" s="1376">
        <v>1</v>
      </c>
      <c r="O724" s="1377">
        <f t="shared" ref="O724:O730" si="948">M724*N724</f>
        <v>0</v>
      </c>
      <c r="P724" s="1375">
        <f t="shared" ref="P724:P730" si="949">(M724+O724)*0.15</f>
        <v>0</v>
      </c>
      <c r="Q724" s="1378">
        <f t="shared" ref="Q724:Q730" si="950">M724+O724+P724</f>
        <v>0</v>
      </c>
      <c r="R724" s="1375">
        <f t="shared" ref="R724:R730" si="951">Q724*$R$1</f>
        <v>0</v>
      </c>
      <c r="S724" s="1375">
        <f t="shared" ref="S724:S730" si="952">(Q724+R724)*$S$1</f>
        <v>0</v>
      </c>
      <c r="T724" s="1375">
        <f t="shared" ref="T724:T730" si="953">Q724+R724+S724</f>
        <v>0</v>
      </c>
      <c r="U724" s="2028">
        <f t="shared" si="777"/>
        <v>0</v>
      </c>
      <c r="V724" s="1357"/>
      <c r="W724" s="1357"/>
      <c r="X724" s="1357"/>
      <c r="Y724" s="1357"/>
      <c r="AD724" s="2141">
        <f t="shared" si="868"/>
        <v>2.6</v>
      </c>
      <c r="AE724" s="2142" t="str">
        <f t="shared" si="819"/>
        <v/>
      </c>
      <c r="AG724" s="2118" t="s">
        <v>1816</v>
      </c>
    </row>
    <row r="725" spans="1:33" ht="28.5" hidden="1" outlineLevel="4" x14ac:dyDescent="0.2">
      <c r="A725" s="1360">
        <f>A724+1</f>
        <v>281</v>
      </c>
      <c r="B725" s="1389" t="s">
        <v>1694</v>
      </c>
      <c r="C725" s="532" t="s">
        <v>491</v>
      </c>
      <c r="D725" s="1358">
        <v>3</v>
      </c>
      <c r="E725" s="499" t="s">
        <v>465</v>
      </c>
      <c r="F725" s="2024" t="s">
        <v>303</v>
      </c>
      <c r="G725" s="1355">
        <v>9.1743119266055047</v>
      </c>
      <c r="H725" s="1373"/>
      <c r="I725" s="1359">
        <f t="shared" si="945"/>
        <v>0</v>
      </c>
      <c r="J725" s="1374" t="str">
        <f t="shared" si="946"/>
        <v>0:0:00</v>
      </c>
      <c r="K725" s="500">
        <v>1000</v>
      </c>
      <c r="L725" s="2009">
        <v>696.33</v>
      </c>
      <c r="M725" s="1375">
        <f t="shared" si="947"/>
        <v>0</v>
      </c>
      <c r="N725" s="1376">
        <v>1</v>
      </c>
      <c r="O725" s="1377">
        <f t="shared" si="948"/>
        <v>0</v>
      </c>
      <c r="P725" s="1375">
        <f t="shared" si="949"/>
        <v>0</v>
      </c>
      <c r="Q725" s="1378">
        <f t="shared" si="950"/>
        <v>0</v>
      </c>
      <c r="R725" s="1375">
        <f t="shared" si="951"/>
        <v>0</v>
      </c>
      <c r="S725" s="1375">
        <f t="shared" si="952"/>
        <v>0</v>
      </c>
      <c r="T725" s="1375">
        <f t="shared" si="953"/>
        <v>0</v>
      </c>
      <c r="U725" s="2028">
        <f t="shared" si="777"/>
        <v>0</v>
      </c>
      <c r="V725" s="1357"/>
      <c r="W725" s="1357"/>
      <c r="X725" s="1357"/>
      <c r="Y725" s="1357"/>
      <c r="AD725" s="2141">
        <f t="shared" si="868"/>
        <v>2.6</v>
      </c>
      <c r="AE725" s="2142" t="str">
        <f t="shared" si="819"/>
        <v/>
      </c>
      <c r="AG725" s="2118" t="s">
        <v>1816</v>
      </c>
    </row>
    <row r="726" spans="1:33" ht="28.5" hidden="1" outlineLevel="4" x14ac:dyDescent="0.2">
      <c r="A726" s="1360">
        <f t="shared" ref="A726:A730" si="954">A725+1</f>
        <v>282</v>
      </c>
      <c r="B726" s="1389" t="s">
        <v>1695</v>
      </c>
      <c r="C726" s="532" t="s">
        <v>491</v>
      </c>
      <c r="D726" s="1358">
        <v>2</v>
      </c>
      <c r="E726" s="499" t="s">
        <v>465</v>
      </c>
      <c r="F726" s="2024" t="s">
        <v>303</v>
      </c>
      <c r="G726" s="1355">
        <v>9.1743119266055047</v>
      </c>
      <c r="H726" s="1373">
        <f>H725</f>
        <v>0</v>
      </c>
      <c r="I726" s="1359">
        <f t="shared" si="945"/>
        <v>0</v>
      </c>
      <c r="J726" s="1374" t="str">
        <f t="shared" si="946"/>
        <v>0:0:00</v>
      </c>
      <c r="K726" s="500">
        <v>1000</v>
      </c>
      <c r="L726" s="2009">
        <v>580.28</v>
      </c>
      <c r="M726" s="1375">
        <f t="shared" si="947"/>
        <v>0</v>
      </c>
      <c r="N726" s="1376">
        <v>1</v>
      </c>
      <c r="O726" s="1377">
        <f t="shared" si="948"/>
        <v>0</v>
      </c>
      <c r="P726" s="1375">
        <f t="shared" si="949"/>
        <v>0</v>
      </c>
      <c r="Q726" s="1378">
        <f t="shared" si="950"/>
        <v>0</v>
      </c>
      <c r="R726" s="1375">
        <f t="shared" si="951"/>
        <v>0</v>
      </c>
      <c r="S726" s="1375">
        <f t="shared" si="952"/>
        <v>0</v>
      </c>
      <c r="T726" s="1375">
        <f t="shared" si="953"/>
        <v>0</v>
      </c>
      <c r="U726" s="2028">
        <f t="shared" si="777"/>
        <v>0</v>
      </c>
      <c r="V726" s="1357"/>
      <c r="W726" s="1357"/>
      <c r="X726" s="1357"/>
      <c r="Y726" s="1357"/>
      <c r="AD726" s="2141">
        <f t="shared" si="868"/>
        <v>1.5</v>
      </c>
      <c r="AE726" s="2142" t="str">
        <f t="shared" si="819"/>
        <v/>
      </c>
      <c r="AG726" s="2118" t="s">
        <v>1816</v>
      </c>
    </row>
    <row r="727" spans="1:33" ht="28.5" hidden="1" outlineLevel="4" x14ac:dyDescent="0.2">
      <c r="A727" s="1360">
        <f t="shared" si="954"/>
        <v>283</v>
      </c>
      <c r="B727" s="1389" t="s">
        <v>1696</v>
      </c>
      <c r="C727" s="532" t="s">
        <v>491</v>
      </c>
      <c r="D727" s="1358">
        <v>2</v>
      </c>
      <c r="E727" s="499" t="s">
        <v>465</v>
      </c>
      <c r="F727" s="2024" t="s">
        <v>303</v>
      </c>
      <c r="G727" s="1355">
        <v>5.7142857142857144</v>
      </c>
      <c r="H727" s="1373"/>
      <c r="I727" s="1359">
        <f t="shared" si="945"/>
        <v>0</v>
      </c>
      <c r="J727" s="1374" t="str">
        <f t="shared" ref="J727" si="955">CONCATENATE(TRUNC(I727,0),":",INT((I727-(TRUNC(I727,0)))*60),":","00")</f>
        <v>0:0:00</v>
      </c>
      <c r="K727" s="500">
        <v>1000</v>
      </c>
      <c r="L727" s="2009">
        <v>361.43</v>
      </c>
      <c r="M727" s="1375">
        <f t="shared" ref="M727" si="956">H727*L727/K727</f>
        <v>0</v>
      </c>
      <c r="N727" s="1376">
        <v>1</v>
      </c>
      <c r="O727" s="1377">
        <f t="shared" ref="O727" si="957">M727*N727</f>
        <v>0</v>
      </c>
      <c r="P727" s="1375">
        <f t="shared" ref="P727" si="958">(M727+O727)*0.15</f>
        <v>0</v>
      </c>
      <c r="Q727" s="1378">
        <f t="shared" ref="Q727" si="959">M727+O727+P727</f>
        <v>0</v>
      </c>
      <c r="R727" s="1375">
        <f t="shared" ref="R727" si="960">Q727*$R$1</f>
        <v>0</v>
      </c>
      <c r="S727" s="1375">
        <f t="shared" ref="S727" si="961">(Q727+R727)*$S$1</f>
        <v>0</v>
      </c>
      <c r="T727" s="1375">
        <f t="shared" ref="T727" si="962">Q727+R727+S727</f>
        <v>0</v>
      </c>
      <c r="U727" s="2028">
        <f t="shared" ref="U727" si="963">IF(T727&gt;0,1,0)</f>
        <v>0</v>
      </c>
      <c r="V727" s="1357"/>
      <c r="W727" s="1357"/>
      <c r="X727" s="1357"/>
      <c r="Y727" s="1357"/>
      <c r="AD727" s="2141">
        <f t="shared" si="868"/>
        <v>1.5</v>
      </c>
      <c r="AE727" s="2142" t="str">
        <f t="shared" si="819"/>
        <v/>
      </c>
      <c r="AG727" s="2118" t="s">
        <v>1816</v>
      </c>
    </row>
    <row r="728" spans="1:33" ht="28.5" hidden="1" outlineLevel="4" x14ac:dyDescent="0.2">
      <c r="A728" s="1360">
        <f t="shared" si="954"/>
        <v>284</v>
      </c>
      <c r="B728" s="1389" t="s">
        <v>1697</v>
      </c>
      <c r="C728" s="532" t="s">
        <v>491</v>
      </c>
      <c r="D728" s="1358">
        <v>3</v>
      </c>
      <c r="E728" s="499" t="s">
        <v>465</v>
      </c>
      <c r="F728" s="2024" t="s">
        <v>303</v>
      </c>
      <c r="G728" s="1355">
        <v>11.627906976744185</v>
      </c>
      <c r="H728" s="1373"/>
      <c r="I728" s="1359">
        <f t="shared" si="945"/>
        <v>0</v>
      </c>
      <c r="J728" s="1374" t="str">
        <f t="shared" si="946"/>
        <v>0:0:00</v>
      </c>
      <c r="K728" s="500">
        <v>1000</v>
      </c>
      <c r="L728" s="2009">
        <v>882.56</v>
      </c>
      <c r="M728" s="1375">
        <f t="shared" si="947"/>
        <v>0</v>
      </c>
      <c r="N728" s="1376">
        <v>1</v>
      </c>
      <c r="O728" s="1377">
        <f t="shared" si="948"/>
        <v>0</v>
      </c>
      <c r="P728" s="1375">
        <f t="shared" si="949"/>
        <v>0</v>
      </c>
      <c r="Q728" s="1378">
        <f t="shared" si="950"/>
        <v>0</v>
      </c>
      <c r="R728" s="1375">
        <f t="shared" si="951"/>
        <v>0</v>
      </c>
      <c r="S728" s="1375">
        <f t="shared" si="952"/>
        <v>0</v>
      </c>
      <c r="T728" s="1375">
        <f t="shared" si="953"/>
        <v>0</v>
      </c>
      <c r="U728" s="2028">
        <f t="shared" ref="U728:U840" si="964">IF(T728&gt;0,1,0)</f>
        <v>0</v>
      </c>
      <c r="V728" s="1357"/>
      <c r="W728" s="1357"/>
      <c r="X728" s="1357"/>
      <c r="Y728" s="1357"/>
      <c r="AD728" s="2141">
        <f t="shared" si="868"/>
        <v>2.6</v>
      </c>
      <c r="AE728" s="2142" t="str">
        <f t="shared" si="819"/>
        <v/>
      </c>
      <c r="AG728" s="2118" t="s">
        <v>1816</v>
      </c>
    </row>
    <row r="729" spans="1:33" ht="28.5" hidden="1" outlineLevel="4" x14ac:dyDescent="0.2">
      <c r="A729" s="1360">
        <f t="shared" si="954"/>
        <v>285</v>
      </c>
      <c r="B729" s="1389" t="s">
        <v>1697</v>
      </c>
      <c r="C729" s="532" t="s">
        <v>491</v>
      </c>
      <c r="D729" s="1358">
        <v>3</v>
      </c>
      <c r="E729" s="499" t="s">
        <v>465</v>
      </c>
      <c r="F729" s="2024" t="s">
        <v>303</v>
      </c>
      <c r="G729" s="1355">
        <v>11.627906976744185</v>
      </c>
      <c r="H729" s="1373">
        <f>H728</f>
        <v>0</v>
      </c>
      <c r="I729" s="1359">
        <f t="shared" si="945"/>
        <v>0</v>
      </c>
      <c r="J729" s="1374" t="str">
        <f t="shared" si="946"/>
        <v>0:0:00</v>
      </c>
      <c r="K729" s="500">
        <v>1000</v>
      </c>
      <c r="L729" s="2009">
        <v>882.56</v>
      </c>
      <c r="M729" s="1375">
        <f t="shared" si="947"/>
        <v>0</v>
      </c>
      <c r="N729" s="1376">
        <v>1</v>
      </c>
      <c r="O729" s="1377">
        <f t="shared" si="948"/>
        <v>0</v>
      </c>
      <c r="P729" s="1375">
        <f t="shared" si="949"/>
        <v>0</v>
      </c>
      <c r="Q729" s="1378">
        <f t="shared" si="950"/>
        <v>0</v>
      </c>
      <c r="R729" s="1375">
        <f t="shared" si="951"/>
        <v>0</v>
      </c>
      <c r="S729" s="1375">
        <f t="shared" si="952"/>
        <v>0</v>
      </c>
      <c r="T729" s="1375">
        <f t="shared" si="953"/>
        <v>0</v>
      </c>
      <c r="U729" s="2028">
        <f t="shared" si="964"/>
        <v>0</v>
      </c>
      <c r="V729" s="1357"/>
      <c r="W729" s="1357"/>
      <c r="X729" s="1357"/>
      <c r="Y729" s="1357"/>
      <c r="AD729" s="2141">
        <f t="shared" si="868"/>
        <v>2.6</v>
      </c>
      <c r="AE729" s="2142" t="str">
        <f t="shared" si="819"/>
        <v/>
      </c>
      <c r="AG729" s="2118" t="s">
        <v>1816</v>
      </c>
    </row>
    <row r="730" spans="1:33" ht="28.5" hidden="1" outlineLevel="4" x14ac:dyDescent="0.2">
      <c r="A730" s="1360">
        <f t="shared" si="954"/>
        <v>286</v>
      </c>
      <c r="B730" s="1389" t="s">
        <v>1698</v>
      </c>
      <c r="C730" s="532" t="s">
        <v>491</v>
      </c>
      <c r="D730" s="1358">
        <v>2</v>
      </c>
      <c r="E730" s="499" t="s">
        <v>465</v>
      </c>
      <c r="F730" s="2024" t="s">
        <v>303</v>
      </c>
      <c r="G730" s="1355">
        <v>7.4626865671641793</v>
      </c>
      <c r="H730" s="1373"/>
      <c r="I730" s="1359">
        <f t="shared" si="945"/>
        <v>0</v>
      </c>
      <c r="J730" s="1374" t="str">
        <f t="shared" si="946"/>
        <v>0:0:00</v>
      </c>
      <c r="K730" s="500">
        <v>1000</v>
      </c>
      <c r="L730" s="2009">
        <v>472.02</v>
      </c>
      <c r="M730" s="1375">
        <f t="shared" si="947"/>
        <v>0</v>
      </c>
      <c r="N730" s="1376">
        <v>1</v>
      </c>
      <c r="O730" s="1377">
        <f t="shared" si="948"/>
        <v>0</v>
      </c>
      <c r="P730" s="1375">
        <f t="shared" si="949"/>
        <v>0</v>
      </c>
      <c r="Q730" s="1378">
        <f t="shared" si="950"/>
        <v>0</v>
      </c>
      <c r="R730" s="1375">
        <f t="shared" si="951"/>
        <v>0</v>
      </c>
      <c r="S730" s="1375">
        <f t="shared" si="952"/>
        <v>0</v>
      </c>
      <c r="T730" s="1375">
        <f t="shared" si="953"/>
        <v>0</v>
      </c>
      <c r="U730" s="2028">
        <f t="shared" si="964"/>
        <v>0</v>
      </c>
      <c r="V730" s="1357"/>
      <c r="W730" s="1357"/>
      <c r="X730" s="1357"/>
      <c r="Y730" s="1357"/>
      <c r="AD730" s="2141">
        <f t="shared" si="868"/>
        <v>1.5</v>
      </c>
      <c r="AE730" s="2142" t="str">
        <f t="shared" si="819"/>
        <v/>
      </c>
      <c r="AG730" s="2118" t="s">
        <v>1816</v>
      </c>
    </row>
    <row r="731" spans="1:33" ht="14.25" hidden="1" outlineLevel="3" x14ac:dyDescent="0.2">
      <c r="A731" s="1360"/>
      <c r="B731" s="1384" t="s">
        <v>135</v>
      </c>
      <c r="C731" s="528"/>
      <c r="D731" s="2155"/>
      <c r="E731" s="529" t="s">
        <v>218</v>
      </c>
      <c r="F731" s="2166"/>
      <c r="G731" s="2184"/>
      <c r="H731" s="1385"/>
      <c r="I731" s="2058">
        <f>I732+I733+I735+I736+I738</f>
        <v>0</v>
      </c>
      <c r="J731" s="530"/>
      <c r="K731" s="530"/>
      <c r="L731" s="531"/>
      <c r="M731" s="1386"/>
      <c r="N731" s="530"/>
      <c r="O731" s="1387"/>
      <c r="P731" s="1386"/>
      <c r="Q731" s="1388"/>
      <c r="R731" s="1386"/>
      <c r="S731" s="1393">
        <f>SUM(T732:T738)</f>
        <v>0</v>
      </c>
      <c r="T731" s="1388"/>
      <c r="U731" s="2028">
        <f t="shared" si="964"/>
        <v>0</v>
      </c>
      <c r="V731" s="1357"/>
      <c r="W731" s="1357"/>
      <c r="X731" s="1357"/>
      <c r="Y731" s="1357"/>
      <c r="AD731" s="2141" t="str">
        <f t="shared" si="868"/>
        <v/>
      </c>
      <c r="AE731" s="2142" t="str">
        <f t="shared" ref="AE731:AE794" si="965">IF(T731&gt;0,T731*AD731,"")</f>
        <v/>
      </c>
      <c r="AG731" s="2118" t="s">
        <v>1816</v>
      </c>
    </row>
    <row r="732" spans="1:33" ht="42.75" hidden="1" outlineLevel="4" x14ac:dyDescent="0.2">
      <c r="A732" s="1360">
        <f>A730+1</f>
        <v>287</v>
      </c>
      <c r="B732" s="1389" t="s">
        <v>1699</v>
      </c>
      <c r="C732" s="532" t="s">
        <v>492</v>
      </c>
      <c r="D732" s="1358">
        <v>3</v>
      </c>
      <c r="E732" s="499" t="s">
        <v>465</v>
      </c>
      <c r="F732" s="2024" t="s">
        <v>303</v>
      </c>
      <c r="G732" s="1355">
        <v>11.627906976744185</v>
      </c>
      <c r="H732" s="1373"/>
      <c r="I732" s="1359">
        <f t="shared" ref="I732:I738" si="966">IF(G732=0,0,IF(H732&gt;0,IF((G732*H732/K732)&lt;0.084,0.084,(G732*H732/K732)),0))</f>
        <v>0</v>
      </c>
      <c r="J732" s="1374" t="str">
        <f t="shared" ref="J732:J738" si="967">CONCATENATE(TRUNC(I732,0),":",INT((I732-(TRUNC(I732,0)))*60),":","00")</f>
        <v>0:0:00</v>
      </c>
      <c r="K732" s="500">
        <v>1000</v>
      </c>
      <c r="L732" s="2009">
        <v>882.56</v>
      </c>
      <c r="M732" s="1375">
        <f t="shared" ref="M732:M738" si="968">H732*L732/K732</f>
        <v>0</v>
      </c>
      <c r="N732" s="1376">
        <v>1</v>
      </c>
      <c r="O732" s="1377">
        <f t="shared" ref="O732:O738" si="969">M732*N732</f>
        <v>0</v>
      </c>
      <c r="P732" s="1375">
        <f t="shared" ref="P732:P738" si="970">(M732+O732)*0.15</f>
        <v>0</v>
      </c>
      <c r="Q732" s="1378">
        <f t="shared" ref="Q732:Q738" si="971">M732+O732+P732</f>
        <v>0</v>
      </c>
      <c r="R732" s="1375">
        <f t="shared" ref="R732:R738" si="972">Q732*$R$1</f>
        <v>0</v>
      </c>
      <c r="S732" s="1375">
        <f t="shared" ref="S732:S738" si="973">(Q732+R732)*$S$1</f>
        <v>0</v>
      </c>
      <c r="T732" s="1375">
        <f t="shared" ref="T732:T738" si="974">Q732+R732+S732</f>
        <v>0</v>
      </c>
      <c r="U732" s="2028">
        <f t="shared" si="964"/>
        <v>0</v>
      </c>
      <c r="V732" s="1357"/>
      <c r="W732" s="1357"/>
      <c r="X732" s="1357"/>
      <c r="Y732" s="1357"/>
      <c r="AD732" s="2141">
        <f t="shared" si="868"/>
        <v>2.6</v>
      </c>
      <c r="AE732" s="2142" t="str">
        <f t="shared" si="965"/>
        <v/>
      </c>
      <c r="AG732" s="2118" t="s">
        <v>1816</v>
      </c>
    </row>
    <row r="733" spans="1:33" ht="28.5" hidden="1" outlineLevel="4" x14ac:dyDescent="0.2">
      <c r="A733" s="1360">
        <f>A732+1</f>
        <v>288</v>
      </c>
      <c r="B733" s="1389" t="s">
        <v>1700</v>
      </c>
      <c r="C733" s="532" t="s">
        <v>492</v>
      </c>
      <c r="D733" s="1358">
        <v>3</v>
      </c>
      <c r="E733" s="499" t="s">
        <v>465</v>
      </c>
      <c r="F733" s="2024" t="s">
        <v>303</v>
      </c>
      <c r="G733" s="1355">
        <v>9.7087378640776691</v>
      </c>
      <c r="H733" s="1373"/>
      <c r="I733" s="1359">
        <f t="shared" si="966"/>
        <v>0</v>
      </c>
      <c r="J733" s="1374" t="str">
        <f t="shared" si="967"/>
        <v>0:0:00</v>
      </c>
      <c r="K733" s="500">
        <v>1000</v>
      </c>
      <c r="L733" s="2009">
        <v>736.89</v>
      </c>
      <c r="M733" s="1375">
        <f t="shared" si="968"/>
        <v>0</v>
      </c>
      <c r="N733" s="1376">
        <v>1</v>
      </c>
      <c r="O733" s="1377">
        <f t="shared" si="969"/>
        <v>0</v>
      </c>
      <c r="P733" s="1375">
        <f t="shared" si="970"/>
        <v>0</v>
      </c>
      <c r="Q733" s="1378">
        <f t="shared" si="971"/>
        <v>0</v>
      </c>
      <c r="R733" s="1375">
        <f t="shared" si="972"/>
        <v>0</v>
      </c>
      <c r="S733" s="1375">
        <f t="shared" si="973"/>
        <v>0</v>
      </c>
      <c r="T733" s="1375">
        <f t="shared" si="974"/>
        <v>0</v>
      </c>
      <c r="U733" s="2028">
        <f t="shared" si="964"/>
        <v>0</v>
      </c>
      <c r="V733" s="1357"/>
      <c r="W733" s="1357"/>
      <c r="X733" s="1357"/>
      <c r="Y733" s="1357"/>
      <c r="AD733" s="2141">
        <f t="shared" si="868"/>
        <v>2.6</v>
      </c>
      <c r="AE733" s="2142" t="str">
        <f t="shared" si="965"/>
        <v/>
      </c>
      <c r="AG733" s="2118" t="s">
        <v>1816</v>
      </c>
    </row>
    <row r="734" spans="1:33" ht="28.5" hidden="1" outlineLevel="4" x14ac:dyDescent="0.2">
      <c r="A734" s="1360">
        <f t="shared" ref="A734:A738" si="975">A733+1</f>
        <v>289</v>
      </c>
      <c r="B734" s="1389" t="s">
        <v>1701</v>
      </c>
      <c r="C734" s="532" t="s">
        <v>492</v>
      </c>
      <c r="D734" s="1358">
        <v>2</v>
      </c>
      <c r="E734" s="499" t="s">
        <v>465</v>
      </c>
      <c r="F734" s="2024" t="s">
        <v>303</v>
      </c>
      <c r="G734" s="1355">
        <v>9.7087378640776691</v>
      </c>
      <c r="H734" s="1373">
        <f>H733</f>
        <v>0</v>
      </c>
      <c r="I734" s="1359">
        <f t="shared" si="966"/>
        <v>0</v>
      </c>
      <c r="J734" s="1374" t="str">
        <f t="shared" si="967"/>
        <v>0:0:00</v>
      </c>
      <c r="K734" s="500">
        <v>1000</v>
      </c>
      <c r="L734" s="2009">
        <v>614.08000000000004</v>
      </c>
      <c r="M734" s="1375">
        <f t="shared" si="968"/>
        <v>0</v>
      </c>
      <c r="N734" s="1376">
        <v>1</v>
      </c>
      <c r="O734" s="1377">
        <f t="shared" si="969"/>
        <v>0</v>
      </c>
      <c r="P734" s="1375">
        <f t="shared" si="970"/>
        <v>0</v>
      </c>
      <c r="Q734" s="1378">
        <f t="shared" si="971"/>
        <v>0</v>
      </c>
      <c r="R734" s="1375">
        <f t="shared" si="972"/>
        <v>0</v>
      </c>
      <c r="S734" s="1375">
        <f t="shared" si="973"/>
        <v>0</v>
      </c>
      <c r="T734" s="1375">
        <f t="shared" si="974"/>
        <v>0</v>
      </c>
      <c r="U734" s="2028">
        <f t="shared" si="964"/>
        <v>0</v>
      </c>
      <c r="V734" s="1357"/>
      <c r="W734" s="1357"/>
      <c r="X734" s="1357"/>
      <c r="Y734" s="1357"/>
      <c r="AD734" s="2141">
        <f t="shared" si="868"/>
        <v>1.5</v>
      </c>
      <c r="AE734" s="2142" t="str">
        <f t="shared" si="965"/>
        <v/>
      </c>
      <c r="AG734" s="2118" t="s">
        <v>1816</v>
      </c>
    </row>
    <row r="735" spans="1:33" ht="28.5" hidden="1" outlineLevel="4" x14ac:dyDescent="0.2">
      <c r="A735" s="1360">
        <f t="shared" si="975"/>
        <v>290</v>
      </c>
      <c r="B735" s="1389" t="s">
        <v>1702</v>
      </c>
      <c r="C735" s="532" t="s">
        <v>492</v>
      </c>
      <c r="D735" s="1358">
        <v>2</v>
      </c>
      <c r="E735" s="499" t="s">
        <v>465</v>
      </c>
      <c r="F735" s="2024" t="s">
        <v>303</v>
      </c>
      <c r="G735" s="1355">
        <v>5.7142857142857144</v>
      </c>
      <c r="H735" s="1373"/>
      <c r="I735" s="1359">
        <f t="shared" si="966"/>
        <v>0</v>
      </c>
      <c r="J735" s="1374" t="str">
        <f t="shared" si="967"/>
        <v>0:0:00</v>
      </c>
      <c r="K735" s="500">
        <v>1000</v>
      </c>
      <c r="L735" s="2009">
        <v>361.43</v>
      </c>
      <c r="M735" s="1375">
        <f t="shared" si="968"/>
        <v>0</v>
      </c>
      <c r="N735" s="1376">
        <v>1</v>
      </c>
      <c r="O735" s="1377">
        <f t="shared" si="969"/>
        <v>0</v>
      </c>
      <c r="P735" s="1375">
        <f t="shared" si="970"/>
        <v>0</v>
      </c>
      <c r="Q735" s="1378">
        <f t="shared" si="971"/>
        <v>0</v>
      </c>
      <c r="R735" s="1375">
        <f t="shared" si="972"/>
        <v>0</v>
      </c>
      <c r="S735" s="1375">
        <f t="shared" si="973"/>
        <v>0</v>
      </c>
      <c r="T735" s="1375">
        <f t="shared" si="974"/>
        <v>0</v>
      </c>
      <c r="U735" s="2028">
        <f t="shared" si="964"/>
        <v>0</v>
      </c>
      <c r="V735" s="1357"/>
      <c r="W735" s="1357"/>
      <c r="X735" s="1357"/>
      <c r="Y735" s="1357"/>
      <c r="AD735" s="2141">
        <f t="shared" si="868"/>
        <v>1.5</v>
      </c>
      <c r="AE735" s="2142" t="str">
        <f t="shared" si="965"/>
        <v/>
      </c>
      <c r="AG735" s="2118" t="s">
        <v>1816</v>
      </c>
    </row>
    <row r="736" spans="1:33" ht="28.5" hidden="1" outlineLevel="4" x14ac:dyDescent="0.2">
      <c r="A736" s="1360">
        <f t="shared" si="975"/>
        <v>291</v>
      </c>
      <c r="B736" s="1389" t="s">
        <v>1703</v>
      </c>
      <c r="C736" s="532" t="s">
        <v>492</v>
      </c>
      <c r="D736" s="1358">
        <v>3</v>
      </c>
      <c r="E736" s="499" t="s">
        <v>465</v>
      </c>
      <c r="F736" s="2024" t="s">
        <v>303</v>
      </c>
      <c r="G736" s="1355">
        <v>11.904761904761905</v>
      </c>
      <c r="H736" s="1373"/>
      <c r="I736" s="1359">
        <f t="shared" si="966"/>
        <v>0</v>
      </c>
      <c r="J736" s="1374" t="str">
        <f t="shared" ref="J736" si="976">CONCATENATE(TRUNC(I736,0),":",INT((I736-(TRUNC(I736,0)))*60),":","00")</f>
        <v>0:0:00</v>
      </c>
      <c r="K736" s="500">
        <v>1000</v>
      </c>
      <c r="L736" s="2009">
        <v>903.57</v>
      </c>
      <c r="M736" s="1375">
        <f t="shared" ref="M736" si="977">H736*L736/K736</f>
        <v>0</v>
      </c>
      <c r="N736" s="1376">
        <v>1</v>
      </c>
      <c r="O736" s="1377">
        <f t="shared" ref="O736" si="978">M736*N736</f>
        <v>0</v>
      </c>
      <c r="P736" s="1375">
        <f t="shared" ref="P736" si="979">(M736+O736)*0.15</f>
        <v>0</v>
      </c>
      <c r="Q736" s="1378">
        <f t="shared" ref="Q736" si="980">M736+O736+P736</f>
        <v>0</v>
      </c>
      <c r="R736" s="1375">
        <f t="shared" ref="R736" si="981">Q736*$R$1</f>
        <v>0</v>
      </c>
      <c r="S736" s="1375">
        <f t="shared" ref="S736" si="982">(Q736+R736)*$S$1</f>
        <v>0</v>
      </c>
      <c r="T736" s="1375">
        <f t="shared" ref="T736" si="983">Q736+R736+S736</f>
        <v>0</v>
      </c>
      <c r="U736" s="2028">
        <f t="shared" ref="U736" si="984">IF(T736&gt;0,1,0)</f>
        <v>0</v>
      </c>
      <c r="V736" s="1357"/>
      <c r="W736" s="1357"/>
      <c r="X736" s="1357"/>
      <c r="Y736" s="1357"/>
      <c r="AD736" s="2141">
        <f t="shared" si="868"/>
        <v>2.6</v>
      </c>
      <c r="AE736" s="2142" t="str">
        <f t="shared" si="965"/>
        <v/>
      </c>
      <c r="AG736" s="2118" t="s">
        <v>1816</v>
      </c>
    </row>
    <row r="737" spans="1:33" ht="28.5" hidden="1" outlineLevel="4" x14ac:dyDescent="0.2">
      <c r="A737" s="1360">
        <f t="shared" si="975"/>
        <v>292</v>
      </c>
      <c r="B737" s="1389" t="s">
        <v>1703</v>
      </c>
      <c r="C737" s="532" t="s">
        <v>492</v>
      </c>
      <c r="D737" s="1358">
        <v>3</v>
      </c>
      <c r="E737" s="499" t="s">
        <v>465</v>
      </c>
      <c r="F737" s="2024" t="s">
        <v>303</v>
      </c>
      <c r="G737" s="1355">
        <v>11.904761904761905</v>
      </c>
      <c r="H737" s="1373">
        <f>H736</f>
        <v>0</v>
      </c>
      <c r="I737" s="1359">
        <f t="shared" si="966"/>
        <v>0</v>
      </c>
      <c r="J737" s="1374" t="str">
        <f t="shared" si="967"/>
        <v>0:0:00</v>
      </c>
      <c r="K737" s="500">
        <v>1000</v>
      </c>
      <c r="L737" s="2009">
        <v>903.57</v>
      </c>
      <c r="M737" s="1375">
        <f t="shared" si="968"/>
        <v>0</v>
      </c>
      <c r="N737" s="1376">
        <v>1</v>
      </c>
      <c r="O737" s="1377">
        <f t="shared" si="969"/>
        <v>0</v>
      </c>
      <c r="P737" s="1375">
        <f t="shared" si="970"/>
        <v>0</v>
      </c>
      <c r="Q737" s="1378">
        <f t="shared" si="971"/>
        <v>0</v>
      </c>
      <c r="R737" s="1375">
        <f t="shared" si="972"/>
        <v>0</v>
      </c>
      <c r="S737" s="1375">
        <f t="shared" si="973"/>
        <v>0</v>
      </c>
      <c r="T737" s="1375">
        <f t="shared" si="974"/>
        <v>0</v>
      </c>
      <c r="U737" s="2028">
        <f t="shared" si="964"/>
        <v>0</v>
      </c>
      <c r="V737" s="1357"/>
      <c r="W737" s="1357"/>
      <c r="X737" s="1357"/>
      <c r="Y737" s="1357"/>
      <c r="AD737" s="2141">
        <f t="shared" si="868"/>
        <v>2.6</v>
      </c>
      <c r="AE737" s="2142" t="str">
        <f t="shared" si="965"/>
        <v/>
      </c>
      <c r="AG737" s="2118" t="s">
        <v>1816</v>
      </c>
    </row>
    <row r="738" spans="1:33" ht="28.5" hidden="1" outlineLevel="4" x14ac:dyDescent="0.2">
      <c r="A738" s="1360">
        <f t="shared" si="975"/>
        <v>293</v>
      </c>
      <c r="B738" s="1389" t="s">
        <v>1704</v>
      </c>
      <c r="C738" s="532" t="s">
        <v>492</v>
      </c>
      <c r="D738" s="1358">
        <v>2</v>
      </c>
      <c r="E738" s="499" t="s">
        <v>465</v>
      </c>
      <c r="F738" s="2024" t="s">
        <v>303</v>
      </c>
      <c r="G738" s="1355">
        <v>7.4626865671641793</v>
      </c>
      <c r="H738" s="1373"/>
      <c r="I738" s="1359">
        <f t="shared" si="966"/>
        <v>0</v>
      </c>
      <c r="J738" s="1374" t="str">
        <f t="shared" si="967"/>
        <v>0:0:00</v>
      </c>
      <c r="K738" s="500">
        <v>1000</v>
      </c>
      <c r="L738" s="2009">
        <v>472.02</v>
      </c>
      <c r="M738" s="1375">
        <f t="shared" si="968"/>
        <v>0</v>
      </c>
      <c r="N738" s="1376">
        <v>1</v>
      </c>
      <c r="O738" s="1377">
        <f t="shared" si="969"/>
        <v>0</v>
      </c>
      <c r="P738" s="1375">
        <f t="shared" si="970"/>
        <v>0</v>
      </c>
      <c r="Q738" s="1378">
        <f t="shared" si="971"/>
        <v>0</v>
      </c>
      <c r="R738" s="1375">
        <f t="shared" si="972"/>
        <v>0</v>
      </c>
      <c r="S738" s="1375">
        <f t="shared" si="973"/>
        <v>0</v>
      </c>
      <c r="T738" s="1375">
        <f t="shared" si="974"/>
        <v>0</v>
      </c>
      <c r="U738" s="2028">
        <f t="shared" si="964"/>
        <v>0</v>
      </c>
      <c r="V738" s="1357"/>
      <c r="W738" s="1357"/>
      <c r="X738" s="1357"/>
      <c r="Y738" s="1357"/>
      <c r="AD738" s="2141">
        <f t="shared" si="868"/>
        <v>1.5</v>
      </c>
      <c r="AE738" s="2142" t="str">
        <f t="shared" si="965"/>
        <v/>
      </c>
      <c r="AG738" s="2118" t="s">
        <v>1816</v>
      </c>
    </row>
    <row r="739" spans="1:33" ht="14.25" hidden="1" outlineLevel="3" x14ac:dyDescent="0.2">
      <c r="A739" s="1360"/>
      <c r="B739" s="1384" t="s">
        <v>304</v>
      </c>
      <c r="C739" s="528"/>
      <c r="D739" s="2155"/>
      <c r="E739" s="529" t="s">
        <v>218</v>
      </c>
      <c r="F739" s="2166"/>
      <c r="G739" s="2184"/>
      <c r="H739" s="1385"/>
      <c r="I739" s="2058">
        <f>I740+I741+I743+I744+I746+I747+I748</f>
        <v>0</v>
      </c>
      <c r="J739" s="530"/>
      <c r="K739" s="530"/>
      <c r="L739" s="531"/>
      <c r="M739" s="1386"/>
      <c r="N739" s="530"/>
      <c r="O739" s="1387"/>
      <c r="P739" s="1386"/>
      <c r="Q739" s="1388"/>
      <c r="R739" s="1386"/>
      <c r="S739" s="1393">
        <f>SUM(T740:T748)</f>
        <v>0</v>
      </c>
      <c r="T739" s="1388"/>
      <c r="U739" s="2028">
        <f t="shared" si="964"/>
        <v>0</v>
      </c>
      <c r="V739" s="1357"/>
      <c r="W739" s="1357"/>
      <c r="X739" s="1357"/>
      <c r="Y739" s="1357"/>
      <c r="AD739" s="2141" t="str">
        <f t="shared" si="868"/>
        <v/>
      </c>
      <c r="AE739" s="2142" t="str">
        <f t="shared" si="965"/>
        <v/>
      </c>
      <c r="AG739" s="2118" t="s">
        <v>1816</v>
      </c>
    </row>
    <row r="740" spans="1:33" ht="42.75" hidden="1" outlineLevel="4" x14ac:dyDescent="0.2">
      <c r="A740" s="1360">
        <f>A738+1</f>
        <v>294</v>
      </c>
      <c r="B740" s="1389" t="s">
        <v>1705</v>
      </c>
      <c r="C740" s="532" t="s">
        <v>493</v>
      </c>
      <c r="D740" s="1358">
        <v>3</v>
      </c>
      <c r="E740" s="499" t="s">
        <v>465</v>
      </c>
      <c r="F740" s="2024" t="s">
        <v>303</v>
      </c>
      <c r="G740" s="1355">
        <v>16.666666666666668</v>
      </c>
      <c r="H740" s="1373"/>
      <c r="I740" s="1359">
        <f t="shared" ref="I740:I748" si="985">IF(G740=0,0,IF(H740&gt;0,IF((G740*H740/K740)&lt;0.084,0.084,(G740*H740/K740)),0))</f>
        <v>0</v>
      </c>
      <c r="J740" s="1374" t="str">
        <f t="shared" ref="J740:J746" si="986">CONCATENATE(TRUNC(I740,0),":",INT((I740-(TRUNC(I740,0)))*60),":","00")</f>
        <v>0:0:00</v>
      </c>
      <c r="K740" s="500">
        <v>1000</v>
      </c>
      <c r="L740" s="2009">
        <v>1265</v>
      </c>
      <c r="M740" s="1375">
        <f t="shared" ref="M740:M746" si="987">H740*L740/K740</f>
        <v>0</v>
      </c>
      <c r="N740" s="1376">
        <v>1</v>
      </c>
      <c r="O740" s="1377">
        <f t="shared" ref="O740:O746" si="988">M740*N740</f>
        <v>0</v>
      </c>
      <c r="P740" s="1375">
        <f t="shared" ref="P740:P746" si="989">(M740+O740)*0.15</f>
        <v>0</v>
      </c>
      <c r="Q740" s="1378">
        <f t="shared" ref="Q740:Q748" si="990">M740+O740+P740</f>
        <v>0</v>
      </c>
      <c r="R740" s="1375">
        <f t="shared" ref="R740:R746" si="991">Q740*$R$1</f>
        <v>0</v>
      </c>
      <c r="S740" s="1375">
        <f t="shared" ref="S740:S746" si="992">(Q740+R740)*$S$1</f>
        <v>0</v>
      </c>
      <c r="T740" s="1375">
        <f t="shared" ref="T740:T746" si="993">Q740+R740+S740</f>
        <v>0</v>
      </c>
      <c r="U740" s="2028">
        <f t="shared" si="964"/>
        <v>0</v>
      </c>
      <c r="V740" s="1357"/>
      <c r="W740" s="1357"/>
      <c r="X740" s="1357"/>
      <c r="Y740" s="1357"/>
      <c r="AD740" s="2141">
        <f t="shared" si="868"/>
        <v>2.6</v>
      </c>
      <c r="AE740" s="2142" t="str">
        <f t="shared" si="965"/>
        <v/>
      </c>
      <c r="AG740" s="2118" t="s">
        <v>1816</v>
      </c>
    </row>
    <row r="741" spans="1:33" ht="28.5" hidden="1" outlineLevel="4" x14ac:dyDescent="0.2">
      <c r="A741" s="1360">
        <f>A740+1</f>
        <v>295</v>
      </c>
      <c r="B741" s="1389" t="s">
        <v>1706</v>
      </c>
      <c r="C741" s="532" t="s">
        <v>493</v>
      </c>
      <c r="D741" s="1358">
        <v>3</v>
      </c>
      <c r="E741" s="499" t="s">
        <v>465</v>
      </c>
      <c r="F741" s="2024" t="s">
        <v>303</v>
      </c>
      <c r="G741" s="1355">
        <v>10.1010101010101</v>
      </c>
      <c r="H741" s="1373"/>
      <c r="I741" s="1359">
        <f t="shared" si="985"/>
        <v>0</v>
      </c>
      <c r="J741" s="1374" t="str">
        <f t="shared" si="986"/>
        <v>0:0:00</v>
      </c>
      <c r="K741" s="500">
        <v>1000</v>
      </c>
      <c r="L741" s="2009">
        <v>766.67</v>
      </c>
      <c r="M741" s="1375">
        <f t="shared" si="987"/>
        <v>0</v>
      </c>
      <c r="N741" s="1376">
        <v>1</v>
      </c>
      <c r="O741" s="1377">
        <f t="shared" si="988"/>
        <v>0</v>
      </c>
      <c r="P741" s="1375">
        <f t="shared" si="989"/>
        <v>0</v>
      </c>
      <c r="Q741" s="1378">
        <f t="shared" si="990"/>
        <v>0</v>
      </c>
      <c r="R741" s="1375">
        <f t="shared" si="991"/>
        <v>0</v>
      </c>
      <c r="S741" s="1375">
        <f t="shared" si="992"/>
        <v>0</v>
      </c>
      <c r="T741" s="1375">
        <f t="shared" si="993"/>
        <v>0</v>
      </c>
      <c r="U741" s="2028">
        <f t="shared" si="964"/>
        <v>0</v>
      </c>
      <c r="V741" s="1357"/>
      <c r="W741" s="1357"/>
      <c r="X741" s="1357"/>
      <c r="Y741" s="1357"/>
      <c r="AD741" s="2141">
        <f t="shared" si="868"/>
        <v>2.6</v>
      </c>
      <c r="AE741" s="2142" t="str">
        <f t="shared" si="965"/>
        <v/>
      </c>
      <c r="AG741" s="2118" t="s">
        <v>1816</v>
      </c>
    </row>
    <row r="742" spans="1:33" ht="28.5" hidden="1" outlineLevel="4" x14ac:dyDescent="0.2">
      <c r="A742" s="1360">
        <f t="shared" ref="A742:A748" si="994">A741+1</f>
        <v>296</v>
      </c>
      <c r="B742" s="1389" t="s">
        <v>1707</v>
      </c>
      <c r="C742" s="532" t="s">
        <v>493</v>
      </c>
      <c r="D742" s="1358">
        <v>2</v>
      </c>
      <c r="E742" s="499" t="s">
        <v>465</v>
      </c>
      <c r="F742" s="2024" t="s">
        <v>303</v>
      </c>
      <c r="G742" s="1355">
        <v>10.1010101010101</v>
      </c>
      <c r="H742" s="1373">
        <f>H741</f>
        <v>0</v>
      </c>
      <c r="I742" s="1359">
        <f t="shared" si="985"/>
        <v>0</v>
      </c>
      <c r="J742" s="1374" t="str">
        <f t="shared" si="986"/>
        <v>0:0:00</v>
      </c>
      <c r="K742" s="500">
        <v>1000</v>
      </c>
      <c r="L742" s="2009">
        <v>638.89</v>
      </c>
      <c r="M742" s="1375">
        <f t="shared" si="987"/>
        <v>0</v>
      </c>
      <c r="N742" s="1376">
        <v>1</v>
      </c>
      <c r="O742" s="1377">
        <f t="shared" si="988"/>
        <v>0</v>
      </c>
      <c r="P742" s="1375">
        <f t="shared" si="989"/>
        <v>0</v>
      </c>
      <c r="Q742" s="1378">
        <f t="shared" si="990"/>
        <v>0</v>
      </c>
      <c r="R742" s="1375">
        <f t="shared" si="991"/>
        <v>0</v>
      </c>
      <c r="S742" s="1375">
        <f t="shared" si="992"/>
        <v>0</v>
      </c>
      <c r="T742" s="1375">
        <f t="shared" si="993"/>
        <v>0</v>
      </c>
      <c r="U742" s="2028">
        <f t="shared" si="964"/>
        <v>0</v>
      </c>
      <c r="V742" s="1357"/>
      <c r="W742" s="1357"/>
      <c r="X742" s="1357"/>
      <c r="Y742" s="1357"/>
      <c r="AD742" s="2141">
        <f t="shared" si="868"/>
        <v>1.5</v>
      </c>
      <c r="AE742" s="2142" t="str">
        <f t="shared" si="965"/>
        <v/>
      </c>
      <c r="AG742" s="2118" t="s">
        <v>1816</v>
      </c>
    </row>
    <row r="743" spans="1:33" ht="28.5" hidden="1" outlineLevel="4" x14ac:dyDescent="0.2">
      <c r="A743" s="1360">
        <f t="shared" si="994"/>
        <v>297</v>
      </c>
      <c r="B743" s="1389" t="s">
        <v>1708</v>
      </c>
      <c r="C743" s="532" t="s">
        <v>493</v>
      </c>
      <c r="D743" s="1358">
        <v>2</v>
      </c>
      <c r="E743" s="499" t="s">
        <v>465</v>
      </c>
      <c r="F743" s="2024" t="s">
        <v>303</v>
      </c>
      <c r="G743" s="1354">
        <v>6.5789473684210522</v>
      </c>
      <c r="H743" s="1373"/>
      <c r="I743" s="1359">
        <f t="shared" si="985"/>
        <v>0</v>
      </c>
      <c r="J743" s="1374" t="str">
        <f t="shared" ref="J743" si="995">CONCATENATE(TRUNC(I743,0),":",INT((I743-(TRUNC(I743,0)))*60),":","00")</f>
        <v>0:0:00</v>
      </c>
      <c r="K743" s="500">
        <v>1000</v>
      </c>
      <c r="L743" s="2009">
        <v>416.12</v>
      </c>
      <c r="M743" s="1375">
        <f t="shared" ref="M743" si="996">H743*L743/K743</f>
        <v>0</v>
      </c>
      <c r="N743" s="1376">
        <v>1</v>
      </c>
      <c r="O743" s="1377">
        <f t="shared" ref="O743" si="997">M743*N743</f>
        <v>0</v>
      </c>
      <c r="P743" s="1375">
        <f t="shared" ref="P743" si="998">(M743+O743)*0.15</f>
        <v>0</v>
      </c>
      <c r="Q743" s="1378">
        <f t="shared" ref="Q743" si="999">M743+O743+P743</f>
        <v>0</v>
      </c>
      <c r="R743" s="1375">
        <f t="shared" ref="R743" si="1000">Q743*$R$1</f>
        <v>0</v>
      </c>
      <c r="S743" s="1375">
        <f t="shared" ref="S743" si="1001">(Q743+R743)*$S$1</f>
        <v>0</v>
      </c>
      <c r="T743" s="1375">
        <f t="shared" ref="T743" si="1002">Q743+R743+S743</f>
        <v>0</v>
      </c>
      <c r="U743" s="2028">
        <f t="shared" ref="U743" si="1003">IF(T743&gt;0,1,0)</f>
        <v>0</v>
      </c>
      <c r="V743" s="1357"/>
      <c r="W743" s="1357"/>
      <c r="X743" s="1357"/>
      <c r="Y743" s="1357"/>
      <c r="AD743" s="2141">
        <f t="shared" si="868"/>
        <v>1.5</v>
      </c>
      <c r="AE743" s="2142" t="str">
        <f t="shared" si="965"/>
        <v/>
      </c>
      <c r="AG743" s="2118" t="s">
        <v>1816</v>
      </c>
    </row>
    <row r="744" spans="1:33" ht="28.5" hidden="1" outlineLevel="4" x14ac:dyDescent="0.2">
      <c r="A744" s="1360">
        <f t="shared" si="994"/>
        <v>298</v>
      </c>
      <c r="B744" s="1389" t="s">
        <v>1709</v>
      </c>
      <c r="C744" s="532" t="s">
        <v>493</v>
      </c>
      <c r="D744" s="1358">
        <v>3</v>
      </c>
      <c r="E744" s="499" t="s">
        <v>465</v>
      </c>
      <c r="F744" s="2024" t="s">
        <v>303</v>
      </c>
      <c r="G744" s="1383">
        <v>12.345679012345679</v>
      </c>
      <c r="H744" s="1373"/>
      <c r="I744" s="1359">
        <f t="shared" si="985"/>
        <v>0</v>
      </c>
      <c r="J744" s="1374" t="str">
        <f t="shared" si="986"/>
        <v>0:0:00</v>
      </c>
      <c r="K744" s="500">
        <v>1000</v>
      </c>
      <c r="L744" s="2009">
        <v>937.04</v>
      </c>
      <c r="M744" s="1375">
        <f t="shared" si="987"/>
        <v>0</v>
      </c>
      <c r="N744" s="1376">
        <v>1</v>
      </c>
      <c r="O744" s="1377">
        <f t="shared" si="988"/>
        <v>0</v>
      </c>
      <c r="P744" s="1375">
        <f t="shared" si="989"/>
        <v>0</v>
      </c>
      <c r="Q744" s="1378">
        <f t="shared" si="990"/>
        <v>0</v>
      </c>
      <c r="R744" s="1375">
        <f t="shared" si="991"/>
        <v>0</v>
      </c>
      <c r="S744" s="1375">
        <f t="shared" si="992"/>
        <v>0</v>
      </c>
      <c r="T744" s="1375">
        <f t="shared" si="993"/>
        <v>0</v>
      </c>
      <c r="U744" s="2028">
        <f t="shared" si="964"/>
        <v>0</v>
      </c>
      <c r="V744" s="1357"/>
      <c r="W744" s="1357"/>
      <c r="X744" s="1357"/>
      <c r="Y744" s="1357"/>
      <c r="AD744" s="2141">
        <f t="shared" si="868"/>
        <v>2.6</v>
      </c>
      <c r="AE744" s="2142" t="str">
        <f t="shared" si="965"/>
        <v/>
      </c>
      <c r="AG744" s="2118" t="s">
        <v>1816</v>
      </c>
    </row>
    <row r="745" spans="1:33" ht="28.5" hidden="1" outlineLevel="4" x14ac:dyDescent="0.2">
      <c r="A745" s="1360">
        <f t="shared" si="994"/>
        <v>299</v>
      </c>
      <c r="B745" s="1389" t="s">
        <v>1709</v>
      </c>
      <c r="C745" s="532" t="s">
        <v>493</v>
      </c>
      <c r="D745" s="1358">
        <v>3</v>
      </c>
      <c r="E745" s="499" t="s">
        <v>465</v>
      </c>
      <c r="F745" s="2024" t="s">
        <v>303</v>
      </c>
      <c r="G745" s="1383">
        <v>12.345679012345679</v>
      </c>
      <c r="H745" s="1373">
        <f>H744</f>
        <v>0</v>
      </c>
      <c r="I745" s="1359">
        <f t="shared" si="985"/>
        <v>0</v>
      </c>
      <c r="J745" s="1374" t="str">
        <f t="shared" si="986"/>
        <v>0:0:00</v>
      </c>
      <c r="K745" s="500">
        <v>1000</v>
      </c>
      <c r="L745" s="2009">
        <v>937.04</v>
      </c>
      <c r="M745" s="1375">
        <f t="shared" si="987"/>
        <v>0</v>
      </c>
      <c r="N745" s="1376">
        <v>1</v>
      </c>
      <c r="O745" s="1377">
        <f t="shared" si="988"/>
        <v>0</v>
      </c>
      <c r="P745" s="1375">
        <f t="shared" si="989"/>
        <v>0</v>
      </c>
      <c r="Q745" s="1378">
        <f t="shared" si="990"/>
        <v>0</v>
      </c>
      <c r="R745" s="1375">
        <f t="shared" si="991"/>
        <v>0</v>
      </c>
      <c r="S745" s="1375">
        <f t="shared" si="992"/>
        <v>0</v>
      </c>
      <c r="T745" s="1375">
        <f t="shared" si="993"/>
        <v>0</v>
      </c>
      <c r="U745" s="2028">
        <f t="shared" si="964"/>
        <v>0</v>
      </c>
      <c r="V745" s="1357"/>
      <c r="W745" s="1357"/>
      <c r="X745" s="1357"/>
      <c r="Y745" s="1357"/>
      <c r="AD745" s="2141">
        <f t="shared" si="868"/>
        <v>2.6</v>
      </c>
      <c r="AE745" s="2142" t="str">
        <f t="shared" si="965"/>
        <v/>
      </c>
      <c r="AG745" s="2118" t="s">
        <v>1816</v>
      </c>
    </row>
    <row r="746" spans="1:33" ht="28.5" hidden="1" outlineLevel="4" x14ac:dyDescent="0.2">
      <c r="A746" s="1360">
        <f t="shared" si="994"/>
        <v>300</v>
      </c>
      <c r="B746" s="1389" t="s">
        <v>1710</v>
      </c>
      <c r="C746" s="532" t="s">
        <v>493</v>
      </c>
      <c r="D746" s="1358">
        <v>2</v>
      </c>
      <c r="E746" s="499" t="s">
        <v>465</v>
      </c>
      <c r="F746" s="2024" t="s">
        <v>303</v>
      </c>
      <c r="G746" s="1355">
        <v>8.5470085470085468</v>
      </c>
      <c r="H746" s="1373"/>
      <c r="I746" s="1359">
        <f t="shared" si="985"/>
        <v>0</v>
      </c>
      <c r="J746" s="1374" t="str">
        <f t="shared" si="986"/>
        <v>0:0:00</v>
      </c>
      <c r="K746" s="500">
        <v>1000</v>
      </c>
      <c r="L746" s="2009">
        <v>540.6</v>
      </c>
      <c r="M746" s="1375">
        <f t="shared" si="987"/>
        <v>0</v>
      </c>
      <c r="N746" s="1376">
        <v>1</v>
      </c>
      <c r="O746" s="1377">
        <f t="shared" si="988"/>
        <v>0</v>
      </c>
      <c r="P746" s="1375">
        <f t="shared" si="989"/>
        <v>0</v>
      </c>
      <c r="Q746" s="1378">
        <f t="shared" si="990"/>
        <v>0</v>
      </c>
      <c r="R746" s="1375">
        <f t="shared" si="991"/>
        <v>0</v>
      </c>
      <c r="S746" s="1375">
        <f t="shared" si="992"/>
        <v>0</v>
      </c>
      <c r="T746" s="1375">
        <f t="shared" si="993"/>
        <v>0</v>
      </c>
      <c r="U746" s="2028">
        <f t="shared" si="964"/>
        <v>0</v>
      </c>
      <c r="V746" s="1357"/>
      <c r="W746" s="1357"/>
      <c r="X746" s="1357"/>
      <c r="Y746" s="1357"/>
      <c r="AD746" s="2141">
        <f t="shared" si="868"/>
        <v>1.5</v>
      </c>
      <c r="AE746" s="2142" t="str">
        <f t="shared" si="965"/>
        <v/>
      </c>
      <c r="AG746" s="2118" t="s">
        <v>1816</v>
      </c>
    </row>
    <row r="747" spans="1:33" ht="14.25" hidden="1" outlineLevel="2" x14ac:dyDescent="0.2">
      <c r="A747" s="1360">
        <f t="shared" si="994"/>
        <v>301</v>
      </c>
      <c r="B747" s="2059" t="s">
        <v>1711</v>
      </c>
      <c r="C747" s="585"/>
      <c r="D747" s="1390">
        <v>2</v>
      </c>
      <c r="E747" s="586" t="s">
        <v>465</v>
      </c>
      <c r="F747" s="2024" t="s">
        <v>303</v>
      </c>
      <c r="G747" s="1355">
        <v>5.8479999999999999</v>
      </c>
      <c r="H747" s="1373"/>
      <c r="I747" s="1359">
        <f t="shared" si="985"/>
        <v>0</v>
      </c>
      <c r="J747" s="1374" t="str">
        <f>CONCATENATE(TRUNC(I747,0),":",INT((I747-(TRUNC(I747,0)))*60),":","00")</f>
        <v>0:0:00</v>
      </c>
      <c r="K747" s="500">
        <v>1000</v>
      </c>
      <c r="L747" s="2009">
        <v>369.88</v>
      </c>
      <c r="M747" s="1375">
        <f>H747*L747/K747</f>
        <v>0</v>
      </c>
      <c r="N747" s="1376">
        <v>1</v>
      </c>
      <c r="O747" s="1377">
        <f>M747*N747</f>
        <v>0</v>
      </c>
      <c r="P747" s="1375">
        <f>(M747+O747)*0.15</f>
        <v>0</v>
      </c>
      <c r="Q747" s="1378">
        <f t="shared" ref="Q747" si="1004">M747+O747+P747</f>
        <v>0</v>
      </c>
      <c r="R747" s="1375">
        <f>Q747*$R$1</f>
        <v>0</v>
      </c>
      <c r="S747" s="1375">
        <f>(Q747+R747)*$S$1</f>
        <v>0</v>
      </c>
      <c r="T747" s="1375">
        <f>Q747+R747+S747</f>
        <v>0</v>
      </c>
      <c r="U747" s="2028">
        <f t="shared" ref="U747" si="1005">IF(T747&gt;0,1,0)</f>
        <v>0</v>
      </c>
      <c r="V747" s="1357"/>
      <c r="W747" s="1357"/>
      <c r="X747" s="1357"/>
      <c r="Y747" s="1357"/>
      <c r="AD747" s="2141">
        <f t="shared" si="868"/>
        <v>1.5</v>
      </c>
      <c r="AE747" s="2142" t="str">
        <f t="shared" si="965"/>
        <v/>
      </c>
      <c r="AG747" s="2118" t="s">
        <v>1816</v>
      </c>
    </row>
    <row r="748" spans="1:33" ht="14.25" hidden="1" outlineLevel="2" x14ac:dyDescent="0.2">
      <c r="A748" s="1360">
        <f t="shared" si="994"/>
        <v>302</v>
      </c>
      <c r="B748" s="2059" t="s">
        <v>1712</v>
      </c>
      <c r="C748" s="585"/>
      <c r="D748" s="1390">
        <v>2</v>
      </c>
      <c r="E748" s="586" t="s">
        <v>465</v>
      </c>
      <c r="F748" s="2024" t="s">
        <v>303</v>
      </c>
      <c r="G748" s="1355">
        <v>10.308999999999999</v>
      </c>
      <c r="H748" s="1373"/>
      <c r="I748" s="1359">
        <f t="shared" si="985"/>
        <v>0</v>
      </c>
      <c r="J748" s="1374" t="str">
        <f>CONCATENATE(TRUNC(I748,0),":",INT((I748-(TRUNC(I748,0)))*60),":","00")</f>
        <v>0:0:00</v>
      </c>
      <c r="K748" s="500">
        <v>1000</v>
      </c>
      <c r="L748" s="2009">
        <v>652.05999999999995</v>
      </c>
      <c r="M748" s="1375">
        <f>H748*L748/K748</f>
        <v>0</v>
      </c>
      <c r="N748" s="1376">
        <v>1</v>
      </c>
      <c r="O748" s="1377">
        <f>M748*N748</f>
        <v>0</v>
      </c>
      <c r="P748" s="1375">
        <f>(M748+O748)*0.15</f>
        <v>0</v>
      </c>
      <c r="Q748" s="1378">
        <f t="shared" si="990"/>
        <v>0</v>
      </c>
      <c r="R748" s="1375">
        <f>Q748*$R$1</f>
        <v>0</v>
      </c>
      <c r="S748" s="1375">
        <f>(Q748+R748)*$S$1</f>
        <v>0</v>
      </c>
      <c r="T748" s="1375">
        <f>Q748+R748+S748</f>
        <v>0</v>
      </c>
      <c r="U748" s="2028">
        <f t="shared" si="964"/>
        <v>0</v>
      </c>
      <c r="V748" s="1357"/>
      <c r="W748" s="1357"/>
      <c r="X748" s="1357"/>
      <c r="Y748" s="1357"/>
      <c r="AD748" s="2141">
        <f t="shared" si="868"/>
        <v>1.5</v>
      </c>
      <c r="AE748" s="2142" t="str">
        <f t="shared" si="965"/>
        <v/>
      </c>
      <c r="AG748" s="2118" t="s">
        <v>1816</v>
      </c>
    </row>
    <row r="749" spans="1:33" ht="14.25" hidden="1" outlineLevel="1" x14ac:dyDescent="0.2">
      <c r="A749" s="1360"/>
      <c r="B749" s="2060" t="s">
        <v>1713</v>
      </c>
      <c r="C749" s="522"/>
      <c r="D749" s="2152"/>
      <c r="E749" s="523" t="s">
        <v>218</v>
      </c>
      <c r="F749" s="2164"/>
      <c r="G749" s="2178"/>
      <c r="H749" s="1367"/>
      <c r="I749" s="2043">
        <f>SUM(I750:I754)</f>
        <v>0</v>
      </c>
      <c r="J749" s="524"/>
      <c r="K749" s="524"/>
      <c r="L749" s="526"/>
      <c r="M749" s="1368"/>
      <c r="N749" s="524"/>
      <c r="O749" s="1369"/>
      <c r="P749" s="1368"/>
      <c r="Q749" s="1370"/>
      <c r="R749" s="1368"/>
      <c r="S749" s="1371">
        <f>SUM(T750:T754)</f>
        <v>0</v>
      </c>
      <c r="T749" s="1370"/>
      <c r="U749" s="2028">
        <f t="shared" ref="U749:U754" si="1006">IF(T749&gt;0,1,0)</f>
        <v>0</v>
      </c>
      <c r="V749" s="1357"/>
      <c r="W749" s="1357"/>
      <c r="X749" s="1357"/>
      <c r="Y749" s="1357"/>
      <c r="AD749" s="2141" t="str">
        <f t="shared" si="868"/>
        <v/>
      </c>
      <c r="AE749" s="2142" t="str">
        <f t="shared" si="965"/>
        <v/>
      </c>
      <c r="AG749" s="2118" t="s">
        <v>1816</v>
      </c>
    </row>
    <row r="750" spans="1:33" ht="28.5" hidden="1" customHeight="1" outlineLevel="2" x14ac:dyDescent="0.2">
      <c r="A750" s="1360">
        <f>A748+1</f>
        <v>303</v>
      </c>
      <c r="B750" s="1372" t="s">
        <v>1714</v>
      </c>
      <c r="C750" s="532" t="s">
        <v>479</v>
      </c>
      <c r="D750" s="1358">
        <v>2</v>
      </c>
      <c r="E750" s="499" t="s">
        <v>465</v>
      </c>
      <c r="F750" s="2024" t="s">
        <v>303</v>
      </c>
      <c r="G750" s="1392">
        <v>9.26</v>
      </c>
      <c r="H750" s="1373"/>
      <c r="I750" s="1359">
        <f t="shared" ref="I750:I754" si="1007">IF(G750=0,0,IF(H750&gt;0,IF((G750*H750/K750)&lt;0.084,0.084,(G750*H750/K750)),0))</f>
        <v>0</v>
      </c>
      <c r="J750" s="1374" t="str">
        <f t="shared" ref="J750:J754" si="1008">CONCATENATE(TRUNC(I750,0),":",INT((I750-(TRUNC(I750,0)))*60),":","00")</f>
        <v>0:0:00</v>
      </c>
      <c r="K750" s="500">
        <v>1000</v>
      </c>
      <c r="L750" s="2009">
        <v>585.65</v>
      </c>
      <c r="M750" s="1375">
        <f t="shared" ref="M750:M754" si="1009">H750*L750/K750</f>
        <v>0</v>
      </c>
      <c r="N750" s="1376">
        <v>1</v>
      </c>
      <c r="O750" s="1377">
        <f t="shared" ref="O750:O754" si="1010">M750*N750</f>
        <v>0</v>
      </c>
      <c r="P750" s="1375">
        <f t="shared" ref="P750:P754" si="1011">(M750+O750)*0.15</f>
        <v>0</v>
      </c>
      <c r="Q750" s="1378">
        <f t="shared" ref="Q750:Q754" si="1012">M750+O750+P750</f>
        <v>0</v>
      </c>
      <c r="R750" s="1375">
        <f t="shared" ref="R750:R754" si="1013">Q750*$R$1</f>
        <v>0</v>
      </c>
      <c r="S750" s="1375">
        <f t="shared" ref="S750:S754" si="1014">(Q750+R750)*$S$1</f>
        <v>0</v>
      </c>
      <c r="T750" s="1375">
        <f t="shared" ref="T750:T754" si="1015">Q750+R750+S750</f>
        <v>0</v>
      </c>
      <c r="U750" s="2028">
        <f t="shared" si="1006"/>
        <v>0</v>
      </c>
      <c r="V750" s="1357"/>
      <c r="W750" s="1357"/>
      <c r="X750" s="1357"/>
      <c r="Y750" s="1357"/>
      <c r="AD750" s="2141">
        <f t="shared" si="868"/>
        <v>1.5</v>
      </c>
      <c r="AE750" s="2142" t="str">
        <f t="shared" si="965"/>
        <v/>
      </c>
      <c r="AG750" s="2118" t="s">
        <v>1816</v>
      </c>
    </row>
    <row r="751" spans="1:33" ht="28.5" hidden="1" outlineLevel="2" x14ac:dyDescent="0.2">
      <c r="A751" s="1360">
        <f>A750+1</f>
        <v>304</v>
      </c>
      <c r="B751" s="1372" t="s">
        <v>1715</v>
      </c>
      <c r="C751" s="532" t="s">
        <v>1716</v>
      </c>
      <c r="D751" s="1358">
        <v>2</v>
      </c>
      <c r="E751" s="499" t="s">
        <v>465</v>
      </c>
      <c r="F751" s="2024" t="s">
        <v>303</v>
      </c>
      <c r="G751" s="1392">
        <v>10.638</v>
      </c>
      <c r="H751" s="1373"/>
      <c r="I751" s="1359">
        <f t="shared" si="1007"/>
        <v>0</v>
      </c>
      <c r="J751" s="1374" t="str">
        <f t="shared" si="1008"/>
        <v>0:0:00</v>
      </c>
      <c r="K751" s="500">
        <v>1000</v>
      </c>
      <c r="L751" s="2009">
        <v>672.87</v>
      </c>
      <c r="M751" s="1375">
        <f t="shared" si="1009"/>
        <v>0</v>
      </c>
      <c r="N751" s="1376">
        <v>1</v>
      </c>
      <c r="O751" s="1377">
        <f t="shared" si="1010"/>
        <v>0</v>
      </c>
      <c r="P751" s="1375">
        <f t="shared" si="1011"/>
        <v>0</v>
      </c>
      <c r="Q751" s="1378">
        <f t="shared" si="1012"/>
        <v>0</v>
      </c>
      <c r="R751" s="1375">
        <f t="shared" si="1013"/>
        <v>0</v>
      </c>
      <c r="S751" s="1375">
        <f t="shared" si="1014"/>
        <v>0</v>
      </c>
      <c r="T751" s="1375">
        <f t="shared" si="1015"/>
        <v>0</v>
      </c>
      <c r="U751" s="2028">
        <f t="shared" si="1006"/>
        <v>0</v>
      </c>
      <c r="V751" s="1357"/>
      <c r="W751" s="1357"/>
      <c r="X751" s="1357"/>
      <c r="Y751" s="1357"/>
      <c r="AD751" s="2141">
        <f t="shared" si="868"/>
        <v>1.5</v>
      </c>
      <c r="AE751" s="2142" t="str">
        <f t="shared" si="965"/>
        <v/>
      </c>
      <c r="AG751" s="2118" t="s">
        <v>1816</v>
      </c>
    </row>
    <row r="752" spans="1:33" ht="28.5" hidden="1" outlineLevel="2" x14ac:dyDescent="0.2">
      <c r="A752" s="1360">
        <f t="shared" ref="A752:A754" si="1016">A751+1</f>
        <v>305</v>
      </c>
      <c r="B752" s="1372" t="s">
        <v>1717</v>
      </c>
      <c r="C752" s="532" t="s">
        <v>1718</v>
      </c>
      <c r="D752" s="1358">
        <v>2</v>
      </c>
      <c r="E752" s="499" t="s">
        <v>465</v>
      </c>
      <c r="F752" s="2024" t="s">
        <v>303</v>
      </c>
      <c r="G752" s="1392">
        <v>12.195</v>
      </c>
      <c r="H752" s="1373"/>
      <c r="I752" s="1359">
        <f t="shared" si="1007"/>
        <v>0</v>
      </c>
      <c r="J752" s="1374" t="str">
        <f t="shared" si="1008"/>
        <v>0:0:00</v>
      </c>
      <c r="K752" s="500">
        <v>1000</v>
      </c>
      <c r="L752" s="2009">
        <v>771.34</v>
      </c>
      <c r="M752" s="1375">
        <f t="shared" si="1009"/>
        <v>0</v>
      </c>
      <c r="N752" s="1376">
        <v>1</v>
      </c>
      <c r="O752" s="1377">
        <f t="shared" si="1010"/>
        <v>0</v>
      </c>
      <c r="P752" s="1375">
        <f t="shared" si="1011"/>
        <v>0</v>
      </c>
      <c r="Q752" s="1378">
        <f t="shared" si="1012"/>
        <v>0</v>
      </c>
      <c r="R752" s="1375">
        <f t="shared" si="1013"/>
        <v>0</v>
      </c>
      <c r="S752" s="1375">
        <f t="shared" si="1014"/>
        <v>0</v>
      </c>
      <c r="T752" s="1375">
        <f t="shared" si="1015"/>
        <v>0</v>
      </c>
      <c r="U752" s="2028">
        <f t="shared" si="1006"/>
        <v>0</v>
      </c>
      <c r="V752" s="1357"/>
      <c r="W752" s="1357"/>
      <c r="X752" s="1357"/>
      <c r="Y752" s="1357"/>
      <c r="AD752" s="2141">
        <f t="shared" si="868"/>
        <v>1.5</v>
      </c>
      <c r="AE752" s="2142" t="str">
        <f t="shared" si="965"/>
        <v/>
      </c>
      <c r="AG752" s="2118" t="s">
        <v>1816</v>
      </c>
    </row>
    <row r="753" spans="1:33" ht="28.5" hidden="1" outlineLevel="2" x14ac:dyDescent="0.2">
      <c r="A753" s="1360">
        <f t="shared" si="1016"/>
        <v>306</v>
      </c>
      <c r="B753" s="1372" t="s">
        <v>1719</v>
      </c>
      <c r="C753" s="532" t="s">
        <v>1720</v>
      </c>
      <c r="D753" s="1358">
        <v>2</v>
      </c>
      <c r="E753" s="499" t="s">
        <v>465</v>
      </c>
      <c r="F753" s="2024" t="s">
        <v>303</v>
      </c>
      <c r="G753" s="1355">
        <v>14.085000000000001</v>
      </c>
      <c r="H753" s="1373"/>
      <c r="I753" s="1359">
        <f t="shared" si="1007"/>
        <v>0</v>
      </c>
      <c r="J753" s="1374" t="str">
        <f t="shared" si="1008"/>
        <v>0:0:00</v>
      </c>
      <c r="K753" s="500">
        <v>1000</v>
      </c>
      <c r="L753" s="2009">
        <v>890.85</v>
      </c>
      <c r="M753" s="1375">
        <f t="shared" si="1009"/>
        <v>0</v>
      </c>
      <c r="N753" s="1376">
        <v>1</v>
      </c>
      <c r="O753" s="1377">
        <f t="shared" si="1010"/>
        <v>0</v>
      </c>
      <c r="P753" s="1375">
        <f t="shared" si="1011"/>
        <v>0</v>
      </c>
      <c r="Q753" s="1378">
        <f t="shared" si="1012"/>
        <v>0</v>
      </c>
      <c r="R753" s="1375">
        <f t="shared" si="1013"/>
        <v>0</v>
      </c>
      <c r="S753" s="1375">
        <f t="shared" si="1014"/>
        <v>0</v>
      </c>
      <c r="T753" s="1375">
        <f t="shared" si="1015"/>
        <v>0</v>
      </c>
      <c r="U753" s="2028">
        <f t="shared" si="1006"/>
        <v>0</v>
      </c>
      <c r="V753" s="1357"/>
      <c r="W753" s="1357"/>
      <c r="X753" s="1357"/>
      <c r="Y753" s="1357"/>
      <c r="AD753" s="2141">
        <f t="shared" si="868"/>
        <v>1.5</v>
      </c>
      <c r="AE753" s="2142" t="str">
        <f t="shared" si="965"/>
        <v/>
      </c>
      <c r="AG753" s="2118" t="s">
        <v>1816</v>
      </c>
    </row>
    <row r="754" spans="1:33" ht="28.5" hidden="1" outlineLevel="2" x14ac:dyDescent="0.2">
      <c r="A754" s="1360">
        <f t="shared" si="1016"/>
        <v>307</v>
      </c>
      <c r="B754" s="1372" t="s">
        <v>1721</v>
      </c>
      <c r="C754" s="532" t="s">
        <v>1722</v>
      </c>
      <c r="D754" s="1358">
        <v>2</v>
      </c>
      <c r="E754" s="499" t="s">
        <v>465</v>
      </c>
      <c r="F754" s="2024" t="s">
        <v>303</v>
      </c>
      <c r="G754" s="1355">
        <v>16.129000000000001</v>
      </c>
      <c r="H754" s="1373"/>
      <c r="I754" s="1359">
        <f t="shared" si="1007"/>
        <v>0</v>
      </c>
      <c r="J754" s="1374" t="str">
        <f t="shared" si="1008"/>
        <v>0:0:00</v>
      </c>
      <c r="K754" s="500">
        <v>1000</v>
      </c>
      <c r="L754" s="2009">
        <v>1020.16</v>
      </c>
      <c r="M754" s="1375">
        <f t="shared" si="1009"/>
        <v>0</v>
      </c>
      <c r="N754" s="1376">
        <v>1</v>
      </c>
      <c r="O754" s="1377">
        <f t="shared" si="1010"/>
        <v>0</v>
      </c>
      <c r="P754" s="1375">
        <f t="shared" si="1011"/>
        <v>0</v>
      </c>
      <c r="Q754" s="1378">
        <f t="shared" si="1012"/>
        <v>0</v>
      </c>
      <c r="R754" s="1375">
        <f t="shared" si="1013"/>
        <v>0</v>
      </c>
      <c r="S754" s="1375">
        <f t="shared" si="1014"/>
        <v>0</v>
      </c>
      <c r="T754" s="1375">
        <f t="shared" si="1015"/>
        <v>0</v>
      </c>
      <c r="U754" s="2028">
        <f t="shared" si="1006"/>
        <v>0</v>
      </c>
      <c r="V754" s="1357"/>
      <c r="W754" s="1357"/>
      <c r="X754" s="1357"/>
      <c r="Y754" s="1357"/>
      <c r="AD754" s="2141">
        <f t="shared" ref="AD754:AD817" si="1017">IF(D754&gt;0,LOOKUP(D754,$Z$30:$Z$33,$AA$30:$AA$33),"")</f>
        <v>1.5</v>
      </c>
      <c r="AE754" s="2142" t="str">
        <f t="shared" si="965"/>
        <v/>
      </c>
      <c r="AG754" s="2118" t="s">
        <v>1816</v>
      </c>
    </row>
    <row r="755" spans="1:33" ht="14.25" hidden="1" outlineLevel="1" x14ac:dyDescent="0.2">
      <c r="A755" s="1360"/>
      <c r="B755" s="2060" t="s">
        <v>1723</v>
      </c>
      <c r="C755" s="522"/>
      <c r="D755" s="2152"/>
      <c r="E755" s="523" t="s">
        <v>218</v>
      </c>
      <c r="F755" s="2164"/>
      <c r="G755" s="2178"/>
      <c r="H755" s="1367"/>
      <c r="I755" s="2043">
        <f>SUM(I756:I760)</f>
        <v>0</v>
      </c>
      <c r="J755" s="524"/>
      <c r="K755" s="524"/>
      <c r="L755" s="526"/>
      <c r="M755" s="1368"/>
      <c r="N755" s="524"/>
      <c r="O755" s="1369"/>
      <c r="P755" s="1368"/>
      <c r="Q755" s="1370"/>
      <c r="R755" s="1368"/>
      <c r="S755" s="1371">
        <f>SUM(T756:T760)</f>
        <v>0</v>
      </c>
      <c r="T755" s="1370"/>
      <c r="U755" s="2028">
        <f t="shared" ref="U755:U760" si="1018">IF(T755&gt;0,1,0)</f>
        <v>0</v>
      </c>
      <c r="V755" s="1357"/>
      <c r="W755" s="1357"/>
      <c r="X755" s="1357"/>
      <c r="Y755" s="1357"/>
      <c r="AD755" s="2141" t="str">
        <f t="shared" si="1017"/>
        <v/>
      </c>
      <c r="AE755" s="2142" t="str">
        <f t="shared" si="965"/>
        <v/>
      </c>
      <c r="AG755" s="2118" t="s">
        <v>1816</v>
      </c>
    </row>
    <row r="756" spans="1:33" ht="28.5" hidden="1" customHeight="1" outlineLevel="2" x14ac:dyDescent="0.2">
      <c r="A756" s="1360">
        <f>A754+1</f>
        <v>308</v>
      </c>
      <c r="B756" s="1372" t="s">
        <v>1724</v>
      </c>
      <c r="C756" s="532" t="s">
        <v>489</v>
      </c>
      <c r="D756" s="1358">
        <v>2</v>
      </c>
      <c r="E756" s="499" t="s">
        <v>465</v>
      </c>
      <c r="F756" s="2024" t="s">
        <v>303</v>
      </c>
      <c r="G756" s="1392">
        <v>7.6920000000000002</v>
      </c>
      <c r="H756" s="1373"/>
      <c r="I756" s="1359">
        <f t="shared" ref="I756:I760" si="1019">IF(G756=0,0,IF(H756&gt;0,IF((G756*H756/K756)&lt;0.084,0.084,(G756*H756/K756)),0))</f>
        <v>0</v>
      </c>
      <c r="J756" s="1374" t="str">
        <f t="shared" ref="J756:J760" si="1020">CONCATENATE(TRUNC(I756,0),":",INT((I756-(TRUNC(I756,0)))*60),":","00")</f>
        <v>0:0:00</v>
      </c>
      <c r="K756" s="500">
        <v>1000</v>
      </c>
      <c r="L756" s="2009">
        <v>486.54</v>
      </c>
      <c r="M756" s="1375">
        <f t="shared" ref="M756:M760" si="1021">H756*L756/K756</f>
        <v>0</v>
      </c>
      <c r="N756" s="1376">
        <v>1</v>
      </c>
      <c r="O756" s="1377">
        <f t="shared" ref="O756:O760" si="1022">M756*N756</f>
        <v>0</v>
      </c>
      <c r="P756" s="1375">
        <f t="shared" ref="P756:P760" si="1023">(M756+O756)*0.15</f>
        <v>0</v>
      </c>
      <c r="Q756" s="1378">
        <f t="shared" ref="Q756:Q760" si="1024">M756+O756+P756</f>
        <v>0</v>
      </c>
      <c r="R756" s="1375">
        <f t="shared" ref="R756:R760" si="1025">Q756*$R$1</f>
        <v>0</v>
      </c>
      <c r="S756" s="1375">
        <f t="shared" ref="S756:S760" si="1026">(Q756+R756)*$S$1</f>
        <v>0</v>
      </c>
      <c r="T756" s="1375">
        <f t="shared" ref="T756:T760" si="1027">Q756+R756+S756</f>
        <v>0</v>
      </c>
      <c r="U756" s="2028">
        <f t="shared" si="1018"/>
        <v>0</v>
      </c>
      <c r="V756" s="1357"/>
      <c r="W756" s="1357"/>
      <c r="X756" s="1357"/>
      <c r="Y756" s="1357"/>
      <c r="AD756" s="2141">
        <f t="shared" si="1017"/>
        <v>1.5</v>
      </c>
      <c r="AE756" s="2142" t="str">
        <f t="shared" si="965"/>
        <v/>
      </c>
      <c r="AG756" s="2118" t="s">
        <v>1816</v>
      </c>
    </row>
    <row r="757" spans="1:33" ht="28.5" hidden="1" outlineLevel="2" x14ac:dyDescent="0.2">
      <c r="A757" s="1360">
        <f>A756+1</f>
        <v>309</v>
      </c>
      <c r="B757" s="1372" t="s">
        <v>1725</v>
      </c>
      <c r="C757" s="532" t="s">
        <v>1726</v>
      </c>
      <c r="D757" s="1358">
        <v>2</v>
      </c>
      <c r="E757" s="499" t="s">
        <v>465</v>
      </c>
      <c r="F757" s="2024" t="s">
        <v>303</v>
      </c>
      <c r="G757" s="1392">
        <v>8.8490000000000002</v>
      </c>
      <c r="H757" s="1373"/>
      <c r="I757" s="1359">
        <f t="shared" si="1019"/>
        <v>0</v>
      </c>
      <c r="J757" s="1374" t="str">
        <f t="shared" si="1020"/>
        <v>0:0:00</v>
      </c>
      <c r="K757" s="500">
        <v>1000</v>
      </c>
      <c r="L757" s="2009">
        <v>559.73</v>
      </c>
      <c r="M757" s="1375">
        <f t="shared" si="1021"/>
        <v>0</v>
      </c>
      <c r="N757" s="1376">
        <v>1</v>
      </c>
      <c r="O757" s="1377">
        <f t="shared" si="1022"/>
        <v>0</v>
      </c>
      <c r="P757" s="1375">
        <f t="shared" si="1023"/>
        <v>0</v>
      </c>
      <c r="Q757" s="1378">
        <f t="shared" si="1024"/>
        <v>0</v>
      </c>
      <c r="R757" s="1375">
        <f t="shared" si="1025"/>
        <v>0</v>
      </c>
      <c r="S757" s="1375">
        <f t="shared" si="1026"/>
        <v>0</v>
      </c>
      <c r="T757" s="1375">
        <f t="shared" si="1027"/>
        <v>0</v>
      </c>
      <c r="U757" s="2028">
        <f t="shared" si="1018"/>
        <v>0</v>
      </c>
      <c r="V757" s="1357"/>
      <c r="W757" s="1357"/>
      <c r="X757" s="1357"/>
      <c r="Y757" s="1357"/>
      <c r="AD757" s="2141">
        <f t="shared" si="1017"/>
        <v>1.5</v>
      </c>
      <c r="AE757" s="2142" t="str">
        <f t="shared" si="965"/>
        <v/>
      </c>
      <c r="AG757" s="2118" t="s">
        <v>1816</v>
      </c>
    </row>
    <row r="758" spans="1:33" ht="28.5" hidden="1" outlineLevel="2" x14ac:dyDescent="0.2">
      <c r="A758" s="1360">
        <f t="shared" ref="A758:A760" si="1028">A757+1</f>
        <v>310</v>
      </c>
      <c r="B758" s="1372" t="s">
        <v>1727</v>
      </c>
      <c r="C758" s="532" t="s">
        <v>1728</v>
      </c>
      <c r="D758" s="1358">
        <v>2</v>
      </c>
      <c r="E758" s="499" t="s">
        <v>465</v>
      </c>
      <c r="F758" s="2024" t="s">
        <v>303</v>
      </c>
      <c r="G758" s="1392">
        <v>10.101000000000001</v>
      </c>
      <c r="H758" s="1373"/>
      <c r="I758" s="1359">
        <f t="shared" si="1019"/>
        <v>0</v>
      </c>
      <c r="J758" s="1374" t="str">
        <f t="shared" si="1020"/>
        <v>0:0:00</v>
      </c>
      <c r="K758" s="500">
        <v>1000</v>
      </c>
      <c r="L758" s="2009">
        <v>638.89</v>
      </c>
      <c r="M758" s="1375">
        <f t="shared" si="1021"/>
        <v>0</v>
      </c>
      <c r="N758" s="1376">
        <v>1</v>
      </c>
      <c r="O758" s="1377">
        <f t="shared" si="1022"/>
        <v>0</v>
      </c>
      <c r="P758" s="1375">
        <f t="shared" si="1023"/>
        <v>0</v>
      </c>
      <c r="Q758" s="1378">
        <f t="shared" si="1024"/>
        <v>0</v>
      </c>
      <c r="R758" s="1375">
        <f t="shared" si="1025"/>
        <v>0</v>
      </c>
      <c r="S758" s="1375">
        <f t="shared" si="1026"/>
        <v>0</v>
      </c>
      <c r="T758" s="1375">
        <f t="shared" si="1027"/>
        <v>0</v>
      </c>
      <c r="U758" s="2028">
        <f t="shared" si="1018"/>
        <v>0</v>
      </c>
      <c r="V758" s="1357"/>
      <c r="W758" s="1357"/>
      <c r="X758" s="1357"/>
      <c r="Y758" s="1357"/>
      <c r="AD758" s="2141">
        <f t="shared" si="1017"/>
        <v>1.5</v>
      </c>
      <c r="AE758" s="2142" t="str">
        <f t="shared" si="965"/>
        <v/>
      </c>
      <c r="AG758" s="2118" t="s">
        <v>1816</v>
      </c>
    </row>
    <row r="759" spans="1:33" ht="28.5" hidden="1" outlineLevel="2" x14ac:dyDescent="0.2">
      <c r="A759" s="1360">
        <f t="shared" si="1028"/>
        <v>311</v>
      </c>
      <c r="B759" s="1372" t="s">
        <v>1729</v>
      </c>
      <c r="C759" s="532" t="s">
        <v>1730</v>
      </c>
      <c r="D759" s="1358">
        <v>2</v>
      </c>
      <c r="E759" s="499" t="s">
        <v>465</v>
      </c>
      <c r="F759" s="2024" t="s">
        <v>303</v>
      </c>
      <c r="G759" s="1392">
        <v>11.628</v>
      </c>
      <c r="H759" s="1373"/>
      <c r="I759" s="1359">
        <f t="shared" si="1019"/>
        <v>0</v>
      </c>
      <c r="J759" s="1374" t="str">
        <f t="shared" si="1020"/>
        <v>0:0:00</v>
      </c>
      <c r="K759" s="500">
        <v>1000</v>
      </c>
      <c r="L759" s="2009">
        <v>735.47</v>
      </c>
      <c r="M759" s="1375">
        <f t="shared" si="1021"/>
        <v>0</v>
      </c>
      <c r="N759" s="1376">
        <v>1</v>
      </c>
      <c r="O759" s="1377">
        <f t="shared" si="1022"/>
        <v>0</v>
      </c>
      <c r="P759" s="1375">
        <f t="shared" si="1023"/>
        <v>0</v>
      </c>
      <c r="Q759" s="1378">
        <f t="shared" si="1024"/>
        <v>0</v>
      </c>
      <c r="R759" s="1375">
        <f t="shared" si="1025"/>
        <v>0</v>
      </c>
      <c r="S759" s="1375">
        <f t="shared" si="1026"/>
        <v>0</v>
      </c>
      <c r="T759" s="1375">
        <f t="shared" si="1027"/>
        <v>0</v>
      </c>
      <c r="U759" s="2028">
        <f t="shared" si="1018"/>
        <v>0</v>
      </c>
      <c r="V759" s="1357"/>
      <c r="W759" s="1357"/>
      <c r="X759" s="1357"/>
      <c r="Y759" s="1357"/>
      <c r="AD759" s="2141">
        <f t="shared" si="1017"/>
        <v>1.5</v>
      </c>
      <c r="AE759" s="2142" t="str">
        <f t="shared" si="965"/>
        <v/>
      </c>
      <c r="AG759" s="2118" t="s">
        <v>1816</v>
      </c>
    </row>
    <row r="760" spans="1:33" ht="28.5" hidden="1" outlineLevel="2" x14ac:dyDescent="0.2">
      <c r="A760" s="1360">
        <f t="shared" si="1028"/>
        <v>312</v>
      </c>
      <c r="B760" s="1372" t="s">
        <v>1731</v>
      </c>
      <c r="C760" s="532" t="s">
        <v>1732</v>
      </c>
      <c r="D760" s="1358">
        <v>2</v>
      </c>
      <c r="E760" s="499" t="s">
        <v>465</v>
      </c>
      <c r="F760" s="2024" t="s">
        <v>303</v>
      </c>
      <c r="G760" s="1392">
        <v>13.513999999999999</v>
      </c>
      <c r="H760" s="1373"/>
      <c r="I760" s="1359">
        <f t="shared" si="1019"/>
        <v>0</v>
      </c>
      <c r="J760" s="1374" t="str">
        <f t="shared" si="1020"/>
        <v>0:0:00</v>
      </c>
      <c r="K760" s="500">
        <v>1000</v>
      </c>
      <c r="L760" s="2009">
        <v>854.73</v>
      </c>
      <c r="M760" s="1375">
        <f t="shared" si="1021"/>
        <v>0</v>
      </c>
      <c r="N760" s="1376">
        <v>1</v>
      </c>
      <c r="O760" s="1377">
        <f t="shared" si="1022"/>
        <v>0</v>
      </c>
      <c r="P760" s="1375">
        <f t="shared" si="1023"/>
        <v>0</v>
      </c>
      <c r="Q760" s="1378">
        <f t="shared" si="1024"/>
        <v>0</v>
      </c>
      <c r="R760" s="1375">
        <f t="shared" si="1025"/>
        <v>0</v>
      </c>
      <c r="S760" s="1375">
        <f t="shared" si="1026"/>
        <v>0</v>
      </c>
      <c r="T760" s="1375">
        <f t="shared" si="1027"/>
        <v>0</v>
      </c>
      <c r="U760" s="2028">
        <f t="shared" si="1018"/>
        <v>0</v>
      </c>
      <c r="V760" s="1357"/>
      <c r="W760" s="1357"/>
      <c r="X760" s="1357"/>
      <c r="Y760" s="1357"/>
      <c r="AD760" s="2141">
        <f t="shared" si="1017"/>
        <v>1.5</v>
      </c>
      <c r="AE760" s="2142" t="str">
        <f t="shared" si="965"/>
        <v/>
      </c>
      <c r="AG760" s="2118" t="s">
        <v>1816</v>
      </c>
    </row>
    <row r="761" spans="1:33" ht="14.25" hidden="1" outlineLevel="1" x14ac:dyDescent="0.2">
      <c r="A761" s="1360"/>
      <c r="B761" s="2060" t="s">
        <v>1802</v>
      </c>
      <c r="C761" s="522"/>
      <c r="D761" s="2152"/>
      <c r="E761" s="523" t="s">
        <v>218</v>
      </c>
      <c r="F761" s="2164"/>
      <c r="G761" s="2178"/>
      <c r="H761" s="1367"/>
      <c r="I761" s="2043">
        <f>SUM(I762:I766)</f>
        <v>0</v>
      </c>
      <c r="J761" s="524"/>
      <c r="K761" s="524"/>
      <c r="L761" s="526"/>
      <c r="M761" s="1368"/>
      <c r="N761" s="524"/>
      <c r="O761" s="1369"/>
      <c r="P761" s="1368"/>
      <c r="Q761" s="1370"/>
      <c r="R761" s="1368"/>
      <c r="S761" s="1371">
        <f>SUM(T762:T766)</f>
        <v>0</v>
      </c>
      <c r="T761" s="1370"/>
      <c r="U761" s="2028">
        <f t="shared" ref="U761:U778" si="1029">IF(T761&gt;0,1,0)</f>
        <v>0</v>
      </c>
      <c r="V761" s="1357"/>
      <c r="W761" s="1357"/>
      <c r="X761" s="1357"/>
      <c r="Y761" s="1357"/>
      <c r="AD761" s="2141" t="str">
        <f t="shared" si="1017"/>
        <v/>
      </c>
      <c r="AE761" s="2142" t="str">
        <f t="shared" si="965"/>
        <v/>
      </c>
      <c r="AG761" s="2118" t="s">
        <v>1816</v>
      </c>
    </row>
    <row r="762" spans="1:33" ht="28.5" hidden="1" customHeight="1" outlineLevel="2" x14ac:dyDescent="0.2">
      <c r="A762" s="1360">
        <f>A760+1</f>
        <v>313</v>
      </c>
      <c r="B762" s="1372" t="s">
        <v>1803</v>
      </c>
      <c r="C762" s="532" t="s">
        <v>479</v>
      </c>
      <c r="D762" s="1358">
        <v>2</v>
      </c>
      <c r="E762" s="499" t="s">
        <v>465</v>
      </c>
      <c r="F762" s="2024" t="s">
        <v>303</v>
      </c>
      <c r="G762" s="1392">
        <v>11.573</v>
      </c>
      <c r="H762" s="1373"/>
      <c r="I762" s="1359">
        <f t="shared" ref="I762:I766" si="1030">IF(G762=0,0,IF(H762&gt;0,IF((G762*H762/K762)&lt;0.084,0.084,(G762*H762/K762)),0))</f>
        <v>0</v>
      </c>
      <c r="J762" s="1374" t="str">
        <f t="shared" ref="J762:J766" si="1031">CONCATENATE(TRUNC(I762,0),":",INT((I762-(TRUNC(I762,0)))*60),":","00")</f>
        <v>0:0:00</v>
      </c>
      <c r="K762" s="500">
        <v>1000</v>
      </c>
      <c r="L762" s="2009">
        <v>735.47</v>
      </c>
      <c r="M762" s="1375">
        <f t="shared" ref="M762:M766" si="1032">H762*L762/K762</f>
        <v>0</v>
      </c>
      <c r="N762" s="1376">
        <v>1</v>
      </c>
      <c r="O762" s="1377">
        <f t="shared" ref="O762:O766" si="1033">M762*N762</f>
        <v>0</v>
      </c>
      <c r="P762" s="1375">
        <f t="shared" ref="P762:P766" si="1034">(M762+O762)*0.15</f>
        <v>0</v>
      </c>
      <c r="Q762" s="1378">
        <f t="shared" ref="Q762:Q766" si="1035">M762+O762+P762</f>
        <v>0</v>
      </c>
      <c r="R762" s="1375">
        <f t="shared" ref="R762:R766" si="1036">Q762*$R$1</f>
        <v>0</v>
      </c>
      <c r="S762" s="1375">
        <f t="shared" ref="S762:S766" si="1037">(Q762+R762)*$S$1</f>
        <v>0</v>
      </c>
      <c r="T762" s="1375">
        <f t="shared" ref="T762:T766" si="1038">Q762+R762+S762</f>
        <v>0</v>
      </c>
      <c r="U762" s="2028">
        <f t="shared" si="1029"/>
        <v>0</v>
      </c>
      <c r="V762" s="1357"/>
      <c r="W762" s="1357"/>
      <c r="X762" s="1357"/>
      <c r="Y762" s="1357"/>
      <c r="AD762" s="2141">
        <f t="shared" si="1017"/>
        <v>1.5</v>
      </c>
      <c r="AE762" s="2142" t="str">
        <f t="shared" si="965"/>
        <v/>
      </c>
      <c r="AG762" s="2118" t="s">
        <v>1816</v>
      </c>
    </row>
    <row r="763" spans="1:33" ht="28.5" hidden="1" outlineLevel="2" x14ac:dyDescent="0.2">
      <c r="A763" s="1360">
        <f>A762+1</f>
        <v>314</v>
      </c>
      <c r="B763" s="1372" t="s">
        <v>1804</v>
      </c>
      <c r="C763" s="532" t="s">
        <v>1716</v>
      </c>
      <c r="D763" s="1358">
        <v>2</v>
      </c>
      <c r="E763" s="499" t="s">
        <v>465</v>
      </c>
      <c r="F763" s="2024" t="s">
        <v>303</v>
      </c>
      <c r="G763" s="1392">
        <v>13.297000000000001</v>
      </c>
      <c r="H763" s="1373"/>
      <c r="I763" s="1359">
        <f t="shared" si="1030"/>
        <v>0</v>
      </c>
      <c r="J763" s="1374" t="str">
        <f t="shared" si="1031"/>
        <v>0:0:00</v>
      </c>
      <c r="K763" s="500">
        <v>1000</v>
      </c>
      <c r="L763" s="2009">
        <v>843.33</v>
      </c>
      <c r="M763" s="1375">
        <f t="shared" si="1032"/>
        <v>0</v>
      </c>
      <c r="N763" s="1376">
        <v>1</v>
      </c>
      <c r="O763" s="1377">
        <f t="shared" si="1033"/>
        <v>0</v>
      </c>
      <c r="P763" s="1375">
        <f t="shared" si="1034"/>
        <v>0</v>
      </c>
      <c r="Q763" s="1378">
        <f t="shared" si="1035"/>
        <v>0</v>
      </c>
      <c r="R763" s="1375">
        <f t="shared" si="1036"/>
        <v>0</v>
      </c>
      <c r="S763" s="1375">
        <f t="shared" si="1037"/>
        <v>0</v>
      </c>
      <c r="T763" s="1375">
        <f t="shared" si="1038"/>
        <v>0</v>
      </c>
      <c r="U763" s="2028">
        <f t="shared" si="1029"/>
        <v>0</v>
      </c>
      <c r="V763" s="1357"/>
      <c r="W763" s="1357"/>
      <c r="X763" s="1357"/>
      <c r="Y763" s="1357"/>
      <c r="AD763" s="2141">
        <f t="shared" si="1017"/>
        <v>1.5</v>
      </c>
      <c r="AE763" s="2142" t="str">
        <f t="shared" si="965"/>
        <v/>
      </c>
      <c r="AG763" s="2118" t="s">
        <v>1816</v>
      </c>
    </row>
    <row r="764" spans="1:33" ht="28.5" hidden="1" outlineLevel="2" x14ac:dyDescent="0.2">
      <c r="A764" s="1360">
        <f t="shared" ref="A764:A766" si="1039">A763+1</f>
        <v>315</v>
      </c>
      <c r="B764" s="1372" t="s">
        <v>1805</v>
      </c>
      <c r="C764" s="532" t="s">
        <v>1718</v>
      </c>
      <c r="D764" s="1358">
        <v>2</v>
      </c>
      <c r="E764" s="499" t="s">
        <v>465</v>
      </c>
      <c r="F764" s="2024" t="s">
        <v>303</v>
      </c>
      <c r="G764" s="1392">
        <v>15.243</v>
      </c>
      <c r="H764" s="1373"/>
      <c r="I764" s="1359">
        <f t="shared" si="1030"/>
        <v>0</v>
      </c>
      <c r="J764" s="1374" t="str">
        <f t="shared" si="1031"/>
        <v>0:0:00</v>
      </c>
      <c r="K764" s="500">
        <v>1000</v>
      </c>
      <c r="L764" s="2009">
        <v>958.33</v>
      </c>
      <c r="M764" s="1375">
        <f t="shared" si="1032"/>
        <v>0</v>
      </c>
      <c r="N764" s="1376">
        <v>1</v>
      </c>
      <c r="O764" s="1377">
        <f t="shared" si="1033"/>
        <v>0</v>
      </c>
      <c r="P764" s="1375">
        <f t="shared" si="1034"/>
        <v>0</v>
      </c>
      <c r="Q764" s="1378">
        <f t="shared" si="1035"/>
        <v>0</v>
      </c>
      <c r="R764" s="1375">
        <f t="shared" si="1036"/>
        <v>0</v>
      </c>
      <c r="S764" s="1375">
        <f t="shared" si="1037"/>
        <v>0</v>
      </c>
      <c r="T764" s="1375">
        <f t="shared" si="1038"/>
        <v>0</v>
      </c>
      <c r="U764" s="2028">
        <f t="shared" si="1029"/>
        <v>0</v>
      </c>
      <c r="V764" s="1357"/>
      <c r="W764" s="1357"/>
      <c r="X764" s="1357"/>
      <c r="Y764" s="1357"/>
      <c r="AD764" s="2141">
        <f t="shared" si="1017"/>
        <v>1.5</v>
      </c>
      <c r="AE764" s="2142" t="str">
        <f t="shared" si="965"/>
        <v/>
      </c>
      <c r="AG764" s="2118" t="s">
        <v>1816</v>
      </c>
    </row>
    <row r="765" spans="1:33" ht="28.5" hidden="1" outlineLevel="2" x14ac:dyDescent="0.2">
      <c r="A765" s="1360">
        <f t="shared" si="1039"/>
        <v>316</v>
      </c>
      <c r="B765" s="1372" t="s">
        <v>1806</v>
      </c>
      <c r="C765" s="532" t="s">
        <v>1720</v>
      </c>
      <c r="D765" s="1358">
        <v>2</v>
      </c>
      <c r="E765" s="499" t="s">
        <v>465</v>
      </c>
      <c r="F765" s="2024" t="s">
        <v>303</v>
      </c>
      <c r="G765" s="1392">
        <v>17.606000000000002</v>
      </c>
      <c r="H765" s="1373"/>
      <c r="I765" s="1359">
        <f t="shared" si="1030"/>
        <v>0</v>
      </c>
      <c r="J765" s="1374" t="str">
        <f t="shared" si="1031"/>
        <v>0:0:00</v>
      </c>
      <c r="K765" s="500">
        <v>1000</v>
      </c>
      <c r="L765" s="2009">
        <v>1109.6500000000001</v>
      </c>
      <c r="M765" s="1375">
        <f t="shared" si="1032"/>
        <v>0</v>
      </c>
      <c r="N765" s="1376">
        <v>1</v>
      </c>
      <c r="O765" s="1377">
        <f t="shared" si="1033"/>
        <v>0</v>
      </c>
      <c r="P765" s="1375">
        <f t="shared" si="1034"/>
        <v>0</v>
      </c>
      <c r="Q765" s="1378">
        <f t="shared" si="1035"/>
        <v>0</v>
      </c>
      <c r="R765" s="1375">
        <f t="shared" si="1036"/>
        <v>0</v>
      </c>
      <c r="S765" s="1375">
        <f t="shared" si="1037"/>
        <v>0</v>
      </c>
      <c r="T765" s="1375">
        <f t="shared" si="1038"/>
        <v>0</v>
      </c>
      <c r="U765" s="2028">
        <f t="shared" si="1029"/>
        <v>0</v>
      </c>
      <c r="V765" s="1357"/>
      <c r="W765" s="1357"/>
      <c r="X765" s="1357"/>
      <c r="Y765" s="1357"/>
      <c r="AD765" s="2141">
        <f t="shared" si="1017"/>
        <v>1.5</v>
      </c>
      <c r="AE765" s="2142" t="str">
        <f t="shared" si="965"/>
        <v/>
      </c>
      <c r="AG765" s="2118" t="s">
        <v>1816</v>
      </c>
    </row>
    <row r="766" spans="1:33" ht="28.5" hidden="1" outlineLevel="2" x14ac:dyDescent="0.2">
      <c r="A766" s="1360">
        <f t="shared" si="1039"/>
        <v>317</v>
      </c>
      <c r="B766" s="1372" t="s">
        <v>1807</v>
      </c>
      <c r="C766" s="532" t="s">
        <v>1722</v>
      </c>
      <c r="D766" s="1358">
        <v>2</v>
      </c>
      <c r="E766" s="499" t="s">
        <v>465</v>
      </c>
      <c r="F766" s="2024" t="s">
        <v>303</v>
      </c>
      <c r="G766" s="1392">
        <v>20.161000000000001</v>
      </c>
      <c r="H766" s="1373"/>
      <c r="I766" s="1359">
        <f t="shared" si="1030"/>
        <v>0</v>
      </c>
      <c r="J766" s="1374" t="str">
        <f t="shared" si="1031"/>
        <v>0:0:00</v>
      </c>
      <c r="K766" s="500">
        <v>1000</v>
      </c>
      <c r="L766" s="2009">
        <v>1265</v>
      </c>
      <c r="M766" s="1375">
        <f t="shared" si="1032"/>
        <v>0</v>
      </c>
      <c r="N766" s="1376">
        <v>1</v>
      </c>
      <c r="O766" s="1377">
        <f t="shared" si="1033"/>
        <v>0</v>
      </c>
      <c r="P766" s="1375">
        <f t="shared" si="1034"/>
        <v>0</v>
      </c>
      <c r="Q766" s="1378">
        <f t="shared" si="1035"/>
        <v>0</v>
      </c>
      <c r="R766" s="1375">
        <f t="shared" si="1036"/>
        <v>0</v>
      </c>
      <c r="S766" s="1375">
        <f t="shared" si="1037"/>
        <v>0</v>
      </c>
      <c r="T766" s="1375">
        <f t="shared" si="1038"/>
        <v>0</v>
      </c>
      <c r="U766" s="2028">
        <f t="shared" si="1029"/>
        <v>0</v>
      </c>
      <c r="V766" s="1357"/>
      <c r="W766" s="1357"/>
      <c r="X766" s="1357"/>
      <c r="Y766" s="1357"/>
      <c r="AD766" s="2141">
        <f t="shared" si="1017"/>
        <v>1.5</v>
      </c>
      <c r="AE766" s="2142" t="str">
        <f t="shared" si="965"/>
        <v/>
      </c>
      <c r="AG766" s="2118" t="s">
        <v>1816</v>
      </c>
    </row>
    <row r="767" spans="1:33" ht="14.25" hidden="1" outlineLevel="1" x14ac:dyDescent="0.2">
      <c r="A767" s="1360"/>
      <c r="B767" s="2060" t="s">
        <v>1808</v>
      </c>
      <c r="C767" s="522"/>
      <c r="D767" s="2152"/>
      <c r="E767" s="523" t="s">
        <v>218</v>
      </c>
      <c r="F767" s="2164"/>
      <c r="G767" s="2178"/>
      <c r="H767" s="1367"/>
      <c r="I767" s="2043">
        <f>SUM(I768:I772)</f>
        <v>0</v>
      </c>
      <c r="J767" s="524"/>
      <c r="K767" s="524"/>
      <c r="L767" s="526"/>
      <c r="M767" s="1368"/>
      <c r="N767" s="524"/>
      <c r="O767" s="1369"/>
      <c r="P767" s="1368"/>
      <c r="Q767" s="1370"/>
      <c r="R767" s="1368"/>
      <c r="S767" s="1371">
        <f>SUM(T768:T772)</f>
        <v>0</v>
      </c>
      <c r="T767" s="1370"/>
      <c r="U767" s="2028">
        <f t="shared" si="1029"/>
        <v>0</v>
      </c>
      <c r="V767" s="1357"/>
      <c r="W767" s="1357"/>
      <c r="X767" s="1357"/>
      <c r="Y767" s="1357"/>
      <c r="AD767" s="2141" t="str">
        <f t="shared" si="1017"/>
        <v/>
      </c>
      <c r="AE767" s="2142" t="str">
        <f t="shared" si="965"/>
        <v/>
      </c>
      <c r="AG767" s="2118" t="s">
        <v>1816</v>
      </c>
    </row>
    <row r="768" spans="1:33" ht="28.5" hidden="1" customHeight="1" outlineLevel="2" x14ac:dyDescent="0.2">
      <c r="A768" s="1360">
        <f>A766+1</f>
        <v>318</v>
      </c>
      <c r="B768" s="1372" t="s">
        <v>1809</v>
      </c>
      <c r="C768" s="532" t="s">
        <v>489</v>
      </c>
      <c r="D768" s="1358">
        <v>2</v>
      </c>
      <c r="E768" s="499" t="s">
        <v>465</v>
      </c>
      <c r="F768" s="2024" t="s">
        <v>303</v>
      </c>
      <c r="G768" s="1392">
        <v>9.6150000000000002</v>
      </c>
      <c r="H768" s="1373"/>
      <c r="I768" s="1359">
        <f t="shared" ref="I768:I772" si="1040">IF(G768=0,0,IF(H768&gt;0,IF((G768*H768/K768)&lt;0.084,0.084,(G768*H768/K768)),0))</f>
        <v>0</v>
      </c>
      <c r="J768" s="1374" t="str">
        <f t="shared" ref="J768:J772" si="1041">CONCATENATE(TRUNC(I768,0),":",INT((I768-(TRUNC(I768,0)))*60),":","00")</f>
        <v>0:0:00</v>
      </c>
      <c r="K768" s="500">
        <v>1000</v>
      </c>
      <c r="L768" s="2009">
        <v>608.16999999999996</v>
      </c>
      <c r="M768" s="1375">
        <f t="shared" ref="M768:M772" si="1042">H768*L768/K768</f>
        <v>0</v>
      </c>
      <c r="N768" s="1376">
        <v>1</v>
      </c>
      <c r="O768" s="1377">
        <f t="shared" ref="O768:O772" si="1043">M768*N768</f>
        <v>0</v>
      </c>
      <c r="P768" s="1375">
        <f t="shared" ref="P768:P772" si="1044">(M768+O768)*0.15</f>
        <v>0</v>
      </c>
      <c r="Q768" s="1378">
        <f t="shared" ref="Q768:Q772" si="1045">M768+O768+P768</f>
        <v>0</v>
      </c>
      <c r="R768" s="1375">
        <f t="shared" ref="R768:R772" si="1046">Q768*$R$1</f>
        <v>0</v>
      </c>
      <c r="S768" s="1375">
        <f t="shared" ref="S768:S772" si="1047">(Q768+R768)*$S$1</f>
        <v>0</v>
      </c>
      <c r="T768" s="1375">
        <f t="shared" ref="T768:T772" si="1048">Q768+R768+S768</f>
        <v>0</v>
      </c>
      <c r="U768" s="2028">
        <f t="shared" si="1029"/>
        <v>0</v>
      </c>
      <c r="V768" s="1357"/>
      <c r="W768" s="1357"/>
      <c r="X768" s="1357"/>
      <c r="Y768" s="1357"/>
      <c r="AD768" s="2141">
        <f t="shared" si="1017"/>
        <v>1.5</v>
      </c>
      <c r="AE768" s="2142" t="str">
        <f t="shared" si="965"/>
        <v/>
      </c>
      <c r="AG768" s="2118" t="s">
        <v>1816</v>
      </c>
    </row>
    <row r="769" spans="1:33" ht="28.5" hidden="1" outlineLevel="2" x14ac:dyDescent="0.2">
      <c r="A769" s="1360">
        <f>A768+1</f>
        <v>319</v>
      </c>
      <c r="B769" s="1372" t="s">
        <v>1810</v>
      </c>
      <c r="C769" s="532" t="s">
        <v>1726</v>
      </c>
      <c r="D769" s="1358">
        <v>2</v>
      </c>
      <c r="E769" s="499" t="s">
        <v>465</v>
      </c>
      <c r="F769" s="2024" t="s">
        <v>303</v>
      </c>
      <c r="G769" s="1392">
        <v>11.061</v>
      </c>
      <c r="H769" s="1373"/>
      <c r="I769" s="1359">
        <f t="shared" si="1040"/>
        <v>0</v>
      </c>
      <c r="J769" s="1374" t="str">
        <f t="shared" si="1041"/>
        <v>0:0:00</v>
      </c>
      <c r="K769" s="500">
        <v>1000</v>
      </c>
      <c r="L769" s="2009">
        <v>702.78</v>
      </c>
      <c r="M769" s="1375">
        <f t="shared" si="1042"/>
        <v>0</v>
      </c>
      <c r="N769" s="1376">
        <v>1</v>
      </c>
      <c r="O769" s="1377">
        <f t="shared" si="1043"/>
        <v>0</v>
      </c>
      <c r="P769" s="1375">
        <f t="shared" si="1044"/>
        <v>0</v>
      </c>
      <c r="Q769" s="1378">
        <f t="shared" si="1045"/>
        <v>0</v>
      </c>
      <c r="R769" s="1375">
        <f t="shared" si="1046"/>
        <v>0</v>
      </c>
      <c r="S769" s="1375">
        <f t="shared" si="1047"/>
        <v>0</v>
      </c>
      <c r="T769" s="1375">
        <f t="shared" si="1048"/>
        <v>0</v>
      </c>
      <c r="U769" s="2028">
        <f t="shared" si="1029"/>
        <v>0</v>
      </c>
      <c r="V769" s="1357"/>
      <c r="W769" s="1357"/>
      <c r="X769" s="1357"/>
      <c r="Y769" s="1357"/>
      <c r="AD769" s="2141">
        <f t="shared" si="1017"/>
        <v>1.5</v>
      </c>
      <c r="AE769" s="2142" t="str">
        <f t="shared" si="965"/>
        <v/>
      </c>
      <c r="AG769" s="2118" t="s">
        <v>1816</v>
      </c>
    </row>
    <row r="770" spans="1:33" ht="28.5" hidden="1" outlineLevel="2" x14ac:dyDescent="0.2">
      <c r="A770" s="1360">
        <f t="shared" ref="A770:A772" si="1049">A769+1</f>
        <v>320</v>
      </c>
      <c r="B770" s="1372" t="s">
        <v>1811</v>
      </c>
      <c r="C770" s="532" t="s">
        <v>1728</v>
      </c>
      <c r="D770" s="1358">
        <v>2</v>
      </c>
      <c r="E770" s="499" t="s">
        <v>465</v>
      </c>
      <c r="F770" s="2024" t="s">
        <v>303</v>
      </c>
      <c r="G770" s="1392">
        <v>12.625999999999999</v>
      </c>
      <c r="H770" s="1373"/>
      <c r="I770" s="1359">
        <f t="shared" si="1040"/>
        <v>0</v>
      </c>
      <c r="J770" s="1374" t="str">
        <f t="shared" si="1041"/>
        <v>0:0:00</v>
      </c>
      <c r="K770" s="500">
        <v>1000</v>
      </c>
      <c r="L770" s="2009">
        <v>800.63</v>
      </c>
      <c r="M770" s="1375">
        <f t="shared" si="1042"/>
        <v>0</v>
      </c>
      <c r="N770" s="1376">
        <v>1</v>
      </c>
      <c r="O770" s="1377">
        <f t="shared" si="1043"/>
        <v>0</v>
      </c>
      <c r="P770" s="1375">
        <f t="shared" si="1044"/>
        <v>0</v>
      </c>
      <c r="Q770" s="1378">
        <f t="shared" si="1045"/>
        <v>0</v>
      </c>
      <c r="R770" s="1375">
        <f t="shared" si="1046"/>
        <v>0</v>
      </c>
      <c r="S770" s="1375">
        <f t="shared" si="1047"/>
        <v>0</v>
      </c>
      <c r="T770" s="1375">
        <f t="shared" si="1048"/>
        <v>0</v>
      </c>
      <c r="U770" s="2028">
        <f t="shared" si="1029"/>
        <v>0</v>
      </c>
      <c r="V770" s="1357"/>
      <c r="W770" s="1357"/>
      <c r="X770" s="1357"/>
      <c r="Y770" s="1357"/>
      <c r="AD770" s="2141">
        <f t="shared" si="1017"/>
        <v>1.5</v>
      </c>
      <c r="AE770" s="2142" t="str">
        <f t="shared" si="965"/>
        <v/>
      </c>
      <c r="AG770" s="2118" t="s">
        <v>1816</v>
      </c>
    </row>
    <row r="771" spans="1:33" ht="28.5" hidden="1" outlineLevel="2" x14ac:dyDescent="0.2">
      <c r="A771" s="1360">
        <f t="shared" si="1049"/>
        <v>321</v>
      </c>
      <c r="B771" s="1372" t="s">
        <v>1812</v>
      </c>
      <c r="C771" s="532" t="s">
        <v>1730</v>
      </c>
      <c r="D771" s="1358">
        <v>2</v>
      </c>
      <c r="E771" s="499" t="s">
        <v>465</v>
      </c>
      <c r="F771" s="2024" t="s">
        <v>303</v>
      </c>
      <c r="G771" s="1392">
        <v>14.535</v>
      </c>
      <c r="H771" s="1373"/>
      <c r="I771" s="1359">
        <f t="shared" si="1040"/>
        <v>0</v>
      </c>
      <c r="J771" s="1374" t="str">
        <f t="shared" si="1041"/>
        <v>0:0:00</v>
      </c>
      <c r="K771" s="500">
        <v>1000</v>
      </c>
      <c r="L771" s="2009">
        <v>916.67</v>
      </c>
      <c r="M771" s="1375">
        <f t="shared" si="1042"/>
        <v>0</v>
      </c>
      <c r="N771" s="1376">
        <v>1</v>
      </c>
      <c r="O771" s="1377">
        <f t="shared" si="1043"/>
        <v>0</v>
      </c>
      <c r="P771" s="1375">
        <f t="shared" si="1044"/>
        <v>0</v>
      </c>
      <c r="Q771" s="1378">
        <f t="shared" si="1045"/>
        <v>0</v>
      </c>
      <c r="R771" s="1375">
        <f t="shared" si="1046"/>
        <v>0</v>
      </c>
      <c r="S771" s="1375">
        <f t="shared" si="1047"/>
        <v>0</v>
      </c>
      <c r="T771" s="1375">
        <f t="shared" si="1048"/>
        <v>0</v>
      </c>
      <c r="U771" s="2028">
        <f t="shared" si="1029"/>
        <v>0</v>
      </c>
      <c r="V771" s="1357"/>
      <c r="W771" s="1357"/>
      <c r="X771" s="1357"/>
      <c r="Y771" s="1357"/>
      <c r="AD771" s="2141">
        <f t="shared" si="1017"/>
        <v>1.5</v>
      </c>
      <c r="AE771" s="2142" t="str">
        <f t="shared" si="965"/>
        <v/>
      </c>
      <c r="AG771" s="2118" t="s">
        <v>1816</v>
      </c>
    </row>
    <row r="772" spans="1:33" ht="28.5" hidden="1" outlineLevel="2" x14ac:dyDescent="0.2">
      <c r="A772" s="1360">
        <f t="shared" si="1049"/>
        <v>322</v>
      </c>
      <c r="B772" s="1372" t="s">
        <v>1813</v>
      </c>
      <c r="C772" s="532" t="s">
        <v>1732</v>
      </c>
      <c r="D772" s="1358">
        <v>2</v>
      </c>
      <c r="E772" s="499" t="s">
        <v>465</v>
      </c>
      <c r="F772" s="2024" t="s">
        <v>303</v>
      </c>
      <c r="G772" s="1392">
        <v>16.891999999999999</v>
      </c>
      <c r="H772" s="1373"/>
      <c r="I772" s="1359">
        <f t="shared" si="1040"/>
        <v>0</v>
      </c>
      <c r="J772" s="1374" t="str">
        <f t="shared" si="1041"/>
        <v>0:0:00</v>
      </c>
      <c r="K772" s="500">
        <v>1000</v>
      </c>
      <c r="L772" s="2009">
        <v>1072.03</v>
      </c>
      <c r="M772" s="1375">
        <f t="shared" si="1042"/>
        <v>0</v>
      </c>
      <c r="N772" s="1376">
        <v>1</v>
      </c>
      <c r="O772" s="1377">
        <f t="shared" si="1043"/>
        <v>0</v>
      </c>
      <c r="P772" s="1375">
        <f t="shared" si="1044"/>
        <v>0</v>
      </c>
      <c r="Q772" s="1378">
        <f t="shared" si="1045"/>
        <v>0</v>
      </c>
      <c r="R772" s="1375">
        <f t="shared" si="1046"/>
        <v>0</v>
      </c>
      <c r="S772" s="1375">
        <f t="shared" si="1047"/>
        <v>0</v>
      </c>
      <c r="T772" s="1375">
        <f t="shared" si="1048"/>
        <v>0</v>
      </c>
      <c r="U772" s="2028">
        <f t="shared" si="1029"/>
        <v>0</v>
      </c>
      <c r="V772" s="1357"/>
      <c r="W772" s="1357"/>
      <c r="X772" s="1357"/>
      <c r="Y772" s="1357"/>
      <c r="AD772" s="2141">
        <f t="shared" si="1017"/>
        <v>1.5</v>
      </c>
      <c r="AE772" s="2142" t="str">
        <f t="shared" si="965"/>
        <v/>
      </c>
      <c r="AG772" s="2118" t="s">
        <v>1816</v>
      </c>
    </row>
    <row r="773" spans="1:33" ht="28.5" hidden="1" outlineLevel="1" x14ac:dyDescent="0.2">
      <c r="A773" s="1360"/>
      <c r="B773" s="2060" t="s">
        <v>1733</v>
      </c>
      <c r="C773" s="522"/>
      <c r="D773" s="2152"/>
      <c r="E773" s="523" t="s">
        <v>218</v>
      </c>
      <c r="F773" s="2164"/>
      <c r="G773" s="2178"/>
      <c r="H773" s="1367"/>
      <c r="I773" s="2043">
        <f>SUM(I774:I778)</f>
        <v>0</v>
      </c>
      <c r="J773" s="524"/>
      <c r="K773" s="524"/>
      <c r="L773" s="526"/>
      <c r="M773" s="1368"/>
      <c r="N773" s="524"/>
      <c r="O773" s="1369"/>
      <c r="P773" s="1368"/>
      <c r="Q773" s="1370"/>
      <c r="R773" s="1368"/>
      <c r="S773" s="1371">
        <f>SUM(T774:T778)</f>
        <v>0</v>
      </c>
      <c r="T773" s="1370"/>
      <c r="U773" s="2028">
        <f t="shared" si="1029"/>
        <v>0</v>
      </c>
      <c r="V773" s="1357"/>
      <c r="W773" s="1357"/>
      <c r="X773" s="1357"/>
      <c r="Y773" s="1357"/>
      <c r="AD773" s="2141" t="str">
        <f t="shared" si="1017"/>
        <v/>
      </c>
      <c r="AE773" s="2142" t="str">
        <f t="shared" si="965"/>
        <v/>
      </c>
      <c r="AG773" s="2118" t="s">
        <v>1816</v>
      </c>
    </row>
    <row r="774" spans="1:33" ht="28.5" hidden="1" customHeight="1" outlineLevel="2" x14ac:dyDescent="0.2">
      <c r="A774" s="1360">
        <f>A772+1</f>
        <v>323</v>
      </c>
      <c r="B774" s="1372" t="s">
        <v>1734</v>
      </c>
      <c r="C774" s="532" t="s">
        <v>479</v>
      </c>
      <c r="D774" s="1358">
        <v>2</v>
      </c>
      <c r="E774" s="499" t="s">
        <v>465</v>
      </c>
      <c r="F774" s="2024" t="s">
        <v>303</v>
      </c>
      <c r="G774" s="1392">
        <v>7.1420000000000003</v>
      </c>
      <c r="H774" s="1373"/>
      <c r="I774" s="1359">
        <f t="shared" ref="I774:I778" si="1050">IF(G774=0,0,IF(H774&gt;0,IF((G774*H774/K774)&lt;0.084,0.084,(G774*H774/K774)),0))</f>
        <v>0</v>
      </c>
      <c r="J774" s="1374" t="str">
        <f t="shared" ref="J774:J778" si="1051">CONCATENATE(TRUNC(I774,0),":",INT((I774-(TRUNC(I774,0)))*60),":","00")</f>
        <v>0:0:00</v>
      </c>
      <c r="K774" s="500">
        <v>1000</v>
      </c>
      <c r="L774" s="2009">
        <v>451.79</v>
      </c>
      <c r="M774" s="1375">
        <f t="shared" ref="M774:M778" si="1052">H774*L774/K774</f>
        <v>0</v>
      </c>
      <c r="N774" s="1376">
        <v>1</v>
      </c>
      <c r="O774" s="1377">
        <f t="shared" ref="O774:O778" si="1053">M774*N774</f>
        <v>0</v>
      </c>
      <c r="P774" s="1375">
        <f t="shared" ref="P774:P778" si="1054">(M774+O774)*0.15</f>
        <v>0</v>
      </c>
      <c r="Q774" s="1378">
        <f t="shared" ref="Q774:Q778" si="1055">M774+O774+P774</f>
        <v>0</v>
      </c>
      <c r="R774" s="1375">
        <f t="shared" ref="R774:R778" si="1056">Q774*$R$1</f>
        <v>0</v>
      </c>
      <c r="S774" s="1375">
        <f t="shared" ref="S774:S778" si="1057">(Q774+R774)*$S$1</f>
        <v>0</v>
      </c>
      <c r="T774" s="1375">
        <f t="shared" ref="T774:T778" si="1058">Q774+R774+S774</f>
        <v>0</v>
      </c>
      <c r="U774" s="2028">
        <f t="shared" si="1029"/>
        <v>0</v>
      </c>
      <c r="V774" s="1357"/>
      <c r="W774" s="1357"/>
      <c r="X774" s="1357"/>
      <c r="Y774" s="1357"/>
      <c r="AD774" s="2141">
        <f t="shared" si="1017"/>
        <v>1.5</v>
      </c>
      <c r="AE774" s="2142" t="str">
        <f t="shared" si="965"/>
        <v/>
      </c>
      <c r="AG774" s="2118" t="s">
        <v>1816</v>
      </c>
    </row>
    <row r="775" spans="1:33" ht="28.5" hidden="1" outlineLevel="2" x14ac:dyDescent="0.2">
      <c r="A775" s="1360">
        <f>A774+1</f>
        <v>324</v>
      </c>
      <c r="B775" s="1372" t="s">
        <v>1735</v>
      </c>
      <c r="C775" s="532" t="s">
        <v>1716</v>
      </c>
      <c r="D775" s="1358">
        <v>2</v>
      </c>
      <c r="E775" s="499" t="s">
        <v>465</v>
      </c>
      <c r="F775" s="2024" t="s">
        <v>303</v>
      </c>
      <c r="G775" s="1392">
        <v>8.1300000000000008</v>
      </c>
      <c r="H775" s="1373"/>
      <c r="I775" s="1359">
        <f t="shared" si="1050"/>
        <v>0</v>
      </c>
      <c r="J775" s="1374" t="str">
        <f t="shared" si="1051"/>
        <v>0:0:00</v>
      </c>
      <c r="K775" s="500">
        <v>1000</v>
      </c>
      <c r="L775" s="2009">
        <v>514.23</v>
      </c>
      <c r="M775" s="1375">
        <f t="shared" si="1052"/>
        <v>0</v>
      </c>
      <c r="N775" s="1376">
        <v>1</v>
      </c>
      <c r="O775" s="1377">
        <f t="shared" si="1053"/>
        <v>0</v>
      </c>
      <c r="P775" s="1375">
        <f t="shared" si="1054"/>
        <v>0</v>
      </c>
      <c r="Q775" s="1378">
        <f t="shared" si="1055"/>
        <v>0</v>
      </c>
      <c r="R775" s="1375">
        <f t="shared" si="1056"/>
        <v>0</v>
      </c>
      <c r="S775" s="1375">
        <f t="shared" si="1057"/>
        <v>0</v>
      </c>
      <c r="T775" s="1375">
        <f t="shared" si="1058"/>
        <v>0</v>
      </c>
      <c r="U775" s="2028">
        <f t="shared" si="1029"/>
        <v>0</v>
      </c>
      <c r="V775" s="1357"/>
      <c r="W775" s="1357"/>
      <c r="X775" s="1357"/>
      <c r="Y775" s="1357"/>
      <c r="AD775" s="2141">
        <f t="shared" si="1017"/>
        <v>1.5</v>
      </c>
      <c r="AE775" s="2142" t="str">
        <f t="shared" si="965"/>
        <v/>
      </c>
      <c r="AG775" s="2118" t="s">
        <v>1816</v>
      </c>
    </row>
    <row r="776" spans="1:33" ht="28.5" hidden="1" outlineLevel="2" x14ac:dyDescent="0.2">
      <c r="A776" s="1360">
        <f t="shared" ref="A776:A778" si="1059">A775+1</f>
        <v>325</v>
      </c>
      <c r="B776" s="1372" t="s">
        <v>1736</v>
      </c>
      <c r="C776" s="532" t="s">
        <v>1718</v>
      </c>
      <c r="D776" s="1358">
        <v>2</v>
      </c>
      <c r="E776" s="499" t="s">
        <v>465</v>
      </c>
      <c r="F776" s="2024" t="s">
        <v>303</v>
      </c>
      <c r="G776" s="1392">
        <v>9.6150000000000002</v>
      </c>
      <c r="H776" s="1373"/>
      <c r="I776" s="1359">
        <f t="shared" si="1050"/>
        <v>0</v>
      </c>
      <c r="J776" s="1374" t="str">
        <f t="shared" si="1051"/>
        <v>0:0:00</v>
      </c>
      <c r="K776" s="500">
        <v>1000</v>
      </c>
      <c r="L776" s="2009">
        <v>608.16999999999996</v>
      </c>
      <c r="M776" s="1375">
        <f t="shared" si="1052"/>
        <v>0</v>
      </c>
      <c r="N776" s="1376">
        <v>1</v>
      </c>
      <c r="O776" s="1377">
        <f t="shared" si="1053"/>
        <v>0</v>
      </c>
      <c r="P776" s="1375">
        <f t="shared" si="1054"/>
        <v>0</v>
      </c>
      <c r="Q776" s="1378">
        <f t="shared" si="1055"/>
        <v>0</v>
      </c>
      <c r="R776" s="1375">
        <f t="shared" si="1056"/>
        <v>0</v>
      </c>
      <c r="S776" s="1375">
        <f t="shared" si="1057"/>
        <v>0</v>
      </c>
      <c r="T776" s="1375">
        <f t="shared" si="1058"/>
        <v>0</v>
      </c>
      <c r="U776" s="2028">
        <f t="shared" si="1029"/>
        <v>0</v>
      </c>
      <c r="V776" s="1357"/>
      <c r="W776" s="1357"/>
      <c r="X776" s="1357"/>
      <c r="Y776" s="1357"/>
      <c r="AD776" s="2141">
        <f t="shared" si="1017"/>
        <v>1.5</v>
      </c>
      <c r="AE776" s="2142" t="str">
        <f t="shared" si="965"/>
        <v/>
      </c>
      <c r="AG776" s="2118" t="s">
        <v>1816</v>
      </c>
    </row>
    <row r="777" spans="1:33" ht="28.5" hidden="1" outlineLevel="2" x14ac:dyDescent="0.2">
      <c r="A777" s="1360">
        <f t="shared" si="1059"/>
        <v>326</v>
      </c>
      <c r="B777" s="1372" t="s">
        <v>1737</v>
      </c>
      <c r="C777" s="532" t="s">
        <v>1720</v>
      </c>
      <c r="D777" s="1358">
        <v>2</v>
      </c>
      <c r="E777" s="499" t="s">
        <v>465</v>
      </c>
      <c r="F777" s="2024" t="s">
        <v>303</v>
      </c>
      <c r="G777" s="1392">
        <v>10.752000000000001</v>
      </c>
      <c r="H777" s="1373"/>
      <c r="I777" s="1359">
        <f t="shared" si="1050"/>
        <v>0</v>
      </c>
      <c r="J777" s="1374" t="str">
        <f t="shared" si="1051"/>
        <v>0:0:00</v>
      </c>
      <c r="K777" s="500">
        <v>1000</v>
      </c>
      <c r="L777" s="2009">
        <v>680.11</v>
      </c>
      <c r="M777" s="1375">
        <f t="shared" si="1052"/>
        <v>0</v>
      </c>
      <c r="N777" s="1376">
        <v>1</v>
      </c>
      <c r="O777" s="1377">
        <f t="shared" si="1053"/>
        <v>0</v>
      </c>
      <c r="P777" s="1375">
        <f t="shared" si="1054"/>
        <v>0</v>
      </c>
      <c r="Q777" s="1378">
        <f t="shared" si="1055"/>
        <v>0</v>
      </c>
      <c r="R777" s="1375">
        <f t="shared" si="1056"/>
        <v>0</v>
      </c>
      <c r="S777" s="1375">
        <f t="shared" si="1057"/>
        <v>0</v>
      </c>
      <c r="T777" s="1375">
        <f t="shared" si="1058"/>
        <v>0</v>
      </c>
      <c r="U777" s="2028">
        <f t="shared" si="1029"/>
        <v>0</v>
      </c>
      <c r="V777" s="1357"/>
      <c r="W777" s="1357"/>
      <c r="X777" s="1357"/>
      <c r="Y777" s="1357"/>
      <c r="AD777" s="2141">
        <f t="shared" si="1017"/>
        <v>1.5</v>
      </c>
      <c r="AE777" s="2142" t="str">
        <f t="shared" si="965"/>
        <v/>
      </c>
      <c r="AG777" s="2118" t="s">
        <v>1816</v>
      </c>
    </row>
    <row r="778" spans="1:33" ht="28.5" hidden="1" outlineLevel="2" x14ac:dyDescent="0.2">
      <c r="A778" s="1360">
        <f t="shared" si="1059"/>
        <v>327</v>
      </c>
      <c r="B778" s="1372" t="s">
        <v>1738</v>
      </c>
      <c r="C778" s="532" t="s">
        <v>1722</v>
      </c>
      <c r="D778" s="1358">
        <v>2</v>
      </c>
      <c r="E778" s="499" t="s">
        <v>465</v>
      </c>
      <c r="F778" s="2024" t="s">
        <v>303</v>
      </c>
      <c r="G778" s="1392">
        <v>12.345000000000001</v>
      </c>
      <c r="H778" s="1373"/>
      <c r="I778" s="1359">
        <f t="shared" si="1050"/>
        <v>0</v>
      </c>
      <c r="J778" s="1374" t="str">
        <f t="shared" si="1051"/>
        <v>0:0:00</v>
      </c>
      <c r="K778" s="500">
        <v>1000</v>
      </c>
      <c r="L778" s="2009">
        <v>780.86</v>
      </c>
      <c r="M778" s="1375">
        <f t="shared" si="1052"/>
        <v>0</v>
      </c>
      <c r="N778" s="1376">
        <v>1</v>
      </c>
      <c r="O778" s="1377">
        <f t="shared" si="1053"/>
        <v>0</v>
      </c>
      <c r="P778" s="1375">
        <f t="shared" si="1054"/>
        <v>0</v>
      </c>
      <c r="Q778" s="1378">
        <f t="shared" si="1055"/>
        <v>0</v>
      </c>
      <c r="R778" s="1375">
        <f t="shared" si="1056"/>
        <v>0</v>
      </c>
      <c r="S778" s="1375">
        <f t="shared" si="1057"/>
        <v>0</v>
      </c>
      <c r="T778" s="1375">
        <f t="shared" si="1058"/>
        <v>0</v>
      </c>
      <c r="U778" s="2028">
        <f t="shared" si="1029"/>
        <v>0</v>
      </c>
      <c r="V778" s="1357"/>
      <c r="W778" s="1357"/>
      <c r="X778" s="1357"/>
      <c r="Y778" s="1357"/>
      <c r="AD778" s="2141">
        <f t="shared" si="1017"/>
        <v>1.5</v>
      </c>
      <c r="AE778" s="2142" t="str">
        <f t="shared" si="965"/>
        <v/>
      </c>
      <c r="AG778" s="2118" t="s">
        <v>1816</v>
      </c>
    </row>
    <row r="779" spans="1:33" ht="14.25" hidden="1" outlineLevel="1" x14ac:dyDescent="0.2">
      <c r="A779" s="1360"/>
      <c r="B779" s="2060" t="s">
        <v>1739</v>
      </c>
      <c r="C779" s="522"/>
      <c r="D779" s="2152"/>
      <c r="E779" s="523" t="s">
        <v>218</v>
      </c>
      <c r="F779" s="2164"/>
      <c r="G779" s="2178"/>
      <c r="H779" s="1367"/>
      <c r="I779" s="2043">
        <f>SUM(I780:I784)</f>
        <v>0</v>
      </c>
      <c r="J779" s="524"/>
      <c r="K779" s="524"/>
      <c r="L779" s="526"/>
      <c r="M779" s="1368"/>
      <c r="N779" s="524"/>
      <c r="O779" s="1369"/>
      <c r="P779" s="1368"/>
      <c r="Q779" s="1370"/>
      <c r="R779" s="1368"/>
      <c r="S779" s="1371">
        <f>SUM(T780:T784)</f>
        <v>0</v>
      </c>
      <c r="T779" s="1370"/>
      <c r="U779" s="2028">
        <f t="shared" ref="U779:U790" si="1060">IF(T779&gt;0,1,0)</f>
        <v>0</v>
      </c>
      <c r="V779" s="1357"/>
      <c r="W779" s="1357"/>
      <c r="X779" s="1357"/>
      <c r="Y779" s="1357"/>
      <c r="AD779" s="2141" t="str">
        <f t="shared" si="1017"/>
        <v/>
      </c>
      <c r="AE779" s="2142" t="str">
        <f t="shared" si="965"/>
        <v/>
      </c>
      <c r="AG779" s="2118" t="s">
        <v>1816</v>
      </c>
    </row>
    <row r="780" spans="1:33" ht="28.5" hidden="1" customHeight="1" outlineLevel="2" x14ac:dyDescent="0.2">
      <c r="A780" s="1360">
        <f>A778+1</f>
        <v>328</v>
      </c>
      <c r="B780" s="1372" t="s">
        <v>1740</v>
      </c>
      <c r="C780" s="532" t="s">
        <v>489</v>
      </c>
      <c r="D780" s="1358">
        <v>2</v>
      </c>
      <c r="E780" s="499" t="s">
        <v>465</v>
      </c>
      <c r="F780" s="2024" t="s">
        <v>303</v>
      </c>
      <c r="G780" s="1392">
        <v>5.9169999999999998</v>
      </c>
      <c r="H780" s="1373"/>
      <c r="I780" s="1359">
        <f t="shared" ref="I780:I784" si="1061">IF(G780=0,0,IF(H780&gt;0,IF((G780*H780/K780)&lt;0.084,0.084,(G780*H780/K780)),0))</f>
        <v>0</v>
      </c>
      <c r="J780" s="1374" t="str">
        <f t="shared" ref="J780:J784" si="1062">CONCATENATE(TRUNC(I780,0),":",INT((I780-(TRUNC(I780,0)))*60),":","00")</f>
        <v>0:0:00</v>
      </c>
      <c r="K780" s="500">
        <v>1000</v>
      </c>
      <c r="L780" s="2009">
        <v>374.26</v>
      </c>
      <c r="M780" s="1375">
        <f t="shared" ref="M780:M784" si="1063">H780*L780/K780</f>
        <v>0</v>
      </c>
      <c r="N780" s="1376">
        <v>1</v>
      </c>
      <c r="O780" s="1377">
        <f t="shared" ref="O780:O784" si="1064">M780*N780</f>
        <v>0</v>
      </c>
      <c r="P780" s="1375">
        <f t="shared" ref="P780:P784" si="1065">(M780+O780)*0.15</f>
        <v>0</v>
      </c>
      <c r="Q780" s="1378">
        <f t="shared" ref="Q780:Q784" si="1066">M780+O780+P780</f>
        <v>0</v>
      </c>
      <c r="R780" s="1375">
        <f t="shared" ref="R780:R784" si="1067">Q780*$R$1</f>
        <v>0</v>
      </c>
      <c r="S780" s="1375">
        <f t="shared" ref="S780:S784" si="1068">(Q780+R780)*$S$1</f>
        <v>0</v>
      </c>
      <c r="T780" s="1375">
        <f t="shared" ref="T780:T784" si="1069">Q780+R780+S780</f>
        <v>0</v>
      </c>
      <c r="U780" s="2028">
        <f t="shared" si="1060"/>
        <v>0</v>
      </c>
      <c r="V780" s="1357"/>
      <c r="W780" s="1357"/>
      <c r="X780" s="1357"/>
      <c r="Y780" s="1357"/>
      <c r="AD780" s="2141">
        <f t="shared" si="1017"/>
        <v>1.5</v>
      </c>
      <c r="AE780" s="2142" t="str">
        <f t="shared" si="965"/>
        <v/>
      </c>
      <c r="AG780" s="2118" t="s">
        <v>1816</v>
      </c>
    </row>
    <row r="781" spans="1:33" ht="28.5" hidden="1" outlineLevel="2" x14ac:dyDescent="0.2">
      <c r="A781" s="1360">
        <f>A780+1</f>
        <v>329</v>
      </c>
      <c r="B781" s="1372" t="s">
        <v>1741</v>
      </c>
      <c r="C781" s="532" t="s">
        <v>1726</v>
      </c>
      <c r="D781" s="1358">
        <v>2</v>
      </c>
      <c r="E781" s="499" t="s">
        <v>465</v>
      </c>
      <c r="F781" s="2024" t="s">
        <v>303</v>
      </c>
      <c r="G781" s="1392">
        <v>6.8019999999999996</v>
      </c>
      <c r="H781" s="1373"/>
      <c r="I781" s="1359">
        <f t="shared" si="1061"/>
        <v>0</v>
      </c>
      <c r="J781" s="1374" t="str">
        <f t="shared" si="1062"/>
        <v>0:0:00</v>
      </c>
      <c r="K781" s="500">
        <v>1000</v>
      </c>
      <c r="L781" s="2009">
        <v>430.27</v>
      </c>
      <c r="M781" s="1375">
        <f t="shared" si="1063"/>
        <v>0</v>
      </c>
      <c r="N781" s="1376">
        <v>1</v>
      </c>
      <c r="O781" s="1377">
        <f t="shared" si="1064"/>
        <v>0</v>
      </c>
      <c r="P781" s="1375">
        <f t="shared" si="1065"/>
        <v>0</v>
      </c>
      <c r="Q781" s="1378">
        <f t="shared" si="1066"/>
        <v>0</v>
      </c>
      <c r="R781" s="1375">
        <f t="shared" si="1067"/>
        <v>0</v>
      </c>
      <c r="S781" s="1375">
        <f t="shared" si="1068"/>
        <v>0</v>
      </c>
      <c r="T781" s="1375">
        <f t="shared" si="1069"/>
        <v>0</v>
      </c>
      <c r="U781" s="2028">
        <f t="shared" si="1060"/>
        <v>0</v>
      </c>
      <c r="V781" s="1357"/>
      <c r="W781" s="1357"/>
      <c r="X781" s="1357"/>
      <c r="Y781" s="1357"/>
      <c r="AD781" s="2141">
        <f t="shared" si="1017"/>
        <v>1.5</v>
      </c>
      <c r="AE781" s="2142" t="str">
        <f t="shared" si="965"/>
        <v/>
      </c>
      <c r="AG781" s="2118" t="s">
        <v>1816</v>
      </c>
    </row>
    <row r="782" spans="1:33" ht="28.5" hidden="1" outlineLevel="2" x14ac:dyDescent="0.2">
      <c r="A782" s="1360">
        <f t="shared" ref="A782:A784" si="1070">A781+1</f>
        <v>330</v>
      </c>
      <c r="B782" s="1372" t="s">
        <v>1742</v>
      </c>
      <c r="C782" s="532" t="s">
        <v>1728</v>
      </c>
      <c r="D782" s="1358">
        <v>2</v>
      </c>
      <c r="E782" s="499" t="s">
        <v>465</v>
      </c>
      <c r="F782" s="2024" t="s">
        <v>303</v>
      </c>
      <c r="G782" s="1392">
        <v>7.7510000000000003</v>
      </c>
      <c r="H782" s="1373"/>
      <c r="I782" s="1359">
        <f t="shared" si="1061"/>
        <v>0</v>
      </c>
      <c r="J782" s="1374" t="str">
        <f t="shared" si="1062"/>
        <v>0:0:00</v>
      </c>
      <c r="K782" s="500">
        <v>1000</v>
      </c>
      <c r="L782" s="2009">
        <v>490.31</v>
      </c>
      <c r="M782" s="1375">
        <f t="shared" si="1063"/>
        <v>0</v>
      </c>
      <c r="N782" s="1376">
        <v>1</v>
      </c>
      <c r="O782" s="1377">
        <f t="shared" si="1064"/>
        <v>0</v>
      </c>
      <c r="P782" s="1375">
        <f t="shared" si="1065"/>
        <v>0</v>
      </c>
      <c r="Q782" s="1378">
        <f t="shared" si="1066"/>
        <v>0</v>
      </c>
      <c r="R782" s="1375">
        <f t="shared" si="1067"/>
        <v>0</v>
      </c>
      <c r="S782" s="1375">
        <f t="shared" si="1068"/>
        <v>0</v>
      </c>
      <c r="T782" s="1375">
        <f t="shared" si="1069"/>
        <v>0</v>
      </c>
      <c r="U782" s="2028">
        <f t="shared" si="1060"/>
        <v>0</v>
      </c>
      <c r="V782" s="1357"/>
      <c r="W782" s="1357"/>
      <c r="X782" s="1357"/>
      <c r="Y782" s="1357"/>
      <c r="AD782" s="2141">
        <f t="shared" si="1017"/>
        <v>1.5</v>
      </c>
      <c r="AE782" s="2142" t="str">
        <f t="shared" si="965"/>
        <v/>
      </c>
      <c r="AG782" s="2118" t="s">
        <v>1816</v>
      </c>
    </row>
    <row r="783" spans="1:33" ht="28.5" hidden="1" outlineLevel="2" x14ac:dyDescent="0.2">
      <c r="A783" s="1360">
        <f t="shared" si="1070"/>
        <v>331</v>
      </c>
      <c r="B783" s="1372" t="s">
        <v>1743</v>
      </c>
      <c r="C783" s="532" t="s">
        <v>1730</v>
      </c>
      <c r="D783" s="1358">
        <v>2</v>
      </c>
      <c r="E783" s="499" t="s">
        <v>465</v>
      </c>
      <c r="F783" s="2024" t="s">
        <v>303</v>
      </c>
      <c r="G783" s="1392">
        <v>8.9280000000000008</v>
      </c>
      <c r="H783" s="1373"/>
      <c r="I783" s="1359">
        <f t="shared" si="1061"/>
        <v>0</v>
      </c>
      <c r="J783" s="1374" t="str">
        <f t="shared" si="1062"/>
        <v>0:0:00</v>
      </c>
      <c r="K783" s="500">
        <v>1000</v>
      </c>
      <c r="L783" s="2009">
        <v>564.73</v>
      </c>
      <c r="M783" s="1375">
        <f t="shared" si="1063"/>
        <v>0</v>
      </c>
      <c r="N783" s="1376">
        <v>1</v>
      </c>
      <c r="O783" s="1377">
        <f t="shared" si="1064"/>
        <v>0</v>
      </c>
      <c r="P783" s="1375">
        <f t="shared" si="1065"/>
        <v>0</v>
      </c>
      <c r="Q783" s="1378">
        <f t="shared" si="1066"/>
        <v>0</v>
      </c>
      <c r="R783" s="1375">
        <f t="shared" si="1067"/>
        <v>0</v>
      </c>
      <c r="S783" s="1375">
        <f t="shared" si="1068"/>
        <v>0</v>
      </c>
      <c r="T783" s="1375">
        <f t="shared" si="1069"/>
        <v>0</v>
      </c>
      <c r="U783" s="2028">
        <f t="shared" si="1060"/>
        <v>0</v>
      </c>
      <c r="V783" s="1357"/>
      <c r="W783" s="1357"/>
      <c r="X783" s="1357"/>
      <c r="Y783" s="1357"/>
      <c r="AD783" s="2141">
        <f t="shared" si="1017"/>
        <v>1.5</v>
      </c>
      <c r="AE783" s="2142" t="str">
        <f t="shared" si="965"/>
        <v/>
      </c>
      <c r="AG783" s="2118" t="s">
        <v>1816</v>
      </c>
    </row>
    <row r="784" spans="1:33" ht="28.5" hidden="1" outlineLevel="2" x14ac:dyDescent="0.2">
      <c r="A784" s="1360">
        <f t="shared" si="1070"/>
        <v>332</v>
      </c>
      <c r="B784" s="1372" t="s">
        <v>1744</v>
      </c>
      <c r="C784" s="532" t="s">
        <v>1732</v>
      </c>
      <c r="D784" s="1358">
        <v>2</v>
      </c>
      <c r="E784" s="499" t="s">
        <v>465</v>
      </c>
      <c r="F784" s="2024" t="s">
        <v>303</v>
      </c>
      <c r="G784" s="1392">
        <v>10.416</v>
      </c>
      <c r="H784" s="1373"/>
      <c r="I784" s="1359">
        <f t="shared" si="1061"/>
        <v>0</v>
      </c>
      <c r="J784" s="1374" t="str">
        <f t="shared" si="1062"/>
        <v>0:0:00</v>
      </c>
      <c r="K784" s="500">
        <v>1000</v>
      </c>
      <c r="L784" s="2009">
        <v>658.85</v>
      </c>
      <c r="M784" s="1375">
        <f t="shared" si="1063"/>
        <v>0</v>
      </c>
      <c r="N784" s="1376">
        <v>1</v>
      </c>
      <c r="O784" s="1377">
        <f t="shared" si="1064"/>
        <v>0</v>
      </c>
      <c r="P784" s="1375">
        <f t="shared" si="1065"/>
        <v>0</v>
      </c>
      <c r="Q784" s="1378">
        <f t="shared" si="1066"/>
        <v>0</v>
      </c>
      <c r="R784" s="1375">
        <f t="shared" si="1067"/>
        <v>0</v>
      </c>
      <c r="S784" s="1375">
        <f t="shared" si="1068"/>
        <v>0</v>
      </c>
      <c r="T784" s="1375">
        <f t="shared" si="1069"/>
        <v>0</v>
      </c>
      <c r="U784" s="2028">
        <f t="shared" si="1060"/>
        <v>0</v>
      </c>
      <c r="V784" s="1357"/>
      <c r="W784" s="1357"/>
      <c r="X784" s="1357"/>
      <c r="Y784" s="1357"/>
      <c r="AD784" s="2141">
        <f t="shared" si="1017"/>
        <v>1.5</v>
      </c>
      <c r="AE784" s="2142" t="str">
        <f t="shared" si="965"/>
        <v/>
      </c>
      <c r="AG784" s="2118" t="s">
        <v>1816</v>
      </c>
    </row>
    <row r="785" spans="1:33" ht="28.5" hidden="1" outlineLevel="1" x14ac:dyDescent="0.2">
      <c r="A785" s="1360"/>
      <c r="B785" s="2060" t="s">
        <v>1745</v>
      </c>
      <c r="C785" s="522"/>
      <c r="D785" s="2152"/>
      <c r="E785" s="523" t="s">
        <v>218</v>
      </c>
      <c r="F785" s="2164"/>
      <c r="G785" s="2178"/>
      <c r="H785" s="1367"/>
      <c r="I785" s="2043">
        <f>SUM(I786:I790)</f>
        <v>0</v>
      </c>
      <c r="J785" s="524"/>
      <c r="K785" s="524"/>
      <c r="L785" s="526"/>
      <c r="M785" s="1368"/>
      <c r="N785" s="524"/>
      <c r="O785" s="1369"/>
      <c r="P785" s="1368"/>
      <c r="Q785" s="1370"/>
      <c r="R785" s="1368"/>
      <c r="S785" s="1371">
        <f>SUM(T786:T790)</f>
        <v>0</v>
      </c>
      <c r="T785" s="1370"/>
      <c r="U785" s="2028">
        <f t="shared" si="1060"/>
        <v>0</v>
      </c>
      <c r="V785" s="1357"/>
      <c r="W785" s="1357"/>
      <c r="X785" s="1357"/>
      <c r="Y785" s="1357"/>
      <c r="AD785" s="2141" t="str">
        <f t="shared" si="1017"/>
        <v/>
      </c>
      <c r="AE785" s="2142" t="str">
        <f t="shared" si="965"/>
        <v/>
      </c>
      <c r="AG785" s="2118" t="s">
        <v>1816</v>
      </c>
    </row>
    <row r="786" spans="1:33" ht="28.5" hidden="1" customHeight="1" outlineLevel="2" x14ac:dyDescent="0.2">
      <c r="A786" s="1360">
        <f>A784+1</f>
        <v>333</v>
      </c>
      <c r="B786" s="1372" t="s">
        <v>1784</v>
      </c>
      <c r="C786" s="532" t="s">
        <v>479</v>
      </c>
      <c r="D786" s="1358">
        <v>3</v>
      </c>
      <c r="E786" s="499" t="s">
        <v>465</v>
      </c>
      <c r="F786" s="2024" t="s">
        <v>303</v>
      </c>
      <c r="G786" s="1392">
        <v>6.7569999999999997</v>
      </c>
      <c r="H786" s="1373"/>
      <c r="I786" s="1359">
        <f t="shared" ref="I786:I790" si="1071">IF(G786=0,0,IF(H786&gt;0,IF((G786*H786/K786)&lt;0.084,0.084,(G786*H786/K786)),0))</f>
        <v>0</v>
      </c>
      <c r="J786" s="1374" t="str">
        <f t="shared" ref="J786:J790" si="1072">CONCATENATE(TRUNC(I786,0),":",INT((I786-(TRUNC(I786,0)))*60),":","00")</f>
        <v>0:0:00</v>
      </c>
      <c r="K786" s="500">
        <v>1000</v>
      </c>
      <c r="L786" s="2009">
        <v>512.84</v>
      </c>
      <c r="M786" s="1375">
        <f t="shared" ref="M786:M790" si="1073">H786*L786/K786</f>
        <v>0</v>
      </c>
      <c r="N786" s="1376">
        <v>1</v>
      </c>
      <c r="O786" s="1377">
        <f t="shared" ref="O786:O790" si="1074">M786*N786</f>
        <v>0</v>
      </c>
      <c r="P786" s="1375">
        <f t="shared" ref="P786:P790" si="1075">(M786+O786)*0.15</f>
        <v>0</v>
      </c>
      <c r="Q786" s="1378">
        <f t="shared" ref="Q786:Q790" si="1076">M786+O786+P786</f>
        <v>0</v>
      </c>
      <c r="R786" s="1375">
        <f t="shared" ref="R786:R790" si="1077">Q786*$R$1</f>
        <v>0</v>
      </c>
      <c r="S786" s="1375">
        <f t="shared" ref="S786:S790" si="1078">(Q786+R786)*$S$1</f>
        <v>0</v>
      </c>
      <c r="T786" s="1375">
        <f t="shared" ref="T786:T790" si="1079">Q786+R786+S786</f>
        <v>0</v>
      </c>
      <c r="U786" s="2028">
        <f t="shared" si="1060"/>
        <v>0</v>
      </c>
      <c r="V786" s="1357"/>
      <c r="W786" s="1357"/>
      <c r="X786" s="1357"/>
      <c r="Y786" s="1357"/>
      <c r="AD786" s="2141">
        <f t="shared" si="1017"/>
        <v>2.6</v>
      </c>
      <c r="AE786" s="2142" t="str">
        <f t="shared" si="965"/>
        <v/>
      </c>
      <c r="AG786" s="2118" t="s">
        <v>1816</v>
      </c>
    </row>
    <row r="787" spans="1:33" ht="28.5" hidden="1" outlineLevel="2" x14ac:dyDescent="0.2">
      <c r="A787" s="1360">
        <f>A786+1</f>
        <v>334</v>
      </c>
      <c r="B787" s="1372" t="s">
        <v>1785</v>
      </c>
      <c r="C787" s="532" t="s">
        <v>1716</v>
      </c>
      <c r="D787" s="1358">
        <v>3</v>
      </c>
      <c r="E787" s="499" t="s">
        <v>465</v>
      </c>
      <c r="F787" s="2024" t="s">
        <v>303</v>
      </c>
      <c r="G787" s="1392">
        <v>7.8129999999999997</v>
      </c>
      <c r="H787" s="1373"/>
      <c r="I787" s="1359">
        <f t="shared" si="1071"/>
        <v>0</v>
      </c>
      <c r="J787" s="1374" t="str">
        <f t="shared" si="1072"/>
        <v>0:0:00</v>
      </c>
      <c r="K787" s="500">
        <v>1000</v>
      </c>
      <c r="L787" s="2009">
        <v>592.97</v>
      </c>
      <c r="M787" s="1375">
        <f t="shared" si="1073"/>
        <v>0</v>
      </c>
      <c r="N787" s="1376">
        <v>1</v>
      </c>
      <c r="O787" s="1377">
        <f t="shared" si="1074"/>
        <v>0</v>
      </c>
      <c r="P787" s="1375">
        <f t="shared" si="1075"/>
        <v>0</v>
      </c>
      <c r="Q787" s="1378">
        <f t="shared" si="1076"/>
        <v>0</v>
      </c>
      <c r="R787" s="1375">
        <f t="shared" si="1077"/>
        <v>0</v>
      </c>
      <c r="S787" s="1375">
        <f t="shared" si="1078"/>
        <v>0</v>
      </c>
      <c r="T787" s="1375">
        <f t="shared" si="1079"/>
        <v>0</v>
      </c>
      <c r="U787" s="2028">
        <f t="shared" si="1060"/>
        <v>0</v>
      </c>
      <c r="V787" s="1357"/>
      <c r="W787" s="1357"/>
      <c r="X787" s="1357"/>
      <c r="Y787" s="1357"/>
      <c r="AD787" s="2141">
        <f t="shared" si="1017"/>
        <v>2.6</v>
      </c>
      <c r="AE787" s="2142" t="str">
        <f t="shared" si="965"/>
        <v/>
      </c>
      <c r="AG787" s="2118" t="s">
        <v>1816</v>
      </c>
    </row>
    <row r="788" spans="1:33" ht="28.5" hidden="1" outlineLevel="2" x14ac:dyDescent="0.2">
      <c r="A788" s="1360">
        <f t="shared" ref="A788:A790" si="1080">A787+1</f>
        <v>335</v>
      </c>
      <c r="B788" s="1372" t="s">
        <v>1786</v>
      </c>
      <c r="C788" s="532" t="s">
        <v>1718</v>
      </c>
      <c r="D788" s="1358">
        <v>3</v>
      </c>
      <c r="E788" s="499" t="s">
        <v>465</v>
      </c>
      <c r="F788" s="2024" t="s">
        <v>303</v>
      </c>
      <c r="G788" s="1392">
        <v>8.9290000000000003</v>
      </c>
      <c r="H788" s="1373"/>
      <c r="I788" s="1359">
        <f t="shared" si="1071"/>
        <v>0</v>
      </c>
      <c r="J788" s="1374" t="str">
        <f t="shared" si="1072"/>
        <v>0:0:00</v>
      </c>
      <c r="K788" s="500">
        <v>1000</v>
      </c>
      <c r="L788" s="2009">
        <v>677.68</v>
      </c>
      <c r="M788" s="1375">
        <f t="shared" si="1073"/>
        <v>0</v>
      </c>
      <c r="N788" s="1376">
        <v>1</v>
      </c>
      <c r="O788" s="1377">
        <f t="shared" si="1074"/>
        <v>0</v>
      </c>
      <c r="P788" s="1375">
        <f t="shared" si="1075"/>
        <v>0</v>
      </c>
      <c r="Q788" s="1378">
        <f t="shared" si="1076"/>
        <v>0</v>
      </c>
      <c r="R788" s="1375">
        <f t="shared" si="1077"/>
        <v>0</v>
      </c>
      <c r="S788" s="1375">
        <f t="shared" si="1078"/>
        <v>0</v>
      </c>
      <c r="T788" s="1375">
        <f t="shared" si="1079"/>
        <v>0</v>
      </c>
      <c r="U788" s="2028">
        <f t="shared" si="1060"/>
        <v>0</v>
      </c>
      <c r="V788" s="1357"/>
      <c r="W788" s="1357"/>
      <c r="X788" s="1357"/>
      <c r="Y788" s="1357"/>
      <c r="AD788" s="2141">
        <f t="shared" si="1017"/>
        <v>2.6</v>
      </c>
      <c r="AE788" s="2142" t="str">
        <f t="shared" si="965"/>
        <v/>
      </c>
      <c r="AG788" s="2118" t="s">
        <v>1816</v>
      </c>
    </row>
    <row r="789" spans="1:33" ht="28.5" hidden="1" outlineLevel="2" x14ac:dyDescent="0.2">
      <c r="A789" s="1360">
        <f t="shared" si="1080"/>
        <v>336</v>
      </c>
      <c r="B789" s="1372" t="s">
        <v>1787</v>
      </c>
      <c r="C789" s="532" t="s">
        <v>1720</v>
      </c>
      <c r="D789" s="1358">
        <v>3</v>
      </c>
      <c r="E789" s="499" t="s">
        <v>465</v>
      </c>
      <c r="F789" s="2024" t="s">
        <v>303</v>
      </c>
      <c r="G789" s="1392">
        <v>10.308999999999999</v>
      </c>
      <c r="H789" s="1373"/>
      <c r="I789" s="1359">
        <f t="shared" si="1071"/>
        <v>0</v>
      </c>
      <c r="J789" s="1374" t="str">
        <f t="shared" si="1072"/>
        <v>0:0:00</v>
      </c>
      <c r="K789" s="500">
        <v>1000</v>
      </c>
      <c r="L789" s="2009">
        <v>782.47</v>
      </c>
      <c r="M789" s="1375">
        <f t="shared" si="1073"/>
        <v>0</v>
      </c>
      <c r="N789" s="1376">
        <v>1</v>
      </c>
      <c r="O789" s="1377">
        <f t="shared" si="1074"/>
        <v>0</v>
      </c>
      <c r="P789" s="1375">
        <f t="shared" si="1075"/>
        <v>0</v>
      </c>
      <c r="Q789" s="1378">
        <f t="shared" si="1076"/>
        <v>0</v>
      </c>
      <c r="R789" s="1375">
        <f t="shared" si="1077"/>
        <v>0</v>
      </c>
      <c r="S789" s="1375">
        <f t="shared" si="1078"/>
        <v>0</v>
      </c>
      <c r="T789" s="1375">
        <f t="shared" si="1079"/>
        <v>0</v>
      </c>
      <c r="U789" s="2028">
        <f t="shared" si="1060"/>
        <v>0</v>
      </c>
      <c r="V789" s="1357"/>
      <c r="W789" s="1357"/>
      <c r="X789" s="1357"/>
      <c r="Y789" s="1357"/>
      <c r="AD789" s="2141">
        <f t="shared" si="1017"/>
        <v>2.6</v>
      </c>
      <c r="AE789" s="2142" t="str">
        <f t="shared" si="965"/>
        <v/>
      </c>
      <c r="AG789" s="2118" t="s">
        <v>1816</v>
      </c>
    </row>
    <row r="790" spans="1:33" ht="28.5" hidden="1" outlineLevel="2" x14ac:dyDescent="0.2">
      <c r="A790" s="1360">
        <f t="shared" si="1080"/>
        <v>337</v>
      </c>
      <c r="B790" s="1372" t="s">
        <v>1788</v>
      </c>
      <c r="C790" s="532" t="s">
        <v>1722</v>
      </c>
      <c r="D790" s="1358">
        <v>3</v>
      </c>
      <c r="E790" s="499" t="s">
        <v>465</v>
      </c>
      <c r="F790" s="2024" t="s">
        <v>303</v>
      </c>
      <c r="G790" s="1392">
        <v>11.904999999999999</v>
      </c>
      <c r="H790" s="1373"/>
      <c r="I790" s="1359">
        <f t="shared" si="1071"/>
        <v>0</v>
      </c>
      <c r="J790" s="1374" t="str">
        <f t="shared" si="1072"/>
        <v>0:0:00</v>
      </c>
      <c r="K790" s="500">
        <v>1000</v>
      </c>
      <c r="L790" s="2009">
        <v>903.57</v>
      </c>
      <c r="M790" s="1375">
        <f t="shared" si="1073"/>
        <v>0</v>
      </c>
      <c r="N790" s="1376">
        <v>1</v>
      </c>
      <c r="O790" s="1377">
        <f t="shared" si="1074"/>
        <v>0</v>
      </c>
      <c r="P790" s="1375">
        <f t="shared" si="1075"/>
        <v>0</v>
      </c>
      <c r="Q790" s="1378">
        <f t="shared" si="1076"/>
        <v>0</v>
      </c>
      <c r="R790" s="1375">
        <f t="shared" si="1077"/>
        <v>0</v>
      </c>
      <c r="S790" s="1375">
        <f t="shared" si="1078"/>
        <v>0</v>
      </c>
      <c r="T790" s="1375">
        <f t="shared" si="1079"/>
        <v>0</v>
      </c>
      <c r="U790" s="2028">
        <f t="shared" si="1060"/>
        <v>0</v>
      </c>
      <c r="V790" s="1357"/>
      <c r="W790" s="1357"/>
      <c r="X790" s="1357"/>
      <c r="Y790" s="1357"/>
      <c r="AD790" s="2141">
        <f t="shared" si="1017"/>
        <v>2.6</v>
      </c>
      <c r="AE790" s="2142" t="str">
        <f t="shared" si="965"/>
        <v/>
      </c>
      <c r="AG790" s="2118" t="s">
        <v>1816</v>
      </c>
    </row>
    <row r="791" spans="1:33" ht="28.5" hidden="1" outlineLevel="1" x14ac:dyDescent="0.2">
      <c r="A791" s="1360"/>
      <c r="B791" s="2060" t="s">
        <v>1746</v>
      </c>
      <c r="C791" s="522"/>
      <c r="D791" s="2152"/>
      <c r="E791" s="523" t="s">
        <v>218</v>
      </c>
      <c r="F791" s="2164"/>
      <c r="G791" s="2178"/>
      <c r="H791" s="1367"/>
      <c r="I791" s="2043">
        <f>SUM(I792:I796)</f>
        <v>0</v>
      </c>
      <c r="J791" s="524"/>
      <c r="K791" s="524"/>
      <c r="L791" s="526"/>
      <c r="M791" s="1368"/>
      <c r="N791" s="524"/>
      <c r="O791" s="1369"/>
      <c r="P791" s="1368"/>
      <c r="Q791" s="1370"/>
      <c r="R791" s="1368"/>
      <c r="S791" s="1371">
        <f>SUM(T792:T796)</f>
        <v>0</v>
      </c>
      <c r="T791" s="1370"/>
      <c r="U791" s="2028">
        <f t="shared" ref="U791:U796" si="1081">IF(T791&gt;0,1,0)</f>
        <v>0</v>
      </c>
      <c r="V791" s="1357"/>
      <c r="W791" s="1357"/>
      <c r="X791" s="1357"/>
      <c r="Y791" s="1357"/>
      <c r="AD791" s="2141" t="str">
        <f t="shared" si="1017"/>
        <v/>
      </c>
      <c r="AE791" s="2142" t="str">
        <f t="shared" si="965"/>
        <v/>
      </c>
      <c r="AG791" s="2118" t="s">
        <v>1816</v>
      </c>
    </row>
    <row r="792" spans="1:33" ht="28.5" hidden="1" customHeight="1" outlineLevel="2" x14ac:dyDescent="0.2">
      <c r="A792" s="1360">
        <f>A790+1</f>
        <v>338</v>
      </c>
      <c r="B792" s="1372" t="s">
        <v>1789</v>
      </c>
      <c r="C792" s="532" t="s">
        <v>489</v>
      </c>
      <c r="D792" s="1358">
        <v>3</v>
      </c>
      <c r="E792" s="499" t="s">
        <v>465</v>
      </c>
      <c r="F792" s="2024" t="s">
        <v>303</v>
      </c>
      <c r="G792" s="1392">
        <v>5.9169999999999998</v>
      </c>
      <c r="H792" s="1373"/>
      <c r="I792" s="1359">
        <f t="shared" ref="I792:I796" si="1082">IF(G792=0,0,IF(H792&gt;0,IF((G792*H792/K792)&lt;0.084,0.084,(G792*H792/K792)),0))</f>
        <v>0</v>
      </c>
      <c r="J792" s="1374" t="str">
        <f t="shared" ref="J792:J796" si="1083">CONCATENATE(TRUNC(I792,0),":",INT((I792-(TRUNC(I792,0)))*60),":","00")</f>
        <v>0:0:00</v>
      </c>
      <c r="K792" s="500">
        <v>1000</v>
      </c>
      <c r="L792" s="2009">
        <v>449.11</v>
      </c>
      <c r="M792" s="1375">
        <f t="shared" ref="M792:M796" si="1084">H792*L792/K792</f>
        <v>0</v>
      </c>
      <c r="N792" s="1376">
        <v>1</v>
      </c>
      <c r="O792" s="1377">
        <f t="shared" ref="O792:O796" si="1085">M792*N792</f>
        <v>0</v>
      </c>
      <c r="P792" s="1375">
        <f t="shared" ref="P792:P796" si="1086">(M792+O792)*0.15</f>
        <v>0</v>
      </c>
      <c r="Q792" s="1378">
        <f t="shared" ref="Q792:Q796" si="1087">M792+O792+P792</f>
        <v>0</v>
      </c>
      <c r="R792" s="1375">
        <f t="shared" ref="R792:R796" si="1088">Q792*$R$1</f>
        <v>0</v>
      </c>
      <c r="S792" s="1375">
        <f t="shared" ref="S792:S796" si="1089">(Q792+R792)*$S$1</f>
        <v>0</v>
      </c>
      <c r="T792" s="1375">
        <f t="shared" ref="T792:T796" si="1090">Q792+R792+S792</f>
        <v>0</v>
      </c>
      <c r="U792" s="2028">
        <f t="shared" si="1081"/>
        <v>0</v>
      </c>
      <c r="V792" s="1357"/>
      <c r="W792" s="1357"/>
      <c r="X792" s="1357"/>
      <c r="Y792" s="1357"/>
      <c r="AD792" s="2141">
        <f t="shared" si="1017"/>
        <v>2.6</v>
      </c>
      <c r="AE792" s="2142" t="str">
        <f t="shared" si="965"/>
        <v/>
      </c>
      <c r="AG792" s="2118" t="s">
        <v>1816</v>
      </c>
    </row>
    <row r="793" spans="1:33" ht="28.5" hidden="1" outlineLevel="2" x14ac:dyDescent="0.2">
      <c r="A793" s="1360">
        <f>A792+1</f>
        <v>339</v>
      </c>
      <c r="B793" s="1372" t="s">
        <v>1790</v>
      </c>
      <c r="C793" s="532" t="s">
        <v>1726</v>
      </c>
      <c r="D793" s="1358">
        <v>3</v>
      </c>
      <c r="E793" s="499" t="s">
        <v>465</v>
      </c>
      <c r="F793" s="2024" t="s">
        <v>303</v>
      </c>
      <c r="G793" s="1392">
        <v>6.8029999999999999</v>
      </c>
      <c r="H793" s="1373"/>
      <c r="I793" s="1359">
        <f t="shared" si="1082"/>
        <v>0</v>
      </c>
      <c r="J793" s="1374" t="str">
        <f t="shared" si="1083"/>
        <v>0:0:00</v>
      </c>
      <c r="K793" s="500">
        <v>1000</v>
      </c>
      <c r="L793" s="2009">
        <v>516.33000000000004</v>
      </c>
      <c r="M793" s="1375">
        <f t="shared" si="1084"/>
        <v>0</v>
      </c>
      <c r="N793" s="1376">
        <v>1</v>
      </c>
      <c r="O793" s="1377">
        <f t="shared" si="1085"/>
        <v>0</v>
      </c>
      <c r="P793" s="1375">
        <f t="shared" si="1086"/>
        <v>0</v>
      </c>
      <c r="Q793" s="1378">
        <f t="shared" si="1087"/>
        <v>0</v>
      </c>
      <c r="R793" s="1375">
        <f t="shared" si="1088"/>
        <v>0</v>
      </c>
      <c r="S793" s="1375">
        <f t="shared" si="1089"/>
        <v>0</v>
      </c>
      <c r="T793" s="1375">
        <f t="shared" si="1090"/>
        <v>0</v>
      </c>
      <c r="U793" s="2028">
        <f t="shared" si="1081"/>
        <v>0</v>
      </c>
      <c r="V793" s="1357"/>
      <c r="W793" s="1357"/>
      <c r="X793" s="1357"/>
      <c r="Y793" s="1357"/>
      <c r="AD793" s="2141">
        <f t="shared" si="1017"/>
        <v>2.6</v>
      </c>
      <c r="AE793" s="2142" t="str">
        <f t="shared" si="965"/>
        <v/>
      </c>
      <c r="AG793" s="2118" t="s">
        <v>1816</v>
      </c>
    </row>
    <row r="794" spans="1:33" ht="28.5" hidden="1" outlineLevel="2" x14ac:dyDescent="0.2">
      <c r="A794" s="1360">
        <f t="shared" ref="A794:A796" si="1091">A793+1</f>
        <v>340</v>
      </c>
      <c r="B794" s="1372" t="s">
        <v>1791</v>
      </c>
      <c r="C794" s="532" t="s">
        <v>1728</v>
      </c>
      <c r="D794" s="1358">
        <v>3</v>
      </c>
      <c r="E794" s="499" t="s">
        <v>465</v>
      </c>
      <c r="F794" s="2024" t="s">
        <v>303</v>
      </c>
      <c r="G794" s="1392">
        <v>7.8129999999999997</v>
      </c>
      <c r="H794" s="1373"/>
      <c r="I794" s="1359">
        <f t="shared" si="1082"/>
        <v>0</v>
      </c>
      <c r="J794" s="1374" t="str">
        <f t="shared" si="1083"/>
        <v>0:0:00</v>
      </c>
      <c r="K794" s="500">
        <v>1000</v>
      </c>
      <c r="L794" s="2009">
        <v>592.97</v>
      </c>
      <c r="M794" s="1375">
        <f t="shared" si="1084"/>
        <v>0</v>
      </c>
      <c r="N794" s="1376">
        <v>1</v>
      </c>
      <c r="O794" s="1377">
        <f t="shared" si="1085"/>
        <v>0</v>
      </c>
      <c r="P794" s="1375">
        <f t="shared" si="1086"/>
        <v>0</v>
      </c>
      <c r="Q794" s="1378">
        <f t="shared" si="1087"/>
        <v>0</v>
      </c>
      <c r="R794" s="1375">
        <f t="shared" si="1088"/>
        <v>0</v>
      </c>
      <c r="S794" s="1375">
        <f t="shared" si="1089"/>
        <v>0</v>
      </c>
      <c r="T794" s="1375">
        <f t="shared" si="1090"/>
        <v>0</v>
      </c>
      <c r="U794" s="2028">
        <f t="shared" si="1081"/>
        <v>0</v>
      </c>
      <c r="V794" s="1357"/>
      <c r="W794" s="1357"/>
      <c r="X794" s="1357"/>
      <c r="Y794" s="1357"/>
      <c r="AD794" s="2141">
        <f t="shared" si="1017"/>
        <v>2.6</v>
      </c>
      <c r="AE794" s="2142" t="str">
        <f t="shared" si="965"/>
        <v/>
      </c>
      <c r="AG794" s="2118" t="s">
        <v>1816</v>
      </c>
    </row>
    <row r="795" spans="1:33" ht="28.5" hidden="1" outlineLevel="2" x14ac:dyDescent="0.2">
      <c r="A795" s="1360">
        <f t="shared" si="1091"/>
        <v>341</v>
      </c>
      <c r="B795" s="1372" t="s">
        <v>1792</v>
      </c>
      <c r="C795" s="532" t="s">
        <v>1730</v>
      </c>
      <c r="D795" s="1358">
        <v>3</v>
      </c>
      <c r="E795" s="499" t="s">
        <v>465</v>
      </c>
      <c r="F795" s="2024" t="s">
        <v>303</v>
      </c>
      <c r="G795" s="1392">
        <v>9.0090000000000003</v>
      </c>
      <c r="H795" s="1373"/>
      <c r="I795" s="1359">
        <f t="shared" si="1082"/>
        <v>0</v>
      </c>
      <c r="J795" s="1374" t="str">
        <f t="shared" si="1083"/>
        <v>0:0:00</v>
      </c>
      <c r="K795" s="500">
        <v>1000</v>
      </c>
      <c r="L795" s="2009">
        <v>683.78</v>
      </c>
      <c r="M795" s="1375">
        <f t="shared" si="1084"/>
        <v>0</v>
      </c>
      <c r="N795" s="1376">
        <v>1</v>
      </c>
      <c r="O795" s="1377">
        <f t="shared" si="1085"/>
        <v>0</v>
      </c>
      <c r="P795" s="1375">
        <f t="shared" si="1086"/>
        <v>0</v>
      </c>
      <c r="Q795" s="1378">
        <f t="shared" si="1087"/>
        <v>0</v>
      </c>
      <c r="R795" s="1375">
        <f t="shared" si="1088"/>
        <v>0</v>
      </c>
      <c r="S795" s="1375">
        <f t="shared" si="1089"/>
        <v>0</v>
      </c>
      <c r="T795" s="1375">
        <f t="shared" si="1090"/>
        <v>0</v>
      </c>
      <c r="U795" s="2028">
        <f t="shared" si="1081"/>
        <v>0</v>
      </c>
      <c r="V795" s="1357"/>
      <c r="W795" s="1357"/>
      <c r="X795" s="1357"/>
      <c r="Y795" s="1357"/>
      <c r="AD795" s="2141">
        <f t="shared" si="1017"/>
        <v>2.6</v>
      </c>
      <c r="AE795" s="2142" t="str">
        <f t="shared" ref="AE795:AE844" si="1092">IF(T795&gt;0,T795*AD795,"")</f>
        <v/>
      </c>
      <c r="AG795" s="2118" t="s">
        <v>1816</v>
      </c>
    </row>
    <row r="796" spans="1:33" ht="28.5" hidden="1" outlineLevel="2" x14ac:dyDescent="0.2">
      <c r="A796" s="1360">
        <f t="shared" si="1091"/>
        <v>342</v>
      </c>
      <c r="B796" s="1372" t="s">
        <v>1793</v>
      </c>
      <c r="C796" s="532" t="s">
        <v>1732</v>
      </c>
      <c r="D796" s="1358">
        <v>3</v>
      </c>
      <c r="E796" s="499" t="s">
        <v>465</v>
      </c>
      <c r="F796" s="2024" t="s">
        <v>303</v>
      </c>
      <c r="G796" s="1392">
        <v>10.308999999999999</v>
      </c>
      <c r="H796" s="1373"/>
      <c r="I796" s="1359">
        <f t="shared" si="1082"/>
        <v>0</v>
      </c>
      <c r="J796" s="1374" t="str">
        <f t="shared" si="1083"/>
        <v>0:0:00</v>
      </c>
      <c r="K796" s="500">
        <v>1000</v>
      </c>
      <c r="L796" s="2009">
        <v>782.47</v>
      </c>
      <c r="M796" s="1375">
        <f t="shared" si="1084"/>
        <v>0</v>
      </c>
      <c r="N796" s="1376">
        <v>1</v>
      </c>
      <c r="O796" s="1377">
        <f t="shared" si="1085"/>
        <v>0</v>
      </c>
      <c r="P796" s="1375">
        <f t="shared" si="1086"/>
        <v>0</v>
      </c>
      <c r="Q796" s="1378">
        <f t="shared" si="1087"/>
        <v>0</v>
      </c>
      <c r="R796" s="1375">
        <f t="shared" si="1088"/>
        <v>0</v>
      </c>
      <c r="S796" s="1375">
        <f t="shared" si="1089"/>
        <v>0</v>
      </c>
      <c r="T796" s="1375">
        <f t="shared" si="1090"/>
        <v>0</v>
      </c>
      <c r="U796" s="2028">
        <f t="shared" si="1081"/>
        <v>0</v>
      </c>
      <c r="V796" s="1357"/>
      <c r="W796" s="1357"/>
      <c r="X796" s="1357"/>
      <c r="Y796" s="1357"/>
      <c r="AD796" s="2141">
        <f t="shared" si="1017"/>
        <v>2.6</v>
      </c>
      <c r="AE796" s="2142" t="str">
        <f t="shared" si="1092"/>
        <v/>
      </c>
      <c r="AG796" s="2118" t="s">
        <v>1816</v>
      </c>
    </row>
    <row r="797" spans="1:33" ht="30" hidden="1" outlineLevel="1" x14ac:dyDescent="0.2">
      <c r="A797" s="1360"/>
      <c r="B797" s="1380" t="s">
        <v>1747</v>
      </c>
      <c r="C797" s="522"/>
      <c r="D797" s="2152"/>
      <c r="E797" s="523" t="s">
        <v>218</v>
      </c>
      <c r="F797" s="2164"/>
      <c r="G797" s="2178"/>
      <c r="H797" s="1367"/>
      <c r="I797" s="2043">
        <f>SUM(I798:I807)</f>
        <v>0</v>
      </c>
      <c r="J797" s="524"/>
      <c r="K797" s="524"/>
      <c r="L797" s="526"/>
      <c r="M797" s="1368"/>
      <c r="N797" s="524"/>
      <c r="O797" s="1369"/>
      <c r="P797" s="1368"/>
      <c r="Q797" s="1370"/>
      <c r="R797" s="1368"/>
      <c r="S797" s="1371">
        <f>SUM(T798:T807)</f>
        <v>0</v>
      </c>
      <c r="T797" s="1370"/>
      <c r="U797" s="2028">
        <f t="shared" ref="U797:U807" si="1093">IF(T797&gt;0,1,0)</f>
        <v>0</v>
      </c>
      <c r="V797" s="1357"/>
      <c r="W797" s="1357"/>
      <c r="X797" s="1357"/>
      <c r="Y797" s="1357"/>
      <c r="AD797" s="2141" t="str">
        <f t="shared" si="1017"/>
        <v/>
      </c>
      <c r="AE797" s="2142" t="str">
        <f t="shared" si="1092"/>
        <v/>
      </c>
      <c r="AG797" s="2118" t="s">
        <v>1816</v>
      </c>
    </row>
    <row r="798" spans="1:33" ht="28.5" hidden="1" customHeight="1" outlineLevel="2" x14ac:dyDescent="0.2">
      <c r="A798" s="1360">
        <f>A796+1</f>
        <v>343</v>
      </c>
      <c r="B798" s="1372" t="s">
        <v>1748</v>
      </c>
      <c r="C798" s="532"/>
      <c r="D798" s="1358">
        <v>2</v>
      </c>
      <c r="E798" s="499" t="s">
        <v>465</v>
      </c>
      <c r="F798" s="2024" t="s">
        <v>303</v>
      </c>
      <c r="G798" s="1355">
        <v>2.4E-2</v>
      </c>
      <c r="H798" s="1373"/>
      <c r="I798" s="1359">
        <f>IF(G798=0,0,IF(H798&gt;0,IF((G798*H798/K798)&lt;0.084,0.084,(G798*H798/K798)),0))</f>
        <v>0</v>
      </c>
      <c r="J798" s="1374" t="str">
        <f t="shared" ref="J798:J807" si="1094">CONCATENATE(TRUNC(I798,0),":",INT((I798-(TRUNC(I798,0)))*60),":","00")</f>
        <v>0:0:00</v>
      </c>
      <c r="K798" s="500">
        <v>1</v>
      </c>
      <c r="L798" s="2009">
        <v>1.52</v>
      </c>
      <c r="M798" s="1375">
        <f t="shared" ref="M798:M807" si="1095">H798*L798/K798</f>
        <v>0</v>
      </c>
      <c r="N798" s="1376">
        <v>1</v>
      </c>
      <c r="O798" s="1377">
        <f t="shared" ref="O798:O807" si="1096">M798*N798</f>
        <v>0</v>
      </c>
      <c r="P798" s="1375">
        <f t="shared" ref="P798:P807" si="1097">(M798+O798)*0.15</f>
        <v>0</v>
      </c>
      <c r="Q798" s="1378">
        <f t="shared" ref="Q798:Q807" si="1098">M798+O798+P798</f>
        <v>0</v>
      </c>
      <c r="R798" s="1375">
        <f t="shared" ref="R798:R807" si="1099">Q798*$R$1</f>
        <v>0</v>
      </c>
      <c r="S798" s="1375">
        <f t="shared" ref="S798:S807" si="1100">(Q798+R798)*$S$1</f>
        <v>0</v>
      </c>
      <c r="T798" s="1375">
        <f t="shared" ref="T798:T807" si="1101">Q798+R798+S798</f>
        <v>0</v>
      </c>
      <c r="U798" s="2028">
        <f t="shared" si="1093"/>
        <v>0</v>
      </c>
      <c r="V798" s="1357"/>
      <c r="W798" s="1357"/>
      <c r="X798" s="1357"/>
      <c r="Y798" s="1357"/>
      <c r="AD798" s="2141">
        <f t="shared" si="1017"/>
        <v>1.5</v>
      </c>
      <c r="AE798" s="2142" t="str">
        <f t="shared" si="1092"/>
        <v/>
      </c>
      <c r="AG798" s="2118" t="s">
        <v>1816</v>
      </c>
    </row>
    <row r="799" spans="1:33" ht="14.25" hidden="1" outlineLevel="2" x14ac:dyDescent="0.2">
      <c r="A799" s="1360">
        <f>A798+1</f>
        <v>344</v>
      </c>
      <c r="B799" s="1372" t="s">
        <v>1749</v>
      </c>
      <c r="C799" s="532"/>
      <c r="D799" s="1358">
        <v>2</v>
      </c>
      <c r="E799" s="499" t="s">
        <v>465</v>
      </c>
      <c r="F799" s="2024" t="s">
        <v>303</v>
      </c>
      <c r="G799" s="1355">
        <v>0.01</v>
      </c>
      <c r="H799" s="1373"/>
      <c r="I799" s="1359">
        <f t="shared" ref="I799:I807" si="1102">IF(G799=0,0,IF(H799&gt;0,IF((G799*H799/K799)&lt;0.084,0.084,(G799*H799/K799)),0))</f>
        <v>0</v>
      </c>
      <c r="J799" s="1374" t="str">
        <f t="shared" ref="J799:J803" si="1103">CONCATENATE(TRUNC(I799,0),":",INT((I799-(TRUNC(I799,0)))*60),":","00")</f>
        <v>0:0:00</v>
      </c>
      <c r="K799" s="500">
        <v>1</v>
      </c>
      <c r="L799" s="2009">
        <v>0.63</v>
      </c>
      <c r="M799" s="1375">
        <f t="shared" ref="M799:M803" si="1104">H799*L799/K799</f>
        <v>0</v>
      </c>
      <c r="N799" s="1376">
        <v>1</v>
      </c>
      <c r="O799" s="1377">
        <f t="shared" ref="O799:O803" si="1105">M799*N799</f>
        <v>0</v>
      </c>
      <c r="P799" s="1375">
        <f t="shared" ref="P799:P803" si="1106">(M799+O799)*0.15</f>
        <v>0</v>
      </c>
      <c r="Q799" s="1378">
        <f t="shared" ref="Q799:Q803" si="1107">M799+O799+P799</f>
        <v>0</v>
      </c>
      <c r="R799" s="1375">
        <f t="shared" ref="R799:R803" si="1108">Q799*$R$1</f>
        <v>0</v>
      </c>
      <c r="S799" s="1375">
        <f t="shared" ref="S799:S803" si="1109">(Q799+R799)*$S$1</f>
        <v>0</v>
      </c>
      <c r="T799" s="1375">
        <f t="shared" ref="T799:T803" si="1110">Q799+R799+S799</f>
        <v>0</v>
      </c>
      <c r="U799" s="2028">
        <f t="shared" ref="U799:U803" si="1111">IF(T799&gt;0,1,0)</f>
        <v>0</v>
      </c>
      <c r="V799" s="1357"/>
      <c r="W799" s="1357"/>
      <c r="X799" s="1357"/>
      <c r="Y799" s="1357"/>
      <c r="AD799" s="2141">
        <f t="shared" si="1017"/>
        <v>1.5</v>
      </c>
      <c r="AE799" s="2142" t="str">
        <f t="shared" si="1092"/>
        <v/>
      </c>
      <c r="AG799" s="2118" t="s">
        <v>1816</v>
      </c>
    </row>
    <row r="800" spans="1:33" ht="14.25" hidden="1" outlineLevel="2" x14ac:dyDescent="0.2">
      <c r="A800" s="1360">
        <f t="shared" ref="A800:A807" si="1112">A799+1</f>
        <v>345</v>
      </c>
      <c r="B800" s="1372" t="s">
        <v>1750</v>
      </c>
      <c r="C800" s="532"/>
      <c r="D800" s="1358">
        <v>2</v>
      </c>
      <c r="E800" s="499" t="s">
        <v>465</v>
      </c>
      <c r="F800" s="2024" t="s">
        <v>303</v>
      </c>
      <c r="G800" s="1355">
        <v>5.2149999999999999</v>
      </c>
      <c r="H800" s="1373"/>
      <c r="I800" s="1359">
        <f t="shared" si="1102"/>
        <v>0</v>
      </c>
      <c r="J800" s="1374" t="str">
        <f t="shared" si="1103"/>
        <v>0:0:00</v>
      </c>
      <c r="K800" s="500">
        <v>1000</v>
      </c>
      <c r="L800" s="2009">
        <v>329.43</v>
      </c>
      <c r="M800" s="1375">
        <f t="shared" si="1104"/>
        <v>0</v>
      </c>
      <c r="N800" s="1376">
        <v>1</v>
      </c>
      <c r="O800" s="1377">
        <f t="shared" si="1105"/>
        <v>0</v>
      </c>
      <c r="P800" s="1375">
        <f t="shared" si="1106"/>
        <v>0</v>
      </c>
      <c r="Q800" s="1378">
        <f t="shared" si="1107"/>
        <v>0</v>
      </c>
      <c r="R800" s="1375">
        <f t="shared" si="1108"/>
        <v>0</v>
      </c>
      <c r="S800" s="1375">
        <f t="shared" si="1109"/>
        <v>0</v>
      </c>
      <c r="T800" s="1375">
        <f t="shared" si="1110"/>
        <v>0</v>
      </c>
      <c r="U800" s="2028">
        <f t="shared" si="1111"/>
        <v>0</v>
      </c>
      <c r="V800" s="1357"/>
      <c r="W800" s="1357"/>
      <c r="X800" s="1357"/>
      <c r="Y800" s="1357"/>
      <c r="AD800" s="2141">
        <f t="shared" si="1017"/>
        <v>1.5</v>
      </c>
      <c r="AE800" s="2142" t="str">
        <f t="shared" si="1092"/>
        <v/>
      </c>
      <c r="AG800" s="2118" t="s">
        <v>1816</v>
      </c>
    </row>
    <row r="801" spans="1:33" ht="28.5" hidden="1" outlineLevel="2" x14ac:dyDescent="0.2">
      <c r="A801" s="1360">
        <f t="shared" si="1112"/>
        <v>346</v>
      </c>
      <c r="B801" s="1372" t="s">
        <v>1751</v>
      </c>
      <c r="C801" s="532"/>
      <c r="D801" s="1358">
        <v>2</v>
      </c>
      <c r="E801" s="499" t="s">
        <v>465</v>
      </c>
      <c r="F801" s="2024" t="s">
        <v>303</v>
      </c>
      <c r="G801" s="1355">
        <v>5.0000000000000001E-3</v>
      </c>
      <c r="H801" s="1373"/>
      <c r="I801" s="1359">
        <f t="shared" si="1102"/>
        <v>0</v>
      </c>
      <c r="J801" s="1374" t="str">
        <f t="shared" ref="J801:J802" si="1113">CONCATENATE(TRUNC(I801,0),":",INT((I801-(TRUNC(I801,0)))*60),":","00")</f>
        <v>0:0:00</v>
      </c>
      <c r="K801" s="500">
        <v>1</v>
      </c>
      <c r="L801" s="2009">
        <v>0.32</v>
      </c>
      <c r="M801" s="1375">
        <f t="shared" ref="M801:M802" si="1114">H801*L801/K801</f>
        <v>0</v>
      </c>
      <c r="N801" s="1376">
        <v>1</v>
      </c>
      <c r="O801" s="1377">
        <f t="shared" ref="O801:O802" si="1115">M801*N801</f>
        <v>0</v>
      </c>
      <c r="P801" s="1375">
        <f t="shared" ref="P801:P802" si="1116">(M801+O801)*0.15</f>
        <v>0</v>
      </c>
      <c r="Q801" s="1378">
        <f t="shared" ref="Q801:Q802" si="1117">M801+O801+P801</f>
        <v>0</v>
      </c>
      <c r="R801" s="1375">
        <f t="shared" ref="R801:R802" si="1118">Q801*$R$1</f>
        <v>0</v>
      </c>
      <c r="S801" s="1375">
        <f t="shared" ref="S801:S802" si="1119">(Q801+R801)*$S$1</f>
        <v>0</v>
      </c>
      <c r="T801" s="1375">
        <f t="shared" ref="T801:T802" si="1120">Q801+R801+S801</f>
        <v>0</v>
      </c>
      <c r="U801" s="2028">
        <f t="shared" ref="U801:U802" si="1121">IF(T801&gt;0,1,0)</f>
        <v>0</v>
      </c>
      <c r="V801" s="1357"/>
      <c r="W801" s="1357"/>
      <c r="X801" s="1357"/>
      <c r="Y801" s="1357"/>
      <c r="AD801" s="2141">
        <f t="shared" si="1017"/>
        <v>1.5</v>
      </c>
      <c r="AE801" s="2142" t="str">
        <f t="shared" si="1092"/>
        <v/>
      </c>
      <c r="AG801" s="2118" t="s">
        <v>1816</v>
      </c>
    </row>
    <row r="802" spans="1:33" ht="14.25" hidden="1" outlineLevel="2" x14ac:dyDescent="0.2">
      <c r="A802" s="1360">
        <f t="shared" si="1112"/>
        <v>347</v>
      </c>
      <c r="B802" s="1372" t="s">
        <v>1752</v>
      </c>
      <c r="C802" s="532"/>
      <c r="D802" s="1358">
        <v>2</v>
      </c>
      <c r="E802" s="499" t="s">
        <v>465</v>
      </c>
      <c r="F802" s="2024" t="s">
        <v>303</v>
      </c>
      <c r="G802" s="1355">
        <v>1.0999999999999999E-2</v>
      </c>
      <c r="H802" s="1373"/>
      <c r="I802" s="1359">
        <f t="shared" si="1102"/>
        <v>0</v>
      </c>
      <c r="J802" s="1374" t="str">
        <f t="shared" si="1113"/>
        <v>0:0:00</v>
      </c>
      <c r="K802" s="500">
        <v>1</v>
      </c>
      <c r="L802" s="2009">
        <v>0.7</v>
      </c>
      <c r="M802" s="1375">
        <f t="shared" si="1114"/>
        <v>0</v>
      </c>
      <c r="N802" s="1376">
        <v>1</v>
      </c>
      <c r="O802" s="1377">
        <f t="shared" si="1115"/>
        <v>0</v>
      </c>
      <c r="P802" s="1375">
        <f t="shared" si="1116"/>
        <v>0</v>
      </c>
      <c r="Q802" s="1378">
        <f t="shared" si="1117"/>
        <v>0</v>
      </c>
      <c r="R802" s="1375">
        <f t="shared" si="1118"/>
        <v>0</v>
      </c>
      <c r="S802" s="1375">
        <f t="shared" si="1119"/>
        <v>0</v>
      </c>
      <c r="T802" s="1375">
        <f t="shared" si="1120"/>
        <v>0</v>
      </c>
      <c r="U802" s="2028">
        <f t="shared" si="1121"/>
        <v>0</v>
      </c>
      <c r="V802" s="1357"/>
      <c r="W802" s="1357"/>
      <c r="X802" s="1357"/>
      <c r="Y802" s="1357"/>
      <c r="AD802" s="2141">
        <f t="shared" si="1017"/>
        <v>1.5</v>
      </c>
      <c r="AE802" s="2142" t="str">
        <f t="shared" si="1092"/>
        <v/>
      </c>
      <c r="AG802" s="2118" t="s">
        <v>1816</v>
      </c>
    </row>
    <row r="803" spans="1:33" ht="14.25" hidden="1" outlineLevel="2" x14ac:dyDescent="0.2">
      <c r="A803" s="1360">
        <f t="shared" si="1112"/>
        <v>348</v>
      </c>
      <c r="B803" s="1372" t="s">
        <v>1753</v>
      </c>
      <c r="C803" s="532"/>
      <c r="D803" s="1358">
        <v>2</v>
      </c>
      <c r="E803" s="499" t="s">
        <v>465</v>
      </c>
      <c r="F803" s="2024" t="s">
        <v>303</v>
      </c>
      <c r="G803" s="1355">
        <v>1.4E-2</v>
      </c>
      <c r="H803" s="1373"/>
      <c r="I803" s="1359">
        <f t="shared" si="1102"/>
        <v>0</v>
      </c>
      <c r="J803" s="1374" t="str">
        <f t="shared" si="1103"/>
        <v>0:0:00</v>
      </c>
      <c r="K803" s="500">
        <v>1</v>
      </c>
      <c r="L803" s="2009">
        <v>0.89</v>
      </c>
      <c r="M803" s="1375">
        <f t="shared" si="1104"/>
        <v>0</v>
      </c>
      <c r="N803" s="1376">
        <v>1</v>
      </c>
      <c r="O803" s="1377">
        <f t="shared" si="1105"/>
        <v>0</v>
      </c>
      <c r="P803" s="1375">
        <f t="shared" si="1106"/>
        <v>0</v>
      </c>
      <c r="Q803" s="1378">
        <f t="shared" si="1107"/>
        <v>0</v>
      </c>
      <c r="R803" s="1375">
        <f t="shared" si="1108"/>
        <v>0</v>
      </c>
      <c r="S803" s="1375">
        <f t="shared" si="1109"/>
        <v>0</v>
      </c>
      <c r="T803" s="1375">
        <f t="shared" si="1110"/>
        <v>0</v>
      </c>
      <c r="U803" s="2028">
        <f t="shared" si="1111"/>
        <v>0</v>
      </c>
      <c r="V803" s="1357"/>
      <c r="W803" s="1357"/>
      <c r="X803" s="1357"/>
      <c r="Y803" s="1357"/>
      <c r="AD803" s="2141">
        <f t="shared" si="1017"/>
        <v>1.5</v>
      </c>
      <c r="AE803" s="2142" t="str">
        <f t="shared" si="1092"/>
        <v/>
      </c>
      <c r="AG803" s="2118" t="s">
        <v>1816</v>
      </c>
    </row>
    <row r="804" spans="1:33" ht="14.25" hidden="1" outlineLevel="2" x14ac:dyDescent="0.2">
      <c r="A804" s="1360">
        <f t="shared" si="1112"/>
        <v>349</v>
      </c>
      <c r="B804" s="1372" t="s">
        <v>1754</v>
      </c>
      <c r="C804" s="532"/>
      <c r="D804" s="1358">
        <v>2</v>
      </c>
      <c r="E804" s="499" t="s">
        <v>465</v>
      </c>
      <c r="F804" s="2046" t="s">
        <v>303</v>
      </c>
      <c r="G804" s="1355">
        <v>6.9640000000000004</v>
      </c>
      <c r="H804" s="1373"/>
      <c r="I804" s="1359">
        <f t="shared" si="1102"/>
        <v>0</v>
      </c>
      <c r="J804" s="1374" t="str">
        <f t="shared" si="1094"/>
        <v>0:0:00</v>
      </c>
      <c r="K804" s="500">
        <v>1000</v>
      </c>
      <c r="L804" s="2009">
        <v>439.24</v>
      </c>
      <c r="M804" s="1375">
        <f t="shared" si="1095"/>
        <v>0</v>
      </c>
      <c r="N804" s="1376">
        <v>1</v>
      </c>
      <c r="O804" s="1377">
        <f t="shared" si="1096"/>
        <v>0</v>
      </c>
      <c r="P804" s="1375">
        <f t="shared" si="1097"/>
        <v>0</v>
      </c>
      <c r="Q804" s="1378">
        <f t="shared" si="1098"/>
        <v>0</v>
      </c>
      <c r="R804" s="1375">
        <f t="shared" si="1099"/>
        <v>0</v>
      </c>
      <c r="S804" s="1375">
        <f t="shared" si="1100"/>
        <v>0</v>
      </c>
      <c r="T804" s="1375">
        <f t="shared" si="1101"/>
        <v>0</v>
      </c>
      <c r="U804" s="2028">
        <f t="shared" si="1093"/>
        <v>0</v>
      </c>
      <c r="V804" s="1357"/>
      <c r="W804" s="1357"/>
      <c r="X804" s="1357"/>
      <c r="Y804" s="1357"/>
      <c r="AD804" s="2141">
        <f t="shared" si="1017"/>
        <v>1.5</v>
      </c>
      <c r="AE804" s="2142" t="str">
        <f t="shared" si="1092"/>
        <v/>
      </c>
      <c r="AG804" s="2118" t="s">
        <v>1816</v>
      </c>
    </row>
    <row r="805" spans="1:33" ht="14.25" hidden="1" outlineLevel="2" x14ac:dyDescent="0.2">
      <c r="A805" s="1360">
        <f t="shared" si="1112"/>
        <v>350</v>
      </c>
      <c r="B805" s="1372" t="s">
        <v>1755</v>
      </c>
      <c r="C805" s="532"/>
      <c r="D805" s="1358">
        <v>2</v>
      </c>
      <c r="E805" s="499" t="s">
        <v>465</v>
      </c>
      <c r="F805" s="2046" t="s">
        <v>303</v>
      </c>
      <c r="G805" s="1355">
        <v>2.5</v>
      </c>
      <c r="H805" s="1373"/>
      <c r="I805" s="1359">
        <f t="shared" si="1102"/>
        <v>0</v>
      </c>
      <c r="J805" s="1374" t="str">
        <f t="shared" si="1094"/>
        <v>0:0:00</v>
      </c>
      <c r="K805" s="500">
        <v>1000</v>
      </c>
      <c r="L805" s="2009">
        <v>158.13</v>
      </c>
      <c r="M805" s="1375">
        <f t="shared" si="1095"/>
        <v>0</v>
      </c>
      <c r="N805" s="1376">
        <v>1</v>
      </c>
      <c r="O805" s="1377">
        <f t="shared" si="1096"/>
        <v>0</v>
      </c>
      <c r="P805" s="1375">
        <f t="shared" si="1097"/>
        <v>0</v>
      </c>
      <c r="Q805" s="1378">
        <f t="shared" si="1098"/>
        <v>0</v>
      </c>
      <c r="R805" s="1375">
        <f t="shared" si="1099"/>
        <v>0</v>
      </c>
      <c r="S805" s="1375">
        <f t="shared" si="1100"/>
        <v>0</v>
      </c>
      <c r="T805" s="1375">
        <f t="shared" si="1101"/>
        <v>0</v>
      </c>
      <c r="U805" s="2028">
        <f t="shared" si="1093"/>
        <v>0</v>
      </c>
      <c r="V805" s="1357"/>
      <c r="W805" s="1357"/>
      <c r="X805" s="1357"/>
      <c r="Y805" s="1357"/>
      <c r="AD805" s="2141">
        <f t="shared" si="1017"/>
        <v>1.5</v>
      </c>
      <c r="AE805" s="2142" t="str">
        <f t="shared" si="1092"/>
        <v/>
      </c>
      <c r="AG805" s="2118" t="s">
        <v>1816</v>
      </c>
    </row>
    <row r="806" spans="1:33" ht="14.25" hidden="1" outlineLevel="2" x14ac:dyDescent="0.2">
      <c r="A806" s="1360">
        <f t="shared" si="1112"/>
        <v>351</v>
      </c>
      <c r="B806" s="1372" t="s">
        <v>1756</v>
      </c>
      <c r="C806" s="532"/>
      <c r="D806" s="1358">
        <v>2</v>
      </c>
      <c r="E806" s="499" t="s">
        <v>465</v>
      </c>
      <c r="F806" s="2046" t="s">
        <v>303</v>
      </c>
      <c r="G806" s="1355">
        <v>6.25</v>
      </c>
      <c r="H806" s="1373"/>
      <c r="I806" s="1359">
        <f t="shared" si="1102"/>
        <v>0</v>
      </c>
      <c r="J806" s="1374" t="str">
        <f t="shared" si="1094"/>
        <v>0:0:00</v>
      </c>
      <c r="K806" s="500">
        <v>1000</v>
      </c>
      <c r="L806" s="2009">
        <v>395.31</v>
      </c>
      <c r="M806" s="1375">
        <f t="shared" si="1095"/>
        <v>0</v>
      </c>
      <c r="N806" s="1376">
        <v>1</v>
      </c>
      <c r="O806" s="1377">
        <f t="shared" si="1096"/>
        <v>0</v>
      </c>
      <c r="P806" s="1375">
        <f t="shared" si="1097"/>
        <v>0</v>
      </c>
      <c r="Q806" s="1378">
        <f t="shared" si="1098"/>
        <v>0</v>
      </c>
      <c r="R806" s="1375">
        <f t="shared" si="1099"/>
        <v>0</v>
      </c>
      <c r="S806" s="1375">
        <f t="shared" si="1100"/>
        <v>0</v>
      </c>
      <c r="T806" s="1375">
        <f t="shared" si="1101"/>
        <v>0</v>
      </c>
      <c r="U806" s="2028">
        <f t="shared" si="1093"/>
        <v>0</v>
      </c>
      <c r="V806" s="1357"/>
      <c r="W806" s="1357"/>
      <c r="X806" s="1357"/>
      <c r="Y806" s="1357"/>
      <c r="AD806" s="2141">
        <f t="shared" si="1017"/>
        <v>1.5</v>
      </c>
      <c r="AE806" s="2142" t="str">
        <f t="shared" si="1092"/>
        <v/>
      </c>
      <c r="AG806" s="2118" t="s">
        <v>1816</v>
      </c>
    </row>
    <row r="807" spans="1:33" ht="14.25" hidden="1" outlineLevel="2" x14ac:dyDescent="0.2">
      <c r="A807" s="1360">
        <f t="shared" si="1112"/>
        <v>352</v>
      </c>
      <c r="B807" s="1372" t="s">
        <v>1757</v>
      </c>
      <c r="C807" s="532"/>
      <c r="D807" s="1358">
        <v>2</v>
      </c>
      <c r="E807" s="499" t="s">
        <v>465</v>
      </c>
      <c r="F807" s="2046" t="s">
        <v>303</v>
      </c>
      <c r="G807" s="1355">
        <v>8.1170000000000009</v>
      </c>
      <c r="H807" s="1373"/>
      <c r="I807" s="1359">
        <f t="shared" si="1102"/>
        <v>0</v>
      </c>
      <c r="J807" s="1374" t="str">
        <f t="shared" si="1094"/>
        <v>0:0:00</v>
      </c>
      <c r="K807" s="500">
        <v>1000</v>
      </c>
      <c r="L807" s="2009">
        <v>514.23</v>
      </c>
      <c r="M807" s="1375">
        <f t="shared" si="1095"/>
        <v>0</v>
      </c>
      <c r="N807" s="1376">
        <v>1</v>
      </c>
      <c r="O807" s="1377">
        <f t="shared" si="1096"/>
        <v>0</v>
      </c>
      <c r="P807" s="1375">
        <f t="shared" si="1097"/>
        <v>0</v>
      </c>
      <c r="Q807" s="1378">
        <f t="shared" si="1098"/>
        <v>0</v>
      </c>
      <c r="R807" s="1375">
        <f t="shared" si="1099"/>
        <v>0</v>
      </c>
      <c r="S807" s="1375">
        <f t="shared" si="1100"/>
        <v>0</v>
      </c>
      <c r="T807" s="1375">
        <f t="shared" si="1101"/>
        <v>0</v>
      </c>
      <c r="U807" s="2028">
        <f t="shared" si="1093"/>
        <v>0</v>
      </c>
      <c r="V807" s="1357"/>
      <c r="W807" s="1357"/>
      <c r="X807" s="1357"/>
      <c r="Y807" s="1357"/>
      <c r="AD807" s="2141">
        <f t="shared" si="1017"/>
        <v>1.5</v>
      </c>
      <c r="AE807" s="2142" t="str">
        <f t="shared" si="1092"/>
        <v/>
      </c>
      <c r="AG807" s="2118" t="s">
        <v>1816</v>
      </c>
    </row>
    <row r="808" spans="1:33" ht="30" hidden="1" outlineLevel="1" x14ac:dyDescent="0.2">
      <c r="A808" s="1360"/>
      <c r="B808" s="1380" t="s">
        <v>494</v>
      </c>
      <c r="C808" s="522"/>
      <c r="D808" s="2152"/>
      <c r="E808" s="523" t="s">
        <v>218</v>
      </c>
      <c r="F808" s="2164"/>
      <c r="G808" s="2178"/>
      <c r="H808" s="1367"/>
      <c r="I808" s="2043">
        <f>SUM(I809:I811)</f>
        <v>0</v>
      </c>
      <c r="J808" s="524"/>
      <c r="K808" s="524"/>
      <c r="L808" s="526"/>
      <c r="M808" s="1368"/>
      <c r="N808" s="524"/>
      <c r="O808" s="1369"/>
      <c r="P808" s="1368"/>
      <c r="Q808" s="1370"/>
      <c r="R808" s="1368"/>
      <c r="S808" s="1371">
        <f>SUM(T809:T811)</f>
        <v>0</v>
      </c>
      <c r="T808" s="1370"/>
      <c r="U808" s="2028">
        <f t="shared" ref="U808:U811" si="1122">IF(T808&gt;0,1,0)</f>
        <v>0</v>
      </c>
      <c r="V808" s="1357"/>
      <c r="W808" s="1357"/>
      <c r="X808" s="1357"/>
      <c r="Y808" s="1357"/>
      <c r="AD808" s="2141" t="str">
        <f t="shared" si="1017"/>
        <v/>
      </c>
      <c r="AE808" s="2142" t="str">
        <f t="shared" si="1092"/>
        <v/>
      </c>
      <c r="AG808" s="2118" t="s">
        <v>1816</v>
      </c>
    </row>
    <row r="809" spans="1:33" ht="28.5" hidden="1" customHeight="1" outlineLevel="2" x14ac:dyDescent="0.2">
      <c r="A809" s="1360">
        <f>A807+1</f>
        <v>353</v>
      </c>
      <c r="B809" s="1372" t="s">
        <v>1758</v>
      </c>
      <c r="C809" s="532"/>
      <c r="D809" s="1358">
        <v>2</v>
      </c>
      <c r="E809" s="499" t="s">
        <v>465</v>
      </c>
      <c r="F809" s="2046" t="s">
        <v>303</v>
      </c>
      <c r="G809" s="1355">
        <v>8.0470000000000006</v>
      </c>
      <c r="H809" s="1373"/>
      <c r="I809" s="1359">
        <f>IF(G809=0,0,IF(H809&gt;0,IF((G809*H809/K809)&lt;0.084,0.084,(G809*H809/K809)),0))</f>
        <v>0</v>
      </c>
      <c r="J809" s="1374" t="str">
        <f t="shared" ref="J809:J811" si="1123">CONCATENATE(TRUNC(I809,0),":",INT((I809-(TRUNC(I809,0)))*60),":","00")</f>
        <v>0:0:00</v>
      </c>
      <c r="K809" s="500">
        <v>1000</v>
      </c>
      <c r="L809" s="2009">
        <v>510.08</v>
      </c>
      <c r="M809" s="1375">
        <f t="shared" ref="M809:M811" si="1124">H809*L809/K809</f>
        <v>0</v>
      </c>
      <c r="N809" s="1376">
        <v>1</v>
      </c>
      <c r="O809" s="1377">
        <f t="shared" ref="O809:O811" si="1125">M809*N809</f>
        <v>0</v>
      </c>
      <c r="P809" s="1375">
        <f t="shared" ref="P809:P811" si="1126">(M809+O809)*0.15</f>
        <v>0</v>
      </c>
      <c r="Q809" s="1378">
        <f t="shared" ref="Q809:Q811" si="1127">M809+O809+P809</f>
        <v>0</v>
      </c>
      <c r="R809" s="1375">
        <f t="shared" ref="R809:R811" si="1128">Q809*$R$1</f>
        <v>0</v>
      </c>
      <c r="S809" s="1375">
        <f t="shared" ref="S809:S811" si="1129">(Q809+R809)*$S$1</f>
        <v>0</v>
      </c>
      <c r="T809" s="1375">
        <f t="shared" ref="T809:T811" si="1130">Q809+R809+S809</f>
        <v>0</v>
      </c>
      <c r="U809" s="2028">
        <f t="shared" si="1122"/>
        <v>0</v>
      </c>
      <c r="V809" s="1357"/>
      <c r="W809" s="1357"/>
      <c r="X809" s="1357"/>
      <c r="Y809" s="1357"/>
      <c r="AD809" s="2141">
        <f t="shared" si="1017"/>
        <v>1.5</v>
      </c>
      <c r="AE809" s="2142" t="str">
        <f t="shared" si="1092"/>
        <v/>
      </c>
      <c r="AG809" s="2118" t="s">
        <v>1816</v>
      </c>
    </row>
    <row r="810" spans="1:33" ht="28.5" hidden="1" outlineLevel="2" x14ac:dyDescent="0.2">
      <c r="A810" s="1360">
        <f>A809+1</f>
        <v>354</v>
      </c>
      <c r="B810" s="1372" t="s">
        <v>1759</v>
      </c>
      <c r="C810" s="532"/>
      <c r="D810" s="1358">
        <v>2</v>
      </c>
      <c r="E810" s="499" t="s">
        <v>465</v>
      </c>
      <c r="F810" s="2046" t="s">
        <v>303</v>
      </c>
      <c r="G810" s="1355">
        <v>6.5039999999999996</v>
      </c>
      <c r="H810" s="1373"/>
      <c r="I810" s="1359">
        <f>IF(G810=0,0,IF(H810&gt;0,IF((G810*H810/K810)&lt;0.084,0.084,(G810*H810/K810)),0))</f>
        <v>0</v>
      </c>
      <c r="J810" s="1374" t="str">
        <f t="shared" si="1123"/>
        <v>0:0:00</v>
      </c>
      <c r="K810" s="500">
        <v>1000</v>
      </c>
      <c r="L810" s="2009">
        <v>410.71</v>
      </c>
      <c r="M810" s="1375">
        <f t="shared" si="1124"/>
        <v>0</v>
      </c>
      <c r="N810" s="1376">
        <v>1</v>
      </c>
      <c r="O810" s="1377">
        <f t="shared" si="1125"/>
        <v>0</v>
      </c>
      <c r="P810" s="1375">
        <f t="shared" si="1126"/>
        <v>0</v>
      </c>
      <c r="Q810" s="1378">
        <f t="shared" si="1127"/>
        <v>0</v>
      </c>
      <c r="R810" s="1375">
        <f t="shared" si="1128"/>
        <v>0</v>
      </c>
      <c r="S810" s="1375">
        <f t="shared" si="1129"/>
        <v>0</v>
      </c>
      <c r="T810" s="1375">
        <f t="shared" si="1130"/>
        <v>0</v>
      </c>
      <c r="U810" s="2028">
        <f t="shared" si="1122"/>
        <v>0</v>
      </c>
      <c r="V810" s="1357"/>
      <c r="W810" s="1357"/>
      <c r="X810" s="1357"/>
      <c r="Y810" s="1357"/>
      <c r="AD810" s="2141">
        <f t="shared" si="1017"/>
        <v>1.5</v>
      </c>
      <c r="AE810" s="2142" t="str">
        <f t="shared" si="1092"/>
        <v/>
      </c>
      <c r="AG810" s="2118" t="s">
        <v>1816</v>
      </c>
    </row>
    <row r="811" spans="1:33" ht="28.5" hidden="1" outlineLevel="2" x14ac:dyDescent="0.2">
      <c r="A811" s="1360">
        <f>A810+1</f>
        <v>355</v>
      </c>
      <c r="B811" s="1372" t="s">
        <v>1760</v>
      </c>
      <c r="C811" s="532"/>
      <c r="D811" s="1358">
        <v>2</v>
      </c>
      <c r="E811" s="499" t="s">
        <v>465</v>
      </c>
      <c r="F811" s="2046" t="s">
        <v>303</v>
      </c>
      <c r="G811" s="1355">
        <v>4.34</v>
      </c>
      <c r="H811" s="1373"/>
      <c r="I811" s="1359">
        <f>IF(G811=0,0,IF(H811&gt;0,IF((G811*H811/K811)&lt;0.084,0.084,(G811*H811/K811)),0))</f>
        <v>0</v>
      </c>
      <c r="J811" s="1374" t="str">
        <f t="shared" si="1123"/>
        <v>0:0:00</v>
      </c>
      <c r="K811" s="500">
        <v>1000</v>
      </c>
      <c r="L811" s="2009">
        <v>275</v>
      </c>
      <c r="M811" s="1375">
        <f t="shared" si="1124"/>
        <v>0</v>
      </c>
      <c r="N811" s="1376">
        <v>1</v>
      </c>
      <c r="O811" s="1377">
        <f t="shared" si="1125"/>
        <v>0</v>
      </c>
      <c r="P811" s="1375">
        <f t="shared" si="1126"/>
        <v>0</v>
      </c>
      <c r="Q811" s="1378">
        <f t="shared" si="1127"/>
        <v>0</v>
      </c>
      <c r="R811" s="1375">
        <f t="shared" si="1128"/>
        <v>0</v>
      </c>
      <c r="S811" s="1375">
        <f t="shared" si="1129"/>
        <v>0</v>
      </c>
      <c r="T811" s="1375">
        <f t="shared" si="1130"/>
        <v>0</v>
      </c>
      <c r="U811" s="2028">
        <f t="shared" si="1122"/>
        <v>0</v>
      </c>
      <c r="V811" s="1357"/>
      <c r="W811" s="1357"/>
      <c r="X811" s="1357"/>
      <c r="Y811" s="1357"/>
      <c r="AD811" s="2141">
        <f t="shared" si="1017"/>
        <v>1.5</v>
      </c>
      <c r="AE811" s="2142" t="str">
        <f t="shared" si="1092"/>
        <v/>
      </c>
      <c r="AG811" s="2118" t="s">
        <v>1816</v>
      </c>
    </row>
    <row r="812" spans="1:33" ht="15" hidden="1" outlineLevel="1" x14ac:dyDescent="0.2">
      <c r="A812" s="1360"/>
      <c r="B812" s="1380" t="s">
        <v>1151</v>
      </c>
      <c r="C812" s="522"/>
      <c r="D812" s="2152"/>
      <c r="E812" s="523" t="s">
        <v>218</v>
      </c>
      <c r="F812" s="2164"/>
      <c r="G812" s="2178"/>
      <c r="H812" s="1367"/>
      <c r="I812" s="2043">
        <f>SUM(I813:I818)</f>
        <v>0</v>
      </c>
      <c r="J812" s="524"/>
      <c r="K812" s="524"/>
      <c r="L812" s="526"/>
      <c r="M812" s="1368"/>
      <c r="N812" s="524"/>
      <c r="O812" s="1369"/>
      <c r="P812" s="1368"/>
      <c r="Q812" s="1370"/>
      <c r="R812" s="1368"/>
      <c r="S812" s="1371">
        <f>SUM(T813:T818)</f>
        <v>0</v>
      </c>
      <c r="T812" s="1370"/>
      <c r="U812" s="2028">
        <f t="shared" si="964"/>
        <v>0</v>
      </c>
      <c r="V812" s="1357"/>
      <c r="W812" s="1357"/>
      <c r="X812" s="1357"/>
      <c r="Y812" s="1357"/>
      <c r="AD812" s="2141" t="str">
        <f t="shared" si="1017"/>
        <v/>
      </c>
      <c r="AE812" s="2142" t="str">
        <f t="shared" si="1092"/>
        <v/>
      </c>
      <c r="AG812" s="2118" t="s">
        <v>1816</v>
      </c>
    </row>
    <row r="813" spans="1:33" ht="28.5" hidden="1" customHeight="1" outlineLevel="2" x14ac:dyDescent="0.2">
      <c r="A813" s="1360">
        <f>A811+1</f>
        <v>356</v>
      </c>
      <c r="B813" s="1372" t="s">
        <v>1761</v>
      </c>
      <c r="C813" s="532"/>
      <c r="D813" s="1358">
        <v>2</v>
      </c>
      <c r="E813" s="499" t="s">
        <v>465</v>
      </c>
      <c r="F813" s="2046" t="s">
        <v>344</v>
      </c>
      <c r="G813" s="1355">
        <v>3.2000000000000001E-2</v>
      </c>
      <c r="H813" s="1373"/>
      <c r="I813" s="1359">
        <f t="shared" ref="I813:I818" si="1131">IF(G813=0,0,IF(H813&gt;0,IF((G813*H813/K813)&lt;0.084,0.084,(G813*H813/K813)),0))</f>
        <v>0</v>
      </c>
      <c r="J813" s="1374" t="str">
        <f t="shared" ref="J813:J818" si="1132">CONCATENATE(TRUNC(I813,0),":",INT((I813-(TRUNC(I813,0)))*60),":","00")</f>
        <v>0:0:00</v>
      </c>
      <c r="K813" s="500">
        <v>1000</v>
      </c>
      <c r="L813" s="2009">
        <v>2.02</v>
      </c>
      <c r="M813" s="1375">
        <f t="shared" ref="M813:M818" si="1133">H813*L813/K813</f>
        <v>0</v>
      </c>
      <c r="N813" s="1376">
        <v>1</v>
      </c>
      <c r="O813" s="1377">
        <f t="shared" ref="O813:O818" si="1134">M813*N813</f>
        <v>0</v>
      </c>
      <c r="P813" s="1375">
        <f t="shared" ref="P813:P818" si="1135">(M813+O813)*0.15</f>
        <v>0</v>
      </c>
      <c r="Q813" s="1378">
        <f t="shared" ref="Q813:Q818" si="1136">M813+O813+P813</f>
        <v>0</v>
      </c>
      <c r="R813" s="1375">
        <f t="shared" ref="R813:R818" si="1137">Q813*$R$1</f>
        <v>0</v>
      </c>
      <c r="S813" s="1375">
        <f t="shared" ref="S813:S818" si="1138">(Q813+R813)*$S$1</f>
        <v>0</v>
      </c>
      <c r="T813" s="1375">
        <f t="shared" ref="T813:T818" si="1139">Q813+R813+S813</f>
        <v>0</v>
      </c>
      <c r="U813" s="2028">
        <f t="shared" si="964"/>
        <v>0</v>
      </c>
      <c r="V813" s="1357"/>
      <c r="W813" s="1357"/>
      <c r="X813" s="1357"/>
      <c r="Y813" s="1357"/>
      <c r="AD813" s="2141">
        <f t="shared" si="1017"/>
        <v>1.5</v>
      </c>
      <c r="AE813" s="2142" t="str">
        <f t="shared" si="1092"/>
        <v/>
      </c>
      <c r="AG813" s="2118" t="s">
        <v>1816</v>
      </c>
    </row>
    <row r="814" spans="1:33" ht="14.25" hidden="1" outlineLevel="2" x14ac:dyDescent="0.2">
      <c r="A814" s="1360">
        <f>A813+1</f>
        <v>357</v>
      </c>
      <c r="B814" s="1372" t="s">
        <v>1762</v>
      </c>
      <c r="C814" s="532"/>
      <c r="D814" s="1358">
        <v>2</v>
      </c>
      <c r="E814" s="499" t="s">
        <v>465</v>
      </c>
      <c r="F814" s="2046" t="s">
        <v>303</v>
      </c>
      <c r="G814" s="1355">
        <v>1.2999999999999999E-2</v>
      </c>
      <c r="H814" s="1373"/>
      <c r="I814" s="1359">
        <f t="shared" si="1131"/>
        <v>0</v>
      </c>
      <c r="J814" s="1374" t="str">
        <f t="shared" si="1132"/>
        <v>0:0:00</v>
      </c>
      <c r="K814" s="500">
        <v>1</v>
      </c>
      <c r="L814" s="2009">
        <v>0.82</v>
      </c>
      <c r="M814" s="1375">
        <f t="shared" si="1133"/>
        <v>0</v>
      </c>
      <c r="N814" s="1376">
        <v>1</v>
      </c>
      <c r="O814" s="1377">
        <f t="shared" si="1134"/>
        <v>0</v>
      </c>
      <c r="P814" s="1375">
        <f t="shared" si="1135"/>
        <v>0</v>
      </c>
      <c r="Q814" s="1378">
        <f t="shared" si="1136"/>
        <v>0</v>
      </c>
      <c r="R814" s="1375">
        <f t="shared" si="1137"/>
        <v>0</v>
      </c>
      <c r="S814" s="1375">
        <f t="shared" si="1138"/>
        <v>0</v>
      </c>
      <c r="T814" s="1375">
        <f t="shared" si="1139"/>
        <v>0</v>
      </c>
      <c r="U814" s="2028">
        <f t="shared" si="964"/>
        <v>0</v>
      </c>
      <c r="V814" s="1357"/>
      <c r="W814" s="1357"/>
      <c r="X814" s="1357"/>
      <c r="Y814" s="1357"/>
      <c r="AD814" s="2141">
        <f t="shared" si="1017"/>
        <v>1.5</v>
      </c>
      <c r="AE814" s="2142" t="str">
        <f t="shared" si="1092"/>
        <v/>
      </c>
      <c r="AG814" s="2118" t="s">
        <v>1816</v>
      </c>
    </row>
    <row r="815" spans="1:33" ht="28.5" hidden="1" outlineLevel="2" x14ac:dyDescent="0.2">
      <c r="A815" s="1360">
        <f>A814+1</f>
        <v>358</v>
      </c>
      <c r="B815" s="1372" t="s">
        <v>1763</v>
      </c>
      <c r="C815" s="532" t="s">
        <v>475</v>
      </c>
      <c r="D815" s="1358">
        <v>2</v>
      </c>
      <c r="E815" s="499" t="s">
        <v>465</v>
      </c>
      <c r="F815" s="2046" t="s">
        <v>303</v>
      </c>
      <c r="G815" s="1355">
        <v>1.4E-2</v>
      </c>
      <c r="H815" s="1373"/>
      <c r="I815" s="1359">
        <f t="shared" si="1131"/>
        <v>0</v>
      </c>
      <c r="J815" s="1374" t="str">
        <f t="shared" si="1132"/>
        <v>0:0:00</v>
      </c>
      <c r="K815" s="500">
        <v>1</v>
      </c>
      <c r="L815" s="2009">
        <v>0.89</v>
      </c>
      <c r="M815" s="1375">
        <f t="shared" si="1133"/>
        <v>0</v>
      </c>
      <c r="N815" s="1376">
        <v>1</v>
      </c>
      <c r="O815" s="1377">
        <f t="shared" si="1134"/>
        <v>0</v>
      </c>
      <c r="P815" s="1375">
        <f t="shared" si="1135"/>
        <v>0</v>
      </c>
      <c r="Q815" s="1378">
        <f t="shared" si="1136"/>
        <v>0</v>
      </c>
      <c r="R815" s="1375">
        <f t="shared" si="1137"/>
        <v>0</v>
      </c>
      <c r="S815" s="1375">
        <f t="shared" si="1138"/>
        <v>0</v>
      </c>
      <c r="T815" s="1375">
        <f t="shared" si="1139"/>
        <v>0</v>
      </c>
      <c r="U815" s="2028">
        <f t="shared" si="964"/>
        <v>0</v>
      </c>
      <c r="V815" s="1357"/>
      <c r="W815" s="1357"/>
      <c r="X815" s="1357"/>
      <c r="Y815" s="1357"/>
      <c r="AD815" s="2141">
        <f t="shared" si="1017"/>
        <v>1.5</v>
      </c>
      <c r="AE815" s="2142" t="str">
        <f t="shared" si="1092"/>
        <v/>
      </c>
      <c r="AG815" s="2118" t="s">
        <v>1816</v>
      </c>
    </row>
    <row r="816" spans="1:33" ht="42.75" hidden="1" outlineLevel="2" x14ac:dyDescent="0.2">
      <c r="A816" s="1360">
        <f t="shared" ref="A816:A818" si="1140">A815+1</f>
        <v>359</v>
      </c>
      <c r="B816" s="1372" t="s">
        <v>1764</v>
      </c>
      <c r="C816" s="532" t="s">
        <v>452</v>
      </c>
      <c r="D816" s="1358">
        <v>2</v>
      </c>
      <c r="E816" s="499" t="s">
        <v>465</v>
      </c>
      <c r="F816" s="2046" t="s">
        <v>303</v>
      </c>
      <c r="G816" s="1355">
        <v>8.1000000000000003E-2</v>
      </c>
      <c r="H816" s="1373"/>
      <c r="I816" s="1359">
        <f t="shared" si="1131"/>
        <v>0</v>
      </c>
      <c r="J816" s="1374" t="str">
        <f t="shared" si="1132"/>
        <v>0:0:00</v>
      </c>
      <c r="K816" s="500">
        <v>1</v>
      </c>
      <c r="L816" s="2009">
        <v>5.12</v>
      </c>
      <c r="M816" s="1375">
        <f t="shared" si="1133"/>
        <v>0</v>
      </c>
      <c r="N816" s="1376">
        <v>1</v>
      </c>
      <c r="O816" s="1377">
        <f t="shared" si="1134"/>
        <v>0</v>
      </c>
      <c r="P816" s="1375">
        <f t="shared" si="1135"/>
        <v>0</v>
      </c>
      <c r="Q816" s="1378">
        <f t="shared" si="1136"/>
        <v>0</v>
      </c>
      <c r="R816" s="1375">
        <f t="shared" si="1137"/>
        <v>0</v>
      </c>
      <c r="S816" s="1375">
        <f t="shared" si="1138"/>
        <v>0</v>
      </c>
      <c r="T816" s="1375">
        <f t="shared" si="1139"/>
        <v>0</v>
      </c>
      <c r="U816" s="2028">
        <f t="shared" si="964"/>
        <v>0</v>
      </c>
      <c r="V816" s="1357"/>
      <c r="W816" s="1357"/>
      <c r="X816" s="1357"/>
      <c r="Y816" s="1357"/>
      <c r="AD816" s="2141">
        <f t="shared" si="1017"/>
        <v>1.5</v>
      </c>
      <c r="AE816" s="2142" t="str">
        <f t="shared" si="1092"/>
        <v/>
      </c>
      <c r="AG816" s="2118" t="s">
        <v>1816</v>
      </c>
    </row>
    <row r="817" spans="1:33" ht="42.75" hidden="1" outlineLevel="2" x14ac:dyDescent="0.2">
      <c r="A817" s="1360">
        <f t="shared" si="1140"/>
        <v>360</v>
      </c>
      <c r="B817" s="1372" t="s">
        <v>1765</v>
      </c>
      <c r="C817" s="532" t="s">
        <v>451</v>
      </c>
      <c r="D817" s="1358">
        <v>2</v>
      </c>
      <c r="E817" s="499" t="s">
        <v>465</v>
      </c>
      <c r="F817" s="2046" t="s">
        <v>303</v>
      </c>
      <c r="G817" s="1355">
        <v>7.0000000000000007E-2</v>
      </c>
      <c r="H817" s="1373"/>
      <c r="I817" s="1359">
        <f t="shared" si="1131"/>
        <v>0</v>
      </c>
      <c r="J817" s="1374" t="str">
        <f t="shared" si="1132"/>
        <v>0:0:00</v>
      </c>
      <c r="K817" s="500">
        <v>1</v>
      </c>
      <c r="L817" s="2009">
        <v>4.43</v>
      </c>
      <c r="M817" s="1375">
        <f t="shared" si="1133"/>
        <v>0</v>
      </c>
      <c r="N817" s="1376">
        <v>1</v>
      </c>
      <c r="O817" s="1377">
        <f t="shared" si="1134"/>
        <v>0</v>
      </c>
      <c r="P817" s="1375">
        <f t="shared" si="1135"/>
        <v>0</v>
      </c>
      <c r="Q817" s="1378">
        <f t="shared" si="1136"/>
        <v>0</v>
      </c>
      <c r="R817" s="1375">
        <f t="shared" si="1137"/>
        <v>0</v>
      </c>
      <c r="S817" s="1375">
        <f t="shared" si="1138"/>
        <v>0</v>
      </c>
      <c r="T817" s="1375">
        <f t="shared" si="1139"/>
        <v>0</v>
      </c>
      <c r="U817" s="2028">
        <f t="shared" si="964"/>
        <v>0</v>
      </c>
      <c r="V817" s="1357"/>
      <c r="W817" s="1357"/>
      <c r="X817" s="1357"/>
      <c r="Y817" s="1357"/>
      <c r="AD817" s="2141">
        <f t="shared" si="1017"/>
        <v>1.5</v>
      </c>
      <c r="AE817" s="2142" t="str">
        <f t="shared" si="1092"/>
        <v/>
      </c>
      <c r="AG817" s="2118" t="s">
        <v>1816</v>
      </c>
    </row>
    <row r="818" spans="1:33" ht="28.5" hidden="1" outlineLevel="2" x14ac:dyDescent="0.2">
      <c r="A818" s="1360">
        <f t="shared" si="1140"/>
        <v>361</v>
      </c>
      <c r="B818" s="1372" t="s">
        <v>1766</v>
      </c>
      <c r="C818" s="532" t="s">
        <v>0</v>
      </c>
      <c r="D818" s="1358">
        <v>2</v>
      </c>
      <c r="E818" s="499" t="s">
        <v>465</v>
      </c>
      <c r="F818" s="2046" t="s">
        <v>303</v>
      </c>
      <c r="G818" s="1355">
        <v>1.552</v>
      </c>
      <c r="H818" s="1373"/>
      <c r="I818" s="1359">
        <f t="shared" si="1131"/>
        <v>0</v>
      </c>
      <c r="J818" s="1374" t="str">
        <f t="shared" si="1132"/>
        <v>0:0:00</v>
      </c>
      <c r="K818" s="500">
        <v>1000</v>
      </c>
      <c r="L818" s="2009">
        <v>98.219000000000008</v>
      </c>
      <c r="M818" s="1375">
        <f t="shared" si="1133"/>
        <v>0</v>
      </c>
      <c r="N818" s="1376">
        <v>1</v>
      </c>
      <c r="O818" s="1377">
        <f t="shared" si="1134"/>
        <v>0</v>
      </c>
      <c r="P818" s="1375">
        <f t="shared" si="1135"/>
        <v>0</v>
      </c>
      <c r="Q818" s="1378">
        <f t="shared" si="1136"/>
        <v>0</v>
      </c>
      <c r="R818" s="1375">
        <f t="shared" si="1137"/>
        <v>0</v>
      </c>
      <c r="S818" s="1375">
        <f t="shared" si="1138"/>
        <v>0</v>
      </c>
      <c r="T818" s="1375">
        <f t="shared" si="1139"/>
        <v>0</v>
      </c>
      <c r="U818" s="2028">
        <f t="shared" si="964"/>
        <v>0</v>
      </c>
      <c r="V818" s="1357"/>
      <c r="W818" s="1357"/>
      <c r="X818" s="1357"/>
      <c r="Y818" s="1357"/>
      <c r="AD818" s="2141">
        <f t="shared" ref="AD818:AD844" si="1141">IF(D818&gt;0,LOOKUP(D818,$Z$30:$Z$33,$AA$30:$AA$33),"")</f>
        <v>1.5</v>
      </c>
      <c r="AE818" s="2142" t="str">
        <f t="shared" si="1092"/>
        <v/>
      </c>
      <c r="AG818" s="2118" t="s">
        <v>1816</v>
      </c>
    </row>
    <row r="819" spans="1:33" ht="30" hidden="1" outlineLevel="1" x14ac:dyDescent="0.2">
      <c r="A819" s="1360"/>
      <c r="B819" s="1366" t="s">
        <v>1902</v>
      </c>
      <c r="C819" s="522"/>
      <c r="D819" s="2152"/>
      <c r="E819" s="523" t="s">
        <v>218</v>
      </c>
      <c r="F819" s="2164"/>
      <c r="G819" s="2178"/>
      <c r="H819" s="1367"/>
      <c r="I819" s="2043">
        <f>SUM(I820:I825)</f>
        <v>0</v>
      </c>
      <c r="J819" s="524"/>
      <c r="K819" s="524"/>
      <c r="L819" s="526"/>
      <c r="M819" s="1368"/>
      <c r="N819" s="524"/>
      <c r="O819" s="1369"/>
      <c r="P819" s="1368"/>
      <c r="Q819" s="1370"/>
      <c r="R819" s="1368"/>
      <c r="S819" s="1371">
        <f>SUM(T820:T825)</f>
        <v>0</v>
      </c>
      <c r="T819" s="1370"/>
      <c r="U819" s="2028">
        <f t="shared" si="964"/>
        <v>0</v>
      </c>
      <c r="V819" s="1357"/>
      <c r="W819" s="1357"/>
      <c r="X819" s="1357"/>
      <c r="Y819" s="1357"/>
      <c r="AD819" s="2141" t="str">
        <f t="shared" si="1141"/>
        <v/>
      </c>
      <c r="AE819" s="2142" t="str">
        <f t="shared" si="1092"/>
        <v/>
      </c>
      <c r="AG819" s="2118" t="s">
        <v>1816</v>
      </c>
    </row>
    <row r="820" spans="1:33" ht="25.5" hidden="1" outlineLevel="2" x14ac:dyDescent="0.2">
      <c r="A820" s="1360">
        <f>A818+1</f>
        <v>362</v>
      </c>
      <c r="B820" s="1372" t="s">
        <v>1903</v>
      </c>
      <c r="C820" s="1394" t="s">
        <v>1904</v>
      </c>
      <c r="D820" s="1358">
        <v>3</v>
      </c>
      <c r="E820" s="499" t="s">
        <v>465</v>
      </c>
      <c r="F820" s="2170" t="s">
        <v>303</v>
      </c>
      <c r="G820" s="1355">
        <v>1.4E-2</v>
      </c>
      <c r="H820" s="1373"/>
      <c r="I820" s="1359">
        <f t="shared" ref="I820:I825" si="1142">IF(G820=0,0,IF(H820&gt;0,IF((G820*H820/K820)&lt;0.084,0.084,(G820*H820/K820)),0))</f>
        <v>0</v>
      </c>
      <c r="J820" s="1374" t="str">
        <f t="shared" ref="J820:J825" si="1143">CONCATENATE(TRUNC(I820,0),":",INT((I820-(TRUNC(I820,0)))*60),":","00")</f>
        <v>0:0:00</v>
      </c>
      <c r="K820" s="500">
        <v>1</v>
      </c>
      <c r="L820" s="2009">
        <v>0.97</v>
      </c>
      <c r="M820" s="1375">
        <f t="shared" ref="M820:M825" si="1144">H820*L820/K820</f>
        <v>0</v>
      </c>
      <c r="N820" s="1376">
        <v>1</v>
      </c>
      <c r="O820" s="1377">
        <f t="shared" ref="O820:O825" si="1145">M820*N820</f>
        <v>0</v>
      </c>
      <c r="P820" s="1375">
        <f t="shared" ref="P820:P825" si="1146">(M820+O820)*0.15</f>
        <v>0</v>
      </c>
      <c r="Q820" s="1378">
        <f t="shared" ref="Q820:Q825" si="1147">M820+O820+P820</f>
        <v>0</v>
      </c>
      <c r="R820" s="1375">
        <f t="shared" ref="R820:R825" si="1148">Q820*$R$1</f>
        <v>0</v>
      </c>
      <c r="S820" s="1375">
        <f t="shared" ref="S820:S825" si="1149">(Q820+R820)*$S$1</f>
        <v>0</v>
      </c>
      <c r="T820" s="1375">
        <f t="shared" ref="T820:T825" si="1150">Q820+R820+S820</f>
        <v>0</v>
      </c>
      <c r="U820" s="2028">
        <f t="shared" ref="U820:U821" si="1151">IF(T820&gt;0,1,0)</f>
        <v>0</v>
      </c>
      <c r="V820" s="1357"/>
      <c r="W820" s="1357"/>
      <c r="X820" s="1357"/>
      <c r="Y820" s="1357"/>
      <c r="AD820" s="2141">
        <f t="shared" si="1141"/>
        <v>2.6</v>
      </c>
      <c r="AE820" s="2142" t="str">
        <f t="shared" si="1092"/>
        <v/>
      </c>
      <c r="AG820" s="2118" t="s">
        <v>1816</v>
      </c>
    </row>
    <row r="821" spans="1:33" ht="25.5" hidden="1" outlineLevel="2" x14ac:dyDescent="0.2">
      <c r="A821" s="1360">
        <f>A820+1</f>
        <v>363</v>
      </c>
      <c r="B821" s="1372" t="s">
        <v>1905</v>
      </c>
      <c r="C821" s="532" t="s">
        <v>1904</v>
      </c>
      <c r="D821" s="1358">
        <v>3</v>
      </c>
      <c r="E821" s="499" t="s">
        <v>465</v>
      </c>
      <c r="F821" s="2170" t="s">
        <v>303</v>
      </c>
      <c r="G821" s="1355">
        <v>1.4999999999999999E-2</v>
      </c>
      <c r="H821" s="1373"/>
      <c r="I821" s="1359">
        <f t="shared" si="1142"/>
        <v>0</v>
      </c>
      <c r="J821" s="1374" t="str">
        <f t="shared" si="1143"/>
        <v>0:0:00</v>
      </c>
      <c r="K821" s="500">
        <v>1</v>
      </c>
      <c r="L821" s="2009">
        <v>1.03</v>
      </c>
      <c r="M821" s="1375">
        <f t="shared" si="1144"/>
        <v>0</v>
      </c>
      <c r="N821" s="1376">
        <v>1</v>
      </c>
      <c r="O821" s="1377">
        <f t="shared" si="1145"/>
        <v>0</v>
      </c>
      <c r="P821" s="1375">
        <f t="shared" si="1146"/>
        <v>0</v>
      </c>
      <c r="Q821" s="1378">
        <f t="shared" si="1147"/>
        <v>0</v>
      </c>
      <c r="R821" s="1375">
        <f t="shared" si="1148"/>
        <v>0</v>
      </c>
      <c r="S821" s="1375">
        <f t="shared" si="1149"/>
        <v>0</v>
      </c>
      <c r="T821" s="1375">
        <f t="shared" si="1150"/>
        <v>0</v>
      </c>
      <c r="U821" s="2028">
        <f t="shared" si="1151"/>
        <v>0</v>
      </c>
      <c r="V821" s="1357"/>
      <c r="W821" s="1357"/>
      <c r="X821" s="1357"/>
      <c r="Y821" s="1357"/>
      <c r="AD821" s="2141">
        <f t="shared" si="1141"/>
        <v>2.6</v>
      </c>
      <c r="AE821" s="2142" t="str">
        <f t="shared" si="1092"/>
        <v/>
      </c>
      <c r="AG821" s="2118" t="s">
        <v>1816</v>
      </c>
    </row>
    <row r="822" spans="1:33" ht="28.5" hidden="1" outlineLevel="2" x14ac:dyDescent="0.2">
      <c r="A822" s="1360">
        <f t="shared" ref="A822:A825" si="1152">A821+1</f>
        <v>364</v>
      </c>
      <c r="B822" s="1372" t="s">
        <v>1906</v>
      </c>
      <c r="C822" s="1394" t="s">
        <v>1904</v>
      </c>
      <c r="D822" s="1358">
        <v>3</v>
      </c>
      <c r="E822" s="499" t="s">
        <v>465</v>
      </c>
      <c r="F822" s="2170" t="s">
        <v>303</v>
      </c>
      <c r="G822" s="1355">
        <v>1.9E-2</v>
      </c>
      <c r="H822" s="1373"/>
      <c r="I822" s="1359">
        <f t="shared" si="1142"/>
        <v>0</v>
      </c>
      <c r="J822" s="1374" t="str">
        <f t="shared" si="1143"/>
        <v>0:0:00</v>
      </c>
      <c r="K822" s="500">
        <v>1</v>
      </c>
      <c r="L822" s="2009">
        <v>1.31</v>
      </c>
      <c r="M822" s="1375">
        <f t="shared" si="1144"/>
        <v>0</v>
      </c>
      <c r="N822" s="1376">
        <v>1</v>
      </c>
      <c r="O822" s="1377">
        <f t="shared" si="1145"/>
        <v>0</v>
      </c>
      <c r="P822" s="1375">
        <f t="shared" si="1146"/>
        <v>0</v>
      </c>
      <c r="Q822" s="1378">
        <f t="shared" si="1147"/>
        <v>0</v>
      </c>
      <c r="R822" s="1375">
        <f t="shared" si="1148"/>
        <v>0</v>
      </c>
      <c r="S822" s="1375">
        <f t="shared" si="1149"/>
        <v>0</v>
      </c>
      <c r="T822" s="1375">
        <f t="shared" si="1150"/>
        <v>0</v>
      </c>
      <c r="U822" s="2028">
        <f t="shared" ref="U822:U823" si="1153">IF(T822&gt;0,1,0)</f>
        <v>0</v>
      </c>
      <c r="V822" s="1357"/>
      <c r="W822" s="1357"/>
      <c r="X822" s="1357"/>
      <c r="Y822" s="1357"/>
      <c r="AD822" s="2141">
        <f t="shared" si="1141"/>
        <v>2.6</v>
      </c>
      <c r="AE822" s="2142" t="str">
        <f t="shared" si="1092"/>
        <v/>
      </c>
      <c r="AG822" s="2118" t="s">
        <v>1816</v>
      </c>
    </row>
    <row r="823" spans="1:33" ht="28.5" hidden="1" outlineLevel="2" x14ac:dyDescent="0.2">
      <c r="A823" s="1360">
        <f t="shared" si="1152"/>
        <v>365</v>
      </c>
      <c r="B823" s="1372" t="s">
        <v>1907</v>
      </c>
      <c r="C823" s="532" t="s">
        <v>1904</v>
      </c>
      <c r="D823" s="1358">
        <v>3</v>
      </c>
      <c r="E823" s="499" t="s">
        <v>465</v>
      </c>
      <c r="F823" s="2170" t="s">
        <v>303</v>
      </c>
      <c r="G823" s="1355">
        <v>1.7000000000000001E-2</v>
      </c>
      <c r="H823" s="1373"/>
      <c r="I823" s="1359">
        <f t="shared" si="1142"/>
        <v>0</v>
      </c>
      <c r="J823" s="1374" t="str">
        <f t="shared" si="1143"/>
        <v>0:0:00</v>
      </c>
      <c r="K823" s="500">
        <v>1</v>
      </c>
      <c r="L823" s="2009">
        <v>1.17</v>
      </c>
      <c r="M823" s="1375">
        <f t="shared" si="1144"/>
        <v>0</v>
      </c>
      <c r="N823" s="1376">
        <v>1</v>
      </c>
      <c r="O823" s="1377">
        <f t="shared" si="1145"/>
        <v>0</v>
      </c>
      <c r="P823" s="1375">
        <f t="shared" si="1146"/>
        <v>0</v>
      </c>
      <c r="Q823" s="1378">
        <f t="shared" si="1147"/>
        <v>0</v>
      </c>
      <c r="R823" s="1375">
        <f t="shared" si="1148"/>
        <v>0</v>
      </c>
      <c r="S823" s="1375">
        <f t="shared" si="1149"/>
        <v>0</v>
      </c>
      <c r="T823" s="1375">
        <f t="shared" si="1150"/>
        <v>0</v>
      </c>
      <c r="U823" s="2028">
        <f t="shared" si="1153"/>
        <v>0</v>
      </c>
      <c r="V823" s="1357"/>
      <c r="W823" s="1357"/>
      <c r="X823" s="1357"/>
      <c r="Y823" s="1357"/>
      <c r="AD823" s="2141">
        <f t="shared" si="1141"/>
        <v>2.6</v>
      </c>
      <c r="AE823" s="2142" t="str">
        <f t="shared" si="1092"/>
        <v/>
      </c>
      <c r="AG823" s="2118" t="s">
        <v>1816</v>
      </c>
    </row>
    <row r="824" spans="1:33" ht="28.5" hidden="1" outlineLevel="2" x14ac:dyDescent="0.2">
      <c r="A824" s="1360">
        <f t="shared" si="1152"/>
        <v>366</v>
      </c>
      <c r="B824" s="1372" t="s">
        <v>1908</v>
      </c>
      <c r="C824" s="1394" t="s">
        <v>1904</v>
      </c>
      <c r="D824" s="1358">
        <v>3</v>
      </c>
      <c r="E824" s="499" t="s">
        <v>465</v>
      </c>
      <c r="F824" s="2170" t="s">
        <v>303</v>
      </c>
      <c r="G824" s="1355">
        <v>1.4999999999999999E-2</v>
      </c>
      <c r="H824" s="1373"/>
      <c r="I824" s="1359">
        <f t="shared" si="1142"/>
        <v>0</v>
      </c>
      <c r="J824" s="1374" t="str">
        <f t="shared" si="1143"/>
        <v>0:0:00</v>
      </c>
      <c r="K824" s="500">
        <v>1</v>
      </c>
      <c r="L824" s="2009">
        <v>1.03</v>
      </c>
      <c r="M824" s="1375">
        <f t="shared" si="1144"/>
        <v>0</v>
      </c>
      <c r="N824" s="1376">
        <v>1</v>
      </c>
      <c r="O824" s="1377">
        <f t="shared" si="1145"/>
        <v>0</v>
      </c>
      <c r="P824" s="1375">
        <f t="shared" si="1146"/>
        <v>0</v>
      </c>
      <c r="Q824" s="1378">
        <f t="shared" si="1147"/>
        <v>0</v>
      </c>
      <c r="R824" s="1375">
        <f t="shared" si="1148"/>
        <v>0</v>
      </c>
      <c r="S824" s="1375">
        <f t="shared" si="1149"/>
        <v>0</v>
      </c>
      <c r="T824" s="1375">
        <f t="shared" si="1150"/>
        <v>0</v>
      </c>
      <c r="U824" s="2028">
        <f t="shared" si="964"/>
        <v>0</v>
      </c>
      <c r="V824" s="1357"/>
      <c r="W824" s="1357"/>
      <c r="X824" s="1357"/>
      <c r="Y824" s="1357"/>
      <c r="AD824" s="2141">
        <f t="shared" si="1141"/>
        <v>2.6</v>
      </c>
      <c r="AE824" s="2142" t="str">
        <f t="shared" si="1092"/>
        <v/>
      </c>
      <c r="AG824" s="2118" t="s">
        <v>1816</v>
      </c>
    </row>
    <row r="825" spans="1:33" ht="28.5" hidden="1" outlineLevel="2" x14ac:dyDescent="0.2">
      <c r="A825" s="1360">
        <f t="shared" si="1152"/>
        <v>367</v>
      </c>
      <c r="B825" s="1372" t="s">
        <v>1909</v>
      </c>
      <c r="C825" s="532" t="s">
        <v>1904</v>
      </c>
      <c r="D825" s="1358">
        <v>3</v>
      </c>
      <c r="E825" s="499" t="s">
        <v>465</v>
      </c>
      <c r="F825" s="2170" t="s">
        <v>303</v>
      </c>
      <c r="G825" s="1355">
        <v>1.2999999999999999E-2</v>
      </c>
      <c r="H825" s="1373"/>
      <c r="I825" s="1359">
        <f t="shared" si="1142"/>
        <v>0</v>
      </c>
      <c r="J825" s="1374" t="str">
        <f t="shared" si="1143"/>
        <v>0:0:00</v>
      </c>
      <c r="K825" s="500">
        <v>1</v>
      </c>
      <c r="L825" s="2009">
        <v>0.9</v>
      </c>
      <c r="M825" s="1375">
        <f t="shared" si="1144"/>
        <v>0</v>
      </c>
      <c r="N825" s="1376">
        <v>1</v>
      </c>
      <c r="O825" s="1377">
        <f t="shared" si="1145"/>
        <v>0</v>
      </c>
      <c r="P825" s="1375">
        <f t="shared" si="1146"/>
        <v>0</v>
      </c>
      <c r="Q825" s="1378">
        <f t="shared" si="1147"/>
        <v>0</v>
      </c>
      <c r="R825" s="1375">
        <f t="shared" si="1148"/>
        <v>0</v>
      </c>
      <c r="S825" s="1375">
        <f t="shared" si="1149"/>
        <v>0</v>
      </c>
      <c r="T825" s="1375">
        <f t="shared" si="1150"/>
        <v>0</v>
      </c>
      <c r="U825" s="2028">
        <f t="shared" si="964"/>
        <v>0</v>
      </c>
      <c r="V825" s="1357"/>
      <c r="W825" s="1357"/>
      <c r="X825" s="1357"/>
      <c r="Y825" s="1357"/>
      <c r="AD825" s="2141">
        <f t="shared" si="1141"/>
        <v>2.6</v>
      </c>
      <c r="AE825" s="2142" t="str">
        <f t="shared" si="1092"/>
        <v/>
      </c>
      <c r="AG825" s="2118" t="s">
        <v>1816</v>
      </c>
    </row>
    <row r="826" spans="1:33" ht="15" hidden="1" outlineLevel="1" x14ac:dyDescent="0.2">
      <c r="A826" s="1360"/>
      <c r="B826" s="1366" t="s">
        <v>470</v>
      </c>
      <c r="C826" s="522"/>
      <c r="D826" s="2152"/>
      <c r="E826" s="523" t="s">
        <v>218</v>
      </c>
      <c r="F826" s="2164"/>
      <c r="G826" s="2178"/>
      <c r="H826" s="1367"/>
      <c r="I826" s="2043">
        <f>I827</f>
        <v>1.375</v>
      </c>
      <c r="J826" s="524"/>
      <c r="K826" s="524"/>
      <c r="L826" s="526"/>
      <c r="M826" s="1368"/>
      <c r="N826" s="524"/>
      <c r="O826" s="1369"/>
      <c r="P826" s="1368"/>
      <c r="Q826" s="1370"/>
      <c r="R826" s="1368"/>
      <c r="S826" s="1371">
        <f>SUM(T827)</f>
        <v>194.649</v>
      </c>
      <c r="T826" s="1370"/>
      <c r="U826" s="2028">
        <f t="shared" si="964"/>
        <v>0</v>
      </c>
      <c r="V826" s="1357"/>
      <c r="W826" s="1357"/>
      <c r="X826" s="1357"/>
      <c r="Y826" s="1357"/>
      <c r="AD826" s="2141" t="str">
        <f t="shared" si="1141"/>
        <v/>
      </c>
      <c r="AE826" s="2142" t="str">
        <f t="shared" si="1092"/>
        <v/>
      </c>
      <c r="AG826" s="2118" t="s">
        <v>1816</v>
      </c>
    </row>
    <row r="827" spans="1:33" ht="14.25" outlineLevel="2" x14ac:dyDescent="0.2">
      <c r="A827" s="1360">
        <f>A825+1</f>
        <v>368</v>
      </c>
      <c r="B827" s="2143" t="s">
        <v>1768</v>
      </c>
      <c r="C827" s="532" t="s">
        <v>1769</v>
      </c>
      <c r="D827" s="1358">
        <v>1</v>
      </c>
      <c r="E827" s="499" t="s">
        <v>465</v>
      </c>
      <c r="F827" s="2170" t="s">
        <v>1767</v>
      </c>
      <c r="G827" s="1355">
        <v>1.0999999999999999E-2</v>
      </c>
      <c r="H827" s="1373">
        <f>Заказ!K59</f>
        <v>125</v>
      </c>
      <c r="I827" s="1359">
        <f t="shared" ref="I827" si="1154">IF(H827&gt;0,IF((G827*H827/K827)&lt;0.084,0.084,(G827*H827/K827)),0)</f>
        <v>1.375</v>
      </c>
      <c r="J827" s="1374" t="str">
        <f>CONCATENATE(TRUNC(I827,0),":",INT((I827-(TRUNC(I827,0)))*60),":","00")</f>
        <v>1:22:00</v>
      </c>
      <c r="K827" s="500">
        <v>1</v>
      </c>
      <c r="L827" s="2009">
        <v>0.52</v>
      </c>
      <c r="M827" s="1375">
        <f>H827*L827/K827</f>
        <v>65</v>
      </c>
      <c r="N827" s="1376">
        <v>1</v>
      </c>
      <c r="O827" s="1377">
        <f>M827*N827</f>
        <v>65</v>
      </c>
      <c r="P827" s="1375">
        <f>(M827+O827)*0.15</f>
        <v>19.5</v>
      </c>
      <c r="Q827" s="1378">
        <f>M827+O827+P827</f>
        <v>149.5</v>
      </c>
      <c r="R827" s="1375">
        <f>Q827*$R$1</f>
        <v>0</v>
      </c>
      <c r="S827" s="1375">
        <f>(Q827+R827)*$S$1</f>
        <v>45.149000000000001</v>
      </c>
      <c r="T827" s="1375">
        <f>Q827+R827+S827</f>
        <v>194.649</v>
      </c>
      <c r="U827" s="2028">
        <f t="shared" si="964"/>
        <v>1</v>
      </c>
      <c r="V827" s="1357"/>
      <c r="W827" s="1357"/>
      <c r="X827" s="1357"/>
      <c r="Y827" s="1357"/>
      <c r="AD827" s="2141">
        <f t="shared" si="1141"/>
        <v>1.5</v>
      </c>
      <c r="AE827" s="2142">
        <f t="shared" si="1092"/>
        <v>291.9735</v>
      </c>
      <c r="AG827" s="2118" t="s">
        <v>1816</v>
      </c>
    </row>
    <row r="828" spans="1:33" ht="15" hidden="1" outlineLevel="1" x14ac:dyDescent="0.2">
      <c r="A828" s="1360"/>
      <c r="B828" s="1380" t="s">
        <v>1770</v>
      </c>
      <c r="C828" s="522"/>
      <c r="D828" s="2152"/>
      <c r="E828" s="523" t="s">
        <v>218</v>
      </c>
      <c r="F828" s="2164"/>
      <c r="G828" s="2178"/>
      <c r="H828" s="1514"/>
      <c r="I828" s="2043">
        <f>SUM(I829:I839)</f>
        <v>0</v>
      </c>
      <c r="J828" s="524"/>
      <c r="K828" s="524"/>
      <c r="L828" s="526"/>
      <c r="M828" s="1368"/>
      <c r="N828" s="524"/>
      <c r="O828" s="1369"/>
      <c r="P828" s="1368"/>
      <c r="Q828" s="1370"/>
      <c r="R828" s="1368"/>
      <c r="S828" s="1371">
        <f>SUM(T829:T839)</f>
        <v>0</v>
      </c>
      <c r="T828" s="1370"/>
      <c r="U828" s="2028">
        <f t="shared" si="964"/>
        <v>0</v>
      </c>
      <c r="V828" s="1357"/>
      <c r="W828" s="1357"/>
      <c r="X828" s="1357"/>
      <c r="Y828" s="1357"/>
      <c r="AD828" s="2141" t="str">
        <f t="shared" si="1141"/>
        <v/>
      </c>
      <c r="AE828" s="2142" t="str">
        <f t="shared" si="1092"/>
        <v/>
      </c>
      <c r="AG828" s="2118" t="s">
        <v>1816</v>
      </c>
    </row>
    <row r="829" spans="1:33" ht="14.25" hidden="1" outlineLevel="2" x14ac:dyDescent="0.2">
      <c r="A829" s="1360">
        <f>A827+1</f>
        <v>369</v>
      </c>
      <c r="B829" s="1372" t="s">
        <v>1910</v>
      </c>
      <c r="C829" s="532"/>
      <c r="D829" s="1358">
        <v>1</v>
      </c>
      <c r="E829" s="499" t="s">
        <v>465</v>
      </c>
      <c r="F829" s="2170" t="s">
        <v>1767</v>
      </c>
      <c r="G829" s="1355">
        <v>1.0999999999999999E-2</v>
      </c>
      <c r="H829" s="1373"/>
      <c r="I829" s="1359">
        <f t="shared" ref="I829:I839" si="1155">IF(G829=0,0,IF(H829&gt;0,IF((G829*H829/K829)&lt;0.084,0.084,(G829*H829/K829)),0))</f>
        <v>0</v>
      </c>
      <c r="J829" s="1374" t="str">
        <f t="shared" ref="J829:J839" si="1156">CONCATENATE(TRUNC(I829,0),":",INT((I829-(TRUNC(I829,0)))*60),":","00")</f>
        <v>0:0:00</v>
      </c>
      <c r="K829" s="500">
        <v>1</v>
      </c>
      <c r="L829" s="2009">
        <v>0.52</v>
      </c>
      <c r="M829" s="1375">
        <f t="shared" ref="M829:M839" si="1157">H829*L829/K829</f>
        <v>0</v>
      </c>
      <c r="N829" s="1376">
        <v>1</v>
      </c>
      <c r="O829" s="1377">
        <f t="shared" ref="O829:O839" si="1158">M829*N829</f>
        <v>0</v>
      </c>
      <c r="P829" s="1375">
        <f t="shared" ref="P829:P839" si="1159">(M829+O829)*0.15</f>
        <v>0</v>
      </c>
      <c r="Q829" s="1378">
        <f t="shared" ref="Q829:Q839" si="1160">M829+O829+P829</f>
        <v>0</v>
      </c>
      <c r="R829" s="1375">
        <f t="shared" ref="R829:R839" si="1161">Q829*$R$1</f>
        <v>0</v>
      </c>
      <c r="S829" s="1375">
        <f t="shared" ref="S829:S839" si="1162">(Q829+R829)*$S$1</f>
        <v>0</v>
      </c>
      <c r="T829" s="1375">
        <f t="shared" ref="T829:T839" si="1163">Q829+R829+S829</f>
        <v>0</v>
      </c>
      <c r="U829" s="2028">
        <f t="shared" si="964"/>
        <v>0</v>
      </c>
      <c r="V829" s="1357"/>
      <c r="W829" s="1357"/>
      <c r="X829" s="1357"/>
      <c r="Y829" s="1357"/>
      <c r="AD829" s="2141">
        <f t="shared" si="1141"/>
        <v>1.5</v>
      </c>
      <c r="AE829" s="2142" t="str">
        <f t="shared" si="1092"/>
        <v/>
      </c>
      <c r="AG829" s="2118" t="s">
        <v>1816</v>
      </c>
    </row>
    <row r="830" spans="1:33" ht="30" hidden="1" outlineLevel="2" x14ac:dyDescent="0.2">
      <c r="A830" s="1360">
        <f>A829+1</f>
        <v>370</v>
      </c>
      <c r="B830" s="1372" t="s">
        <v>1920</v>
      </c>
      <c r="C830" s="532"/>
      <c r="D830" s="1358">
        <v>2</v>
      </c>
      <c r="E830" s="499" t="s">
        <v>465</v>
      </c>
      <c r="F830" s="2170" t="s">
        <v>303</v>
      </c>
      <c r="G830" s="1383">
        <v>8.0000000000000002E-3</v>
      </c>
      <c r="H830" s="1373"/>
      <c r="I830" s="1359">
        <f t="shared" si="1155"/>
        <v>0</v>
      </c>
      <c r="J830" s="1374" t="str">
        <f t="shared" si="1156"/>
        <v>0:0:00</v>
      </c>
      <c r="K830" s="500">
        <v>1</v>
      </c>
      <c r="L830" s="2009">
        <v>0.51</v>
      </c>
      <c r="M830" s="1375">
        <f t="shared" si="1157"/>
        <v>0</v>
      </c>
      <c r="N830" s="1376">
        <v>1</v>
      </c>
      <c r="O830" s="1377">
        <f t="shared" si="1158"/>
        <v>0</v>
      </c>
      <c r="P830" s="1375">
        <f t="shared" si="1159"/>
        <v>0</v>
      </c>
      <c r="Q830" s="1378">
        <f t="shared" si="1160"/>
        <v>0</v>
      </c>
      <c r="R830" s="1375">
        <f t="shared" si="1161"/>
        <v>0</v>
      </c>
      <c r="S830" s="1375">
        <f t="shared" si="1162"/>
        <v>0</v>
      </c>
      <c r="T830" s="1375">
        <f t="shared" si="1163"/>
        <v>0</v>
      </c>
      <c r="U830" s="2028">
        <f t="shared" si="964"/>
        <v>0</v>
      </c>
      <c r="V830" s="1357"/>
      <c r="W830" s="1357"/>
      <c r="X830" s="1357"/>
      <c r="Y830" s="1357"/>
      <c r="AD830" s="2141">
        <f t="shared" si="1141"/>
        <v>1.5</v>
      </c>
      <c r="AE830" s="2142" t="str">
        <f t="shared" si="1092"/>
        <v/>
      </c>
      <c r="AG830" s="2118" t="s">
        <v>1816</v>
      </c>
    </row>
    <row r="831" spans="1:33" ht="30" hidden="1" outlineLevel="2" x14ac:dyDescent="0.2">
      <c r="A831" s="1360">
        <f t="shared" ref="A831:A839" si="1164">A830+1</f>
        <v>371</v>
      </c>
      <c r="B831" s="1372" t="s">
        <v>1921</v>
      </c>
      <c r="C831" s="532"/>
      <c r="D831" s="1358">
        <v>2</v>
      </c>
      <c r="E831" s="499" t="s">
        <v>465</v>
      </c>
      <c r="F831" s="2170" t="s">
        <v>303</v>
      </c>
      <c r="G831" s="1383">
        <v>6.0000000000000001E-3</v>
      </c>
      <c r="H831" s="1373"/>
      <c r="I831" s="1359">
        <f t="shared" si="1155"/>
        <v>0</v>
      </c>
      <c r="J831" s="1374" t="str">
        <f t="shared" si="1156"/>
        <v>0:0:00</v>
      </c>
      <c r="K831" s="500">
        <v>1</v>
      </c>
      <c r="L831" s="2009">
        <v>0.38</v>
      </c>
      <c r="M831" s="1375">
        <f t="shared" si="1157"/>
        <v>0</v>
      </c>
      <c r="N831" s="1376">
        <v>1</v>
      </c>
      <c r="O831" s="1377">
        <f t="shared" si="1158"/>
        <v>0</v>
      </c>
      <c r="P831" s="1375">
        <f t="shared" si="1159"/>
        <v>0</v>
      </c>
      <c r="Q831" s="1378">
        <f t="shared" si="1160"/>
        <v>0</v>
      </c>
      <c r="R831" s="1375">
        <f t="shared" si="1161"/>
        <v>0</v>
      </c>
      <c r="S831" s="1375">
        <f t="shared" si="1162"/>
        <v>0</v>
      </c>
      <c r="T831" s="1375">
        <f t="shared" si="1163"/>
        <v>0</v>
      </c>
      <c r="U831" s="2028">
        <f t="shared" si="964"/>
        <v>0</v>
      </c>
      <c r="V831" s="1357"/>
      <c r="W831" s="1357"/>
      <c r="X831" s="1357"/>
      <c r="Y831" s="1357"/>
      <c r="AD831" s="2141">
        <f t="shared" si="1141"/>
        <v>1.5</v>
      </c>
      <c r="AE831" s="2142" t="str">
        <f t="shared" si="1092"/>
        <v/>
      </c>
      <c r="AG831" s="2118" t="s">
        <v>1816</v>
      </c>
    </row>
    <row r="832" spans="1:33" ht="30" hidden="1" outlineLevel="2" x14ac:dyDescent="0.2">
      <c r="A832" s="1360">
        <f t="shared" si="1164"/>
        <v>372</v>
      </c>
      <c r="B832" s="1372" t="s">
        <v>1922</v>
      </c>
      <c r="C832" s="532"/>
      <c r="D832" s="1358">
        <v>2</v>
      </c>
      <c r="E832" s="499" t="s">
        <v>465</v>
      </c>
      <c r="F832" s="2170" t="s">
        <v>303</v>
      </c>
      <c r="G832" s="1355">
        <v>0.01</v>
      </c>
      <c r="H832" s="1373"/>
      <c r="I832" s="1359">
        <f t="shared" si="1155"/>
        <v>0</v>
      </c>
      <c r="J832" s="1374" t="str">
        <f t="shared" si="1156"/>
        <v>0:0:00</v>
      </c>
      <c r="K832" s="500">
        <v>1</v>
      </c>
      <c r="L832" s="2009">
        <v>0.63</v>
      </c>
      <c r="M832" s="1375">
        <f t="shared" si="1157"/>
        <v>0</v>
      </c>
      <c r="N832" s="1376">
        <v>1</v>
      </c>
      <c r="O832" s="1377">
        <f t="shared" si="1158"/>
        <v>0</v>
      </c>
      <c r="P832" s="1375">
        <f t="shared" si="1159"/>
        <v>0</v>
      </c>
      <c r="Q832" s="1378">
        <f t="shared" si="1160"/>
        <v>0</v>
      </c>
      <c r="R832" s="1375">
        <f t="shared" si="1161"/>
        <v>0</v>
      </c>
      <c r="S832" s="1375">
        <f t="shared" si="1162"/>
        <v>0</v>
      </c>
      <c r="T832" s="1375">
        <f t="shared" si="1163"/>
        <v>0</v>
      </c>
      <c r="U832" s="2028">
        <f t="shared" si="964"/>
        <v>0</v>
      </c>
      <c r="V832" s="1357"/>
      <c r="W832" s="1357"/>
      <c r="X832" s="1357"/>
      <c r="Y832" s="1357"/>
      <c r="AD832" s="2141">
        <f t="shared" si="1141"/>
        <v>1.5</v>
      </c>
      <c r="AE832" s="2142" t="str">
        <f t="shared" si="1092"/>
        <v/>
      </c>
      <c r="AG832" s="2118" t="s">
        <v>1816</v>
      </c>
    </row>
    <row r="833" spans="1:33" ht="30" hidden="1" outlineLevel="2" x14ac:dyDescent="0.2">
      <c r="A833" s="1360">
        <f t="shared" si="1164"/>
        <v>373</v>
      </c>
      <c r="B833" s="1372" t="s">
        <v>1923</v>
      </c>
      <c r="C833" s="532"/>
      <c r="D833" s="1358">
        <v>2</v>
      </c>
      <c r="E833" s="499" t="s">
        <v>465</v>
      </c>
      <c r="F833" s="2170" t="s">
        <v>303</v>
      </c>
      <c r="G833" s="1355">
        <v>8.9999999999999993E-3</v>
      </c>
      <c r="H833" s="1373"/>
      <c r="I833" s="1359">
        <f t="shared" si="1155"/>
        <v>0</v>
      </c>
      <c r="J833" s="1374" t="str">
        <f t="shared" si="1156"/>
        <v>0:0:00</v>
      </c>
      <c r="K833" s="500">
        <v>1</v>
      </c>
      <c r="L833" s="2009">
        <v>0.56999999999999995</v>
      </c>
      <c r="M833" s="1375">
        <f t="shared" si="1157"/>
        <v>0</v>
      </c>
      <c r="N833" s="1376">
        <v>1</v>
      </c>
      <c r="O833" s="1377">
        <f t="shared" si="1158"/>
        <v>0</v>
      </c>
      <c r="P833" s="1375">
        <f t="shared" si="1159"/>
        <v>0</v>
      </c>
      <c r="Q833" s="1378">
        <f t="shared" si="1160"/>
        <v>0</v>
      </c>
      <c r="R833" s="1375">
        <f t="shared" si="1161"/>
        <v>0</v>
      </c>
      <c r="S833" s="1375">
        <f t="shared" si="1162"/>
        <v>0</v>
      </c>
      <c r="T833" s="1375">
        <f t="shared" si="1163"/>
        <v>0</v>
      </c>
      <c r="U833" s="2028">
        <f t="shared" ref="U833:U834" si="1165">IF(T833&gt;0,1,0)</f>
        <v>0</v>
      </c>
      <c r="V833" s="1357"/>
      <c r="W833" s="1357"/>
      <c r="X833" s="1357"/>
      <c r="Y833" s="1357"/>
      <c r="AD833" s="2141">
        <f t="shared" si="1141"/>
        <v>1.5</v>
      </c>
      <c r="AE833" s="2142" t="str">
        <f t="shared" si="1092"/>
        <v/>
      </c>
      <c r="AG833" s="2118" t="s">
        <v>1816</v>
      </c>
    </row>
    <row r="834" spans="1:33" ht="45" hidden="1" outlineLevel="2" x14ac:dyDescent="0.2">
      <c r="A834" s="1360">
        <f t="shared" si="1164"/>
        <v>374</v>
      </c>
      <c r="B834" s="1372" t="s">
        <v>1925</v>
      </c>
      <c r="C834" s="532"/>
      <c r="D834" s="1358">
        <v>2</v>
      </c>
      <c r="E834" s="499" t="s">
        <v>465</v>
      </c>
      <c r="F834" s="2170" t="s">
        <v>303</v>
      </c>
      <c r="G834" s="1355">
        <v>1.4E-2</v>
      </c>
      <c r="H834" s="1373"/>
      <c r="I834" s="1359">
        <f t="shared" si="1155"/>
        <v>0</v>
      </c>
      <c r="J834" s="1374" t="str">
        <f t="shared" si="1156"/>
        <v>0:0:00</v>
      </c>
      <c r="K834" s="500">
        <v>1</v>
      </c>
      <c r="L834" s="2009">
        <v>0.89</v>
      </c>
      <c r="M834" s="1375">
        <f t="shared" si="1157"/>
        <v>0</v>
      </c>
      <c r="N834" s="1376">
        <v>1</v>
      </c>
      <c r="O834" s="1377">
        <f t="shared" si="1158"/>
        <v>0</v>
      </c>
      <c r="P834" s="1375">
        <f t="shared" si="1159"/>
        <v>0</v>
      </c>
      <c r="Q834" s="1378">
        <f t="shared" si="1160"/>
        <v>0</v>
      </c>
      <c r="R834" s="1375">
        <f t="shared" si="1161"/>
        <v>0</v>
      </c>
      <c r="S834" s="1375">
        <f t="shared" si="1162"/>
        <v>0</v>
      </c>
      <c r="T834" s="1375">
        <f t="shared" si="1163"/>
        <v>0</v>
      </c>
      <c r="U834" s="2028">
        <f t="shared" si="1165"/>
        <v>0</v>
      </c>
      <c r="V834" s="1357"/>
      <c r="W834" s="1357"/>
      <c r="X834" s="1357"/>
      <c r="Y834" s="1357"/>
      <c r="AD834" s="2141">
        <f t="shared" si="1141"/>
        <v>1.5</v>
      </c>
      <c r="AE834" s="2142" t="str">
        <f t="shared" si="1092"/>
        <v/>
      </c>
      <c r="AG834" s="2118" t="s">
        <v>1816</v>
      </c>
    </row>
    <row r="835" spans="1:33" ht="45" hidden="1" outlineLevel="2" x14ac:dyDescent="0.2">
      <c r="A835" s="1360">
        <f t="shared" si="1164"/>
        <v>375</v>
      </c>
      <c r="B835" s="1372" t="s">
        <v>1926</v>
      </c>
      <c r="C835" s="532"/>
      <c r="D835" s="1358">
        <v>2</v>
      </c>
      <c r="E835" s="499" t="s">
        <v>465</v>
      </c>
      <c r="F835" s="2170" t="s">
        <v>303</v>
      </c>
      <c r="G835" s="1355">
        <v>1.2999999999999999E-2</v>
      </c>
      <c r="H835" s="1373"/>
      <c r="I835" s="1359">
        <f t="shared" si="1155"/>
        <v>0</v>
      </c>
      <c r="J835" s="1374" t="str">
        <f t="shared" si="1156"/>
        <v>0:0:00</v>
      </c>
      <c r="K835" s="500">
        <v>1</v>
      </c>
      <c r="L835" s="2009">
        <v>0.82</v>
      </c>
      <c r="M835" s="1375">
        <f t="shared" si="1157"/>
        <v>0</v>
      </c>
      <c r="N835" s="1376">
        <v>1</v>
      </c>
      <c r="O835" s="1377">
        <f t="shared" si="1158"/>
        <v>0</v>
      </c>
      <c r="P835" s="1375">
        <f t="shared" si="1159"/>
        <v>0</v>
      </c>
      <c r="Q835" s="1378">
        <f t="shared" si="1160"/>
        <v>0</v>
      </c>
      <c r="R835" s="1375">
        <f t="shared" si="1161"/>
        <v>0</v>
      </c>
      <c r="S835" s="1375">
        <f t="shared" si="1162"/>
        <v>0</v>
      </c>
      <c r="T835" s="1375">
        <f t="shared" si="1163"/>
        <v>0</v>
      </c>
      <c r="U835" s="2028">
        <f t="shared" ref="U835:U837" si="1166">IF(T835&gt;0,1,0)</f>
        <v>0</v>
      </c>
      <c r="V835" s="1357"/>
      <c r="W835" s="1357"/>
      <c r="X835" s="1357"/>
      <c r="Y835" s="1357"/>
      <c r="AD835" s="2141">
        <f t="shared" si="1141"/>
        <v>1.5</v>
      </c>
      <c r="AE835" s="2142" t="str">
        <f t="shared" si="1092"/>
        <v/>
      </c>
      <c r="AG835" s="2118" t="s">
        <v>1816</v>
      </c>
    </row>
    <row r="836" spans="1:33" ht="45" hidden="1" outlineLevel="2" x14ac:dyDescent="0.2">
      <c r="A836" s="1360">
        <f t="shared" si="1164"/>
        <v>376</v>
      </c>
      <c r="B836" s="1372" t="s">
        <v>1927</v>
      </c>
      <c r="C836" s="532"/>
      <c r="D836" s="1358">
        <v>2</v>
      </c>
      <c r="E836" s="499" t="s">
        <v>465</v>
      </c>
      <c r="F836" s="2170" t="s">
        <v>303</v>
      </c>
      <c r="G836" s="1355">
        <v>2.9000000000000001E-2</v>
      </c>
      <c r="H836" s="1373"/>
      <c r="I836" s="1359">
        <f t="shared" ref="I836" si="1167">IF(G836=0,0,IF(H836&gt;0,IF((G836*H836/K836)&lt;0.084,0.084,(G836*H836/K836)),0))</f>
        <v>0</v>
      </c>
      <c r="J836" s="1374" t="str">
        <f t="shared" ref="J836" si="1168">CONCATENATE(TRUNC(I836,0),":",INT((I836-(TRUNC(I836,0)))*60),":","00")</f>
        <v>0:0:00</v>
      </c>
      <c r="K836" s="500">
        <v>1</v>
      </c>
      <c r="L836" s="2009">
        <v>1.83</v>
      </c>
      <c r="M836" s="1375">
        <f t="shared" ref="M836" si="1169">H836*L836/K836</f>
        <v>0</v>
      </c>
      <c r="N836" s="1376">
        <v>1</v>
      </c>
      <c r="O836" s="1377">
        <f t="shared" ref="O836" si="1170">M836*N836</f>
        <v>0</v>
      </c>
      <c r="P836" s="1375">
        <f t="shared" ref="P836" si="1171">(M836+O836)*0.15</f>
        <v>0</v>
      </c>
      <c r="Q836" s="1378">
        <f t="shared" ref="Q836" si="1172">M836+O836+P836</f>
        <v>0</v>
      </c>
      <c r="R836" s="1375">
        <f t="shared" ref="R836" si="1173">Q836*$R$1</f>
        <v>0</v>
      </c>
      <c r="S836" s="1375">
        <f t="shared" ref="S836" si="1174">(Q836+R836)*$S$1</f>
        <v>0</v>
      </c>
      <c r="T836" s="1375">
        <f t="shared" ref="T836" si="1175">Q836+R836+S836</f>
        <v>0</v>
      </c>
      <c r="U836" s="2028">
        <f t="shared" ref="U836" si="1176">IF(T836&gt;0,1,0)</f>
        <v>0</v>
      </c>
      <c r="V836" s="1357"/>
      <c r="W836" s="1357"/>
      <c r="X836" s="1357"/>
      <c r="Y836" s="1357"/>
      <c r="AD836" s="2141">
        <f t="shared" ref="AD836" si="1177">IF(D836&gt;0,LOOKUP(D836,$Z$30:$Z$33,$AA$30:$AA$33),"")</f>
        <v>1.5</v>
      </c>
      <c r="AE836" s="2142" t="str">
        <f t="shared" ref="AE836" si="1178">IF(T836&gt;0,T836*AD836,"")</f>
        <v/>
      </c>
      <c r="AG836" s="2118" t="s">
        <v>1816</v>
      </c>
    </row>
    <row r="837" spans="1:33" ht="43.5" hidden="1" outlineLevel="2" x14ac:dyDescent="0.2">
      <c r="A837" s="1360">
        <f t="shared" si="1164"/>
        <v>377</v>
      </c>
      <c r="B837" s="1372" t="s">
        <v>1928</v>
      </c>
      <c r="C837" s="532"/>
      <c r="D837" s="1358">
        <v>2</v>
      </c>
      <c r="E837" s="499" t="s">
        <v>465</v>
      </c>
      <c r="F837" s="2170" t="s">
        <v>303</v>
      </c>
      <c r="G837" s="1355">
        <v>4.0000000000000001E-3</v>
      </c>
      <c r="H837" s="1373"/>
      <c r="I837" s="1359">
        <f t="shared" si="1155"/>
        <v>0</v>
      </c>
      <c r="J837" s="1374" t="str">
        <f t="shared" si="1156"/>
        <v>0:0:00</v>
      </c>
      <c r="K837" s="500">
        <v>1</v>
      </c>
      <c r="L837" s="2009">
        <v>0.25</v>
      </c>
      <c r="M837" s="1375">
        <f t="shared" si="1157"/>
        <v>0</v>
      </c>
      <c r="N837" s="1376">
        <v>1</v>
      </c>
      <c r="O837" s="1377">
        <f t="shared" si="1158"/>
        <v>0</v>
      </c>
      <c r="P837" s="1375">
        <f t="shared" si="1159"/>
        <v>0</v>
      </c>
      <c r="Q837" s="1378">
        <f t="shared" si="1160"/>
        <v>0</v>
      </c>
      <c r="R837" s="1375">
        <f t="shared" si="1161"/>
        <v>0</v>
      </c>
      <c r="S837" s="1375">
        <f t="shared" si="1162"/>
        <v>0</v>
      </c>
      <c r="T837" s="1375">
        <f t="shared" si="1163"/>
        <v>0</v>
      </c>
      <c r="U837" s="2028">
        <f t="shared" si="1166"/>
        <v>0</v>
      </c>
      <c r="V837" s="1357"/>
      <c r="W837" s="1357"/>
      <c r="X837" s="1357"/>
      <c r="Y837" s="1357"/>
      <c r="AD837" s="2141">
        <f t="shared" si="1141"/>
        <v>1.5</v>
      </c>
      <c r="AE837" s="2142" t="str">
        <f t="shared" si="1092"/>
        <v/>
      </c>
      <c r="AG837" s="2118" t="s">
        <v>1816</v>
      </c>
    </row>
    <row r="838" spans="1:33" ht="43.5" hidden="1" outlineLevel="2" x14ac:dyDescent="0.2">
      <c r="A838" s="1360">
        <f t="shared" si="1164"/>
        <v>378</v>
      </c>
      <c r="B838" s="1372" t="s">
        <v>1929</v>
      </c>
      <c r="C838" s="532"/>
      <c r="D838" s="1358">
        <v>2</v>
      </c>
      <c r="E838" s="499" t="s">
        <v>465</v>
      </c>
      <c r="F838" s="2170" t="s">
        <v>303</v>
      </c>
      <c r="G838" s="1355">
        <v>2E-3</v>
      </c>
      <c r="H838" s="1373"/>
      <c r="I838" s="1359">
        <f t="shared" si="1155"/>
        <v>0</v>
      </c>
      <c r="J838" s="1374" t="str">
        <f t="shared" si="1156"/>
        <v>0:0:00</v>
      </c>
      <c r="K838" s="500">
        <v>1</v>
      </c>
      <c r="L838" s="2009">
        <v>0.13</v>
      </c>
      <c r="M838" s="1375">
        <f t="shared" si="1157"/>
        <v>0</v>
      </c>
      <c r="N838" s="1376">
        <v>1</v>
      </c>
      <c r="O838" s="1377">
        <f t="shared" si="1158"/>
        <v>0</v>
      </c>
      <c r="P838" s="1375">
        <f t="shared" si="1159"/>
        <v>0</v>
      </c>
      <c r="Q838" s="1378">
        <f t="shared" si="1160"/>
        <v>0</v>
      </c>
      <c r="R838" s="1375">
        <f t="shared" si="1161"/>
        <v>0</v>
      </c>
      <c r="S838" s="1375">
        <f t="shared" si="1162"/>
        <v>0</v>
      </c>
      <c r="T838" s="1375">
        <f t="shared" si="1163"/>
        <v>0</v>
      </c>
      <c r="U838" s="2028">
        <f t="shared" si="964"/>
        <v>0</v>
      </c>
      <c r="V838" s="1357"/>
      <c r="W838" s="1357"/>
      <c r="X838" s="1357"/>
      <c r="Y838" s="1357"/>
      <c r="AD838" s="2141">
        <f t="shared" si="1141"/>
        <v>1.5</v>
      </c>
      <c r="AE838" s="2142" t="str">
        <f t="shared" si="1092"/>
        <v/>
      </c>
      <c r="AG838" s="2118" t="s">
        <v>1816</v>
      </c>
    </row>
    <row r="839" spans="1:33" ht="29.25" hidden="1" outlineLevel="2" x14ac:dyDescent="0.2">
      <c r="A839" s="1360">
        <f t="shared" si="1164"/>
        <v>379</v>
      </c>
      <c r="B839" s="1372" t="s">
        <v>1930</v>
      </c>
      <c r="C839" s="532"/>
      <c r="D839" s="1358">
        <v>2</v>
      </c>
      <c r="E839" s="499" t="s">
        <v>465</v>
      </c>
      <c r="F839" s="2170" t="s">
        <v>303</v>
      </c>
      <c r="G839" s="1355">
        <v>2E-3</v>
      </c>
      <c r="H839" s="1373"/>
      <c r="I839" s="1359">
        <f t="shared" si="1155"/>
        <v>0</v>
      </c>
      <c r="J839" s="1374" t="str">
        <f t="shared" si="1156"/>
        <v>0:0:00</v>
      </c>
      <c r="K839" s="500">
        <v>1</v>
      </c>
      <c r="L839" s="2009">
        <v>0.13</v>
      </c>
      <c r="M839" s="1375">
        <f t="shared" si="1157"/>
        <v>0</v>
      </c>
      <c r="N839" s="1376">
        <v>1</v>
      </c>
      <c r="O839" s="1377">
        <f t="shared" si="1158"/>
        <v>0</v>
      </c>
      <c r="P839" s="1375">
        <f t="shared" si="1159"/>
        <v>0</v>
      </c>
      <c r="Q839" s="1378">
        <f t="shared" si="1160"/>
        <v>0</v>
      </c>
      <c r="R839" s="1375">
        <f t="shared" si="1161"/>
        <v>0</v>
      </c>
      <c r="S839" s="1375">
        <f t="shared" si="1162"/>
        <v>0</v>
      </c>
      <c r="T839" s="1375">
        <f t="shared" si="1163"/>
        <v>0</v>
      </c>
      <c r="U839" s="2028">
        <f t="shared" ref="U839" si="1179">IF(T839&gt;0,1,0)</f>
        <v>0</v>
      </c>
      <c r="V839" s="1357"/>
      <c r="W839" s="1357"/>
      <c r="X839" s="1357"/>
      <c r="Y839" s="1357"/>
      <c r="AD839" s="2141">
        <f t="shared" si="1141"/>
        <v>1.5</v>
      </c>
      <c r="AE839" s="2142" t="str">
        <f t="shared" si="1092"/>
        <v/>
      </c>
      <c r="AG839" s="2118" t="s">
        <v>1816</v>
      </c>
    </row>
    <row r="840" spans="1:33" ht="15" hidden="1" outlineLevel="1" x14ac:dyDescent="0.2">
      <c r="A840" s="1360"/>
      <c r="B840" s="1380" t="s">
        <v>269</v>
      </c>
      <c r="C840" s="522"/>
      <c r="D840" s="2152"/>
      <c r="E840" s="523" t="s">
        <v>218</v>
      </c>
      <c r="F840" s="2164"/>
      <c r="G840" s="2178"/>
      <c r="H840" s="1367"/>
      <c r="I840" s="2043">
        <f>SUM(I841:I844)</f>
        <v>0</v>
      </c>
      <c r="J840" s="524"/>
      <c r="K840" s="524"/>
      <c r="L840" s="526"/>
      <c r="M840" s="1368"/>
      <c r="N840" s="524"/>
      <c r="O840" s="1369"/>
      <c r="P840" s="1368"/>
      <c r="Q840" s="1370"/>
      <c r="R840" s="1368"/>
      <c r="S840" s="1371">
        <f>SUM(T841:T844)</f>
        <v>0</v>
      </c>
      <c r="T840" s="1370"/>
      <c r="U840" s="2028">
        <f t="shared" si="964"/>
        <v>0</v>
      </c>
      <c r="V840" s="1357"/>
      <c r="W840" s="1357"/>
      <c r="X840" s="1357"/>
      <c r="Y840" s="1357"/>
      <c r="AD840" s="2141" t="str">
        <f t="shared" si="1141"/>
        <v/>
      </c>
      <c r="AE840" s="2142" t="str">
        <f t="shared" si="1092"/>
        <v/>
      </c>
      <c r="AG840" s="2118" t="s">
        <v>1816</v>
      </c>
    </row>
    <row r="841" spans="1:33" ht="14.25" hidden="1" outlineLevel="2" x14ac:dyDescent="0.2">
      <c r="A841" s="1360">
        <f>A839+1</f>
        <v>380</v>
      </c>
      <c r="B841" s="1372" t="s">
        <v>1771</v>
      </c>
      <c r="C841" s="532"/>
      <c r="D841" s="1390">
        <v>2</v>
      </c>
      <c r="E841" s="499" t="s">
        <v>465</v>
      </c>
      <c r="F841" s="2171" t="s">
        <v>1492</v>
      </c>
      <c r="G841" s="1932">
        <v>1</v>
      </c>
      <c r="H841" s="1373"/>
      <c r="I841" s="1359">
        <f>IF(G841=0,0,IF(H841&gt;0,IF((G841*H841/K841)&lt;0.084,0.084,(G841*H841/K841)),0))</f>
        <v>0</v>
      </c>
      <c r="J841" s="1374" t="str">
        <f t="shared" ref="J841:J846" si="1180">CONCATENATE(TRUNC(I841,0),":",INT((I841-(TRUNC(I841,0)))*60),":","00")</f>
        <v>0:0:00</v>
      </c>
      <c r="K841" s="500">
        <v>1</v>
      </c>
      <c r="L841" s="2011">
        <v>63.25</v>
      </c>
      <c r="M841" s="1375">
        <f>H841*L841/K841</f>
        <v>0</v>
      </c>
      <c r="N841" s="1376">
        <v>0</v>
      </c>
      <c r="O841" s="1377">
        <f>M841*N841</f>
        <v>0</v>
      </c>
      <c r="P841" s="1375">
        <f>(M841+O841)*0.15</f>
        <v>0</v>
      </c>
      <c r="Q841" s="1378">
        <f>M841+O841+P841</f>
        <v>0</v>
      </c>
      <c r="R841" s="1375">
        <f>Q841*$R$1</f>
        <v>0</v>
      </c>
      <c r="S841" s="1375">
        <f>(Q841+R841)*$S$1</f>
        <v>0</v>
      </c>
      <c r="T841" s="1375">
        <f>Q841+R841+S841</f>
        <v>0</v>
      </c>
      <c r="U841" s="2028">
        <f>IF(T841&gt;0,1,0)</f>
        <v>0</v>
      </c>
      <c r="V841" s="1357"/>
      <c r="W841" s="1357"/>
      <c r="X841" s="1357"/>
      <c r="Y841" s="1357"/>
      <c r="AD841" s="2141">
        <f t="shared" si="1141"/>
        <v>1.5</v>
      </c>
      <c r="AE841" s="2142" t="str">
        <f t="shared" si="1092"/>
        <v/>
      </c>
      <c r="AG841" s="2118" t="s">
        <v>1816</v>
      </c>
    </row>
    <row r="842" spans="1:33" ht="28.5" hidden="1" outlineLevel="2" x14ac:dyDescent="0.2">
      <c r="A842" s="1360">
        <f>A841+1</f>
        <v>381</v>
      </c>
      <c r="B842" s="1372" t="s">
        <v>1911</v>
      </c>
      <c r="C842" s="532"/>
      <c r="D842" s="1390">
        <v>2</v>
      </c>
      <c r="E842" s="499" t="s">
        <v>465</v>
      </c>
      <c r="F842" s="2171" t="s">
        <v>303</v>
      </c>
      <c r="G842" s="1355">
        <v>1.7000000000000001E-2</v>
      </c>
      <c r="H842" s="1373"/>
      <c r="I842" s="1359">
        <f>IF(G842=0,0,IF(H842&gt;0,IF((G842*H842/K842)&lt;0.084,0.084,(G842*H842/K842)),0))</f>
        <v>0</v>
      </c>
      <c r="J842" s="1374" t="str">
        <f t="shared" si="1180"/>
        <v>0:0:00</v>
      </c>
      <c r="K842" s="500">
        <v>1</v>
      </c>
      <c r="L842" s="2009">
        <v>1.08</v>
      </c>
      <c r="M842" s="1375">
        <f>H842*L842/K842</f>
        <v>0</v>
      </c>
      <c r="N842" s="1376">
        <v>0</v>
      </c>
      <c r="O842" s="1377">
        <f>M842*N842</f>
        <v>0</v>
      </c>
      <c r="P842" s="1375">
        <f>(M842+O842)*0.15</f>
        <v>0</v>
      </c>
      <c r="Q842" s="1378">
        <f>M842+O842+P842</f>
        <v>0</v>
      </c>
      <c r="R842" s="1375">
        <f>Q842*$R$1</f>
        <v>0</v>
      </c>
      <c r="S842" s="1375">
        <f>(Q842+R842)*$S$1</f>
        <v>0</v>
      </c>
      <c r="T842" s="1375">
        <f>Q842+R842+S842</f>
        <v>0</v>
      </c>
      <c r="U842" s="2028">
        <f>IF(T842&gt;0,1,0)</f>
        <v>0</v>
      </c>
      <c r="V842" s="1357"/>
      <c r="W842" s="1357"/>
      <c r="X842" s="1357"/>
      <c r="Y842" s="1357"/>
      <c r="AD842" s="2141">
        <f t="shared" si="1141"/>
        <v>1.5</v>
      </c>
      <c r="AE842" s="2142" t="str">
        <f t="shared" si="1092"/>
        <v/>
      </c>
      <c r="AG842" s="2118" t="s">
        <v>1816</v>
      </c>
    </row>
    <row r="843" spans="1:33" ht="28.5" hidden="1" outlineLevel="2" x14ac:dyDescent="0.2">
      <c r="A843" s="1360">
        <f t="shared" ref="A843:A846" si="1181">A842+1</f>
        <v>382</v>
      </c>
      <c r="B843" s="1372" t="s">
        <v>1772</v>
      </c>
      <c r="C843" s="532"/>
      <c r="D843" s="1390">
        <v>1</v>
      </c>
      <c r="E843" s="499" t="s">
        <v>465</v>
      </c>
      <c r="F843" s="2171" t="s">
        <v>1492</v>
      </c>
      <c r="G843" s="1355">
        <v>1</v>
      </c>
      <c r="H843" s="1373"/>
      <c r="I843" s="1359">
        <f>IF(G843=0,0,IF(H843&gt;0,IF((G843*H843/K843)&lt;0.084,0.084,(G843*H843/K843)),0))</f>
        <v>0</v>
      </c>
      <c r="J843" s="1374" t="str">
        <f t="shared" si="1180"/>
        <v>0:0:00</v>
      </c>
      <c r="K843" s="500">
        <v>1</v>
      </c>
      <c r="L843" s="2009">
        <v>47.58</v>
      </c>
      <c r="M843" s="1375">
        <f>H843*L843/K843</f>
        <v>0</v>
      </c>
      <c r="N843" s="1376">
        <v>0</v>
      </c>
      <c r="O843" s="1377">
        <f>M843*N843</f>
        <v>0</v>
      </c>
      <c r="P843" s="1375">
        <f>(M843+O843)*0.15</f>
        <v>0</v>
      </c>
      <c r="Q843" s="1378">
        <f>M843+O843+P843</f>
        <v>0</v>
      </c>
      <c r="R843" s="1375">
        <f>Q843*$R$1</f>
        <v>0</v>
      </c>
      <c r="S843" s="1375">
        <f>(Q843+R843)*$S$1</f>
        <v>0</v>
      </c>
      <c r="T843" s="1375">
        <f>Q843+R843+S843</f>
        <v>0</v>
      </c>
      <c r="U843" s="2028">
        <f>IF(T843&gt;0,1,0)</f>
        <v>0</v>
      </c>
      <c r="V843" s="1357"/>
      <c r="W843" s="1357"/>
      <c r="X843" s="1357"/>
      <c r="Y843" s="1357"/>
      <c r="AD843" s="2141">
        <f t="shared" si="1141"/>
        <v>1.5</v>
      </c>
      <c r="AE843" s="2142" t="str">
        <f t="shared" si="1092"/>
        <v/>
      </c>
      <c r="AG843" s="2118" t="s">
        <v>1816</v>
      </c>
    </row>
    <row r="844" spans="1:33" ht="28.5" hidden="1" outlineLevel="2" x14ac:dyDescent="0.2">
      <c r="A844" s="1360">
        <f t="shared" si="1181"/>
        <v>383</v>
      </c>
      <c r="B844" s="1372" t="s">
        <v>1773</v>
      </c>
      <c r="C844" s="532"/>
      <c r="D844" s="1390">
        <v>2</v>
      </c>
      <c r="E844" s="499" t="s">
        <v>465</v>
      </c>
      <c r="F844" s="2171" t="s">
        <v>1492</v>
      </c>
      <c r="G844" s="1355">
        <v>1</v>
      </c>
      <c r="H844" s="1373"/>
      <c r="I844" s="1359">
        <f>IF(G844=0,0,IF(H844&gt;0,IF((G844*H844/K844)&lt;0.084,0.084,(G844*H844/K844)),0))</f>
        <v>0</v>
      </c>
      <c r="J844" s="1374" t="str">
        <f t="shared" si="1180"/>
        <v>0:0:00</v>
      </c>
      <c r="K844" s="500">
        <v>1</v>
      </c>
      <c r="L844" s="2009">
        <v>63.25</v>
      </c>
      <c r="M844" s="1375">
        <f>H844*L844/K844</f>
        <v>0</v>
      </c>
      <c r="N844" s="1376">
        <v>0</v>
      </c>
      <c r="O844" s="1377">
        <f>M844*N844</f>
        <v>0</v>
      </c>
      <c r="P844" s="1375">
        <f>(M844+O844)*0.15</f>
        <v>0</v>
      </c>
      <c r="Q844" s="1378">
        <f>M844+O844+P844</f>
        <v>0</v>
      </c>
      <c r="R844" s="1375">
        <f>Q844*$R$1</f>
        <v>0</v>
      </c>
      <c r="S844" s="1375">
        <f>(Q844+R844)*$S$1</f>
        <v>0</v>
      </c>
      <c r="T844" s="1375">
        <f>Q844+R844+S844</f>
        <v>0</v>
      </c>
      <c r="U844" s="2028">
        <f>IF(T844&gt;0,1,0)</f>
        <v>0</v>
      </c>
      <c r="V844" s="1357"/>
      <c r="W844" s="1357"/>
      <c r="X844" s="1357"/>
      <c r="Y844" s="1357"/>
      <c r="AD844" s="2141">
        <f t="shared" si="1141"/>
        <v>1.5</v>
      </c>
      <c r="AE844" s="2142" t="str">
        <f t="shared" si="1092"/>
        <v/>
      </c>
      <c r="AG844" s="2118" t="s">
        <v>1816</v>
      </c>
    </row>
    <row r="845" spans="1:33" s="512" customFormat="1" x14ac:dyDescent="0.2">
      <c r="A845" s="1360">
        <f t="shared" si="1181"/>
        <v>384</v>
      </c>
      <c r="B845" s="505" t="s">
        <v>216</v>
      </c>
      <c r="C845" s="506"/>
      <c r="D845" s="507"/>
      <c r="E845" s="507"/>
      <c r="F845" s="508"/>
      <c r="G845" s="548"/>
      <c r="H845" s="535"/>
      <c r="I845" s="1433">
        <f>I114+I123+I128+I391+I394+I397+I412+I417+I422+I424+I428+I430+I439+I443+I446+I449+I454+I477+I491+I496+I503+I511+I515+I519+I524+I526+I544+I550+I554+I574+I578+I582+I593+I598+I602+I608+I618+I634+I640+I644+I655+I664+I747+I748+I749+I755+I761+I767+I773+I779+I785+I791+I797+I808+I812+I819+I826+I828+I840</f>
        <v>1.375</v>
      </c>
      <c r="J845" s="2144" t="str">
        <f t="shared" si="1180"/>
        <v>1:22:00</v>
      </c>
      <c r="K845" s="508"/>
      <c r="L845" s="511"/>
      <c r="M845" s="1440">
        <f>SUM(M113:M844)</f>
        <v>65</v>
      </c>
      <c r="N845" s="1441"/>
      <c r="O845" s="1440">
        <f>SUM(O113:O844)</f>
        <v>65</v>
      </c>
      <c r="P845" s="1441"/>
      <c r="Q845" s="1440">
        <f>SUM(Q113:Q844)</f>
        <v>149.5</v>
      </c>
      <c r="R845" s="1440"/>
      <c r="S845" s="1440"/>
      <c r="T845" s="1440">
        <f>SUM(T113:T844)</f>
        <v>194.649</v>
      </c>
      <c r="U845" s="2028">
        <f t="shared" ref="U845:U846" si="1182">IF(T845&gt;0,1,0)</f>
        <v>1</v>
      </c>
      <c r="AE845" s="2187">
        <f>SUM(AE113:AE844)</f>
        <v>291.9735</v>
      </c>
      <c r="AG845" s="2118" t="s">
        <v>1816</v>
      </c>
    </row>
    <row r="846" spans="1:33" s="512" customFormat="1" x14ac:dyDescent="0.2">
      <c r="A846" s="1360">
        <f t="shared" si="1181"/>
        <v>385</v>
      </c>
      <c r="B846" s="536" t="s">
        <v>217</v>
      </c>
      <c r="C846" s="537"/>
      <c r="D846" s="538"/>
      <c r="E846" s="538"/>
      <c r="F846" s="539"/>
      <c r="G846" s="549"/>
      <c r="H846" s="540"/>
      <c r="I846" s="2145">
        <f>I111+I845</f>
        <v>3.847</v>
      </c>
      <c r="J846" s="2146" t="str">
        <f t="shared" si="1180"/>
        <v>3:50:00</v>
      </c>
      <c r="K846" s="539"/>
      <c r="L846" s="521"/>
      <c r="M846" s="1442">
        <f>M111+M845</f>
        <v>840.32</v>
      </c>
      <c r="N846" s="1443"/>
      <c r="O846" s="1442">
        <f>O111+O845</f>
        <v>840.32</v>
      </c>
      <c r="P846" s="1443"/>
      <c r="Q846" s="1442">
        <f>Q111+Q845</f>
        <v>1932.7359999999999</v>
      </c>
      <c r="R846" s="1442"/>
      <c r="S846" s="1442"/>
      <c r="T846" s="1442">
        <f>T111+T845</f>
        <v>2516.4222719999998</v>
      </c>
      <c r="U846" s="2028">
        <f t="shared" si="1182"/>
        <v>1</v>
      </c>
      <c r="AE846" s="1442">
        <f>AE111+AE845</f>
        <v>9579.0665879999997</v>
      </c>
      <c r="AG846" s="2119"/>
    </row>
    <row r="850" spans="4:33" x14ac:dyDescent="0.2">
      <c r="G850" s="512"/>
      <c r="H850" s="491"/>
      <c r="I850" s="491"/>
      <c r="L850" s="491"/>
      <c r="Q850" s="491"/>
    </row>
    <row r="855" spans="4:33" s="544" customFormat="1" x14ac:dyDescent="0.2">
      <c r="D855" s="2158"/>
      <c r="F855" s="2158"/>
      <c r="G855" s="2186"/>
      <c r="H855" s="545"/>
      <c r="I855" s="1437"/>
      <c r="L855" s="542"/>
      <c r="Q855" s="546"/>
      <c r="U855" s="2028"/>
      <c r="AG855" s="2118"/>
    </row>
  </sheetData>
  <sheetProtection algorithmName="SHA-512" hashValue="H70UO7lVKEjyI0MW3Oy2srqm64ukilXmgZ1I1+rnhtgZ/FeAPWD+h7XzLrImDTj+qFLQWj/UNBn5SUz9L8FrEA==" saltValue="EZOu/nqaO5zfE9n38Qz2+w==" spinCount="100000" sheet="1" objects="1" scenarios="1" formatRows="0"/>
  <conditionalFormatting sqref="G404">
    <cfRule type="expression" dxfId="84" priority="52" stopIfTrue="1">
      <formula>$V$344=1</formula>
    </cfRule>
  </conditionalFormatting>
  <conditionalFormatting sqref="G406">
    <cfRule type="expression" dxfId="83" priority="51" stopIfTrue="1">
      <formula>$V$346=1</formula>
    </cfRule>
  </conditionalFormatting>
  <conditionalFormatting sqref="G402">
    <cfRule type="expression" dxfId="82" priority="50" stopIfTrue="1">
      <formula>$V$344=1</formula>
    </cfRule>
  </conditionalFormatting>
  <conditionalFormatting sqref="G403">
    <cfRule type="expression" dxfId="81" priority="49" stopIfTrue="1">
      <formula>$V$344=1</formula>
    </cfRule>
  </conditionalFormatting>
  <conditionalFormatting sqref="G405">
    <cfRule type="expression" dxfId="80" priority="48" stopIfTrue="1">
      <formula>$V$344=1</formula>
    </cfRule>
  </conditionalFormatting>
  <conditionalFormatting sqref="G407">
    <cfRule type="expression" dxfId="79" priority="47" stopIfTrue="1">
      <formula>$V$346=1</formula>
    </cfRule>
  </conditionalFormatting>
  <conditionalFormatting sqref="G408">
    <cfRule type="expression" dxfId="78" priority="46" stopIfTrue="1">
      <formula>$V$344=1</formula>
    </cfRule>
  </conditionalFormatting>
  <conditionalFormatting sqref="G409">
    <cfRule type="expression" dxfId="77" priority="45" stopIfTrue="1">
      <formula>$V$344=1</formula>
    </cfRule>
  </conditionalFormatting>
  <conditionalFormatting sqref="H571">
    <cfRule type="expression" dxfId="76" priority="41" stopIfTrue="1">
      <formula>$H$499&gt;0.001</formula>
    </cfRule>
    <cfRule type="expression" dxfId="75" priority="42" stopIfTrue="1">
      <formula>$H$502&gt;0.001</formula>
    </cfRule>
    <cfRule type="expression" dxfId="74" priority="43" stopIfTrue="1">
      <formula>$H$507&gt;0.001</formula>
    </cfRule>
    <cfRule type="expression" dxfId="73" priority="44" stopIfTrue="1">
      <formula>$H$510&gt;0.001</formula>
    </cfRule>
  </conditionalFormatting>
  <conditionalFormatting sqref="H135:H147 H153:H166 H172:H185 H191:H204 H210:H390">
    <cfRule type="cellIs" dxfId="72" priority="40" stopIfTrue="1" operator="greaterThan">
      <formula>0</formula>
    </cfRule>
  </conditionalFormatting>
  <conditionalFormatting sqref="H130">
    <cfRule type="cellIs" dxfId="71" priority="30" stopIfTrue="1" operator="greaterThan">
      <formula>0</formula>
    </cfRule>
  </conditionalFormatting>
  <conditionalFormatting sqref="H131">
    <cfRule type="cellIs" dxfId="70" priority="29" stopIfTrue="1" operator="greaterThan">
      <formula>0</formula>
    </cfRule>
  </conditionalFormatting>
  <conditionalFormatting sqref="H132">
    <cfRule type="cellIs" dxfId="69" priority="28" stopIfTrue="1" operator="greaterThan">
      <formula>0</formula>
    </cfRule>
  </conditionalFormatting>
  <conditionalFormatting sqref="H133">
    <cfRule type="cellIs" dxfId="68" priority="27" stopIfTrue="1" operator="greaterThan">
      <formula>0</formula>
    </cfRule>
  </conditionalFormatting>
  <conditionalFormatting sqref="H134">
    <cfRule type="cellIs" dxfId="67" priority="26" stopIfTrue="1" operator="greaterThan">
      <formula>0</formula>
    </cfRule>
  </conditionalFormatting>
  <conditionalFormatting sqref="H148">
    <cfRule type="cellIs" dxfId="66" priority="25" stopIfTrue="1" operator="greaterThan">
      <formula>0</formula>
    </cfRule>
  </conditionalFormatting>
  <conditionalFormatting sqref="H149">
    <cfRule type="cellIs" dxfId="65" priority="24" stopIfTrue="1" operator="greaterThan">
      <formula>0</formula>
    </cfRule>
  </conditionalFormatting>
  <conditionalFormatting sqref="H150">
    <cfRule type="cellIs" dxfId="64" priority="23" stopIfTrue="1" operator="greaterThan">
      <formula>0</formula>
    </cfRule>
  </conditionalFormatting>
  <conditionalFormatting sqref="H151">
    <cfRule type="cellIs" dxfId="63" priority="22" stopIfTrue="1" operator="greaterThan">
      <formula>0</formula>
    </cfRule>
  </conditionalFormatting>
  <conditionalFormatting sqref="H152">
    <cfRule type="cellIs" dxfId="62" priority="21" stopIfTrue="1" operator="greaterThan">
      <formula>0</formula>
    </cfRule>
  </conditionalFormatting>
  <conditionalFormatting sqref="H167">
    <cfRule type="cellIs" dxfId="61" priority="20" stopIfTrue="1" operator="greaterThan">
      <formula>0</formula>
    </cfRule>
  </conditionalFormatting>
  <conditionalFormatting sqref="H168">
    <cfRule type="cellIs" dxfId="60" priority="19" stopIfTrue="1" operator="greaterThan">
      <formula>0</formula>
    </cfRule>
  </conditionalFormatting>
  <conditionalFormatting sqref="H169">
    <cfRule type="cellIs" dxfId="59" priority="18" stopIfTrue="1" operator="greaterThan">
      <formula>0</formula>
    </cfRule>
  </conditionalFormatting>
  <conditionalFormatting sqref="H170">
    <cfRule type="cellIs" dxfId="58" priority="17" stopIfTrue="1" operator="greaterThan">
      <formula>0</formula>
    </cfRule>
  </conditionalFormatting>
  <conditionalFormatting sqref="H171">
    <cfRule type="cellIs" dxfId="57" priority="16" stopIfTrue="1" operator="greaterThan">
      <formula>0</formula>
    </cfRule>
  </conditionalFormatting>
  <conditionalFormatting sqref="H186">
    <cfRule type="cellIs" dxfId="56" priority="15" stopIfTrue="1" operator="greaterThan">
      <formula>0</formula>
    </cfRule>
  </conditionalFormatting>
  <conditionalFormatting sqref="H187">
    <cfRule type="cellIs" dxfId="55" priority="14" stopIfTrue="1" operator="greaterThan">
      <formula>0</formula>
    </cfRule>
  </conditionalFormatting>
  <conditionalFormatting sqref="H188">
    <cfRule type="cellIs" dxfId="54" priority="13" stopIfTrue="1" operator="greaterThan">
      <formula>0</formula>
    </cfRule>
  </conditionalFormatting>
  <conditionalFormatting sqref="H189">
    <cfRule type="cellIs" dxfId="53" priority="12" stopIfTrue="1" operator="greaterThan">
      <formula>0</formula>
    </cfRule>
  </conditionalFormatting>
  <conditionalFormatting sqref="H190">
    <cfRule type="cellIs" dxfId="52" priority="11" stopIfTrue="1" operator="greaterThan">
      <formula>0</formula>
    </cfRule>
  </conditionalFormatting>
  <conditionalFormatting sqref="H205">
    <cfRule type="cellIs" dxfId="51" priority="10" stopIfTrue="1" operator="greaterThan">
      <formula>0</formula>
    </cfRule>
  </conditionalFormatting>
  <conditionalFormatting sqref="H206">
    <cfRule type="cellIs" dxfId="50" priority="9" stopIfTrue="1" operator="greaterThan">
      <formula>0</formula>
    </cfRule>
  </conditionalFormatting>
  <conditionalFormatting sqref="H207">
    <cfRule type="cellIs" dxfId="49" priority="8" stopIfTrue="1" operator="greaterThan">
      <formula>0</formula>
    </cfRule>
  </conditionalFormatting>
  <conditionalFormatting sqref="H208">
    <cfRule type="cellIs" dxfId="48" priority="7" stopIfTrue="1" operator="greaterThan">
      <formula>0</formula>
    </cfRule>
  </conditionalFormatting>
  <conditionalFormatting sqref="H209">
    <cfRule type="cellIs" dxfId="47" priority="6" stopIfTrue="1" operator="greaterThan">
      <formula>0</formula>
    </cfRule>
  </conditionalFormatting>
  <conditionalFormatting sqref="AD651:AD835 AD5:AD647 AD837:AD844">
    <cfRule type="expression" dxfId="46" priority="5" stopIfTrue="1">
      <formula>$AD5&lt;130%</formula>
    </cfRule>
  </conditionalFormatting>
  <conditionalFormatting sqref="AD648:AD650">
    <cfRule type="expression" dxfId="45" priority="2" stopIfTrue="1">
      <formula>$AD648&lt;130%</formula>
    </cfRule>
  </conditionalFormatting>
  <conditionalFormatting sqref="AD836">
    <cfRule type="expression" dxfId="44" priority="1" stopIfTrue="1">
      <formula>$AD836&lt;130%</formula>
    </cfRule>
  </conditionalFormatting>
  <dataValidations count="14">
    <dataValidation allowBlank="1" showInputMessage="1" showErrorMessage="1" prompt="полос" sqref="F392"/>
    <dataValidation allowBlank="1" showInputMessage="1" showErrorMessage="1" promptTitle="Внимание!" prompt="метраж ножей указываем в миллиметрах." sqref="H452:H453"/>
    <dataValidation allowBlank="1" showInputMessage="1" showErrorMessage="1" prompt="Формула расчета:_x000a_Кол-во метров склейки = Тираж * Длина склейки в см / 100" sqref="H486 H482 H478"/>
    <dataValidation allowBlank="1" showInputMessage="1" showErrorMessage="1" promptTitle="Внимание!" prompt="При расчете фальцовки проверь плотность материала по возможностям сгибов. ПРОВЕРЬ КОЛИЧЕСТВО ПЕРЕХОДОВ!" sqref="H497:H501"/>
    <dataValidation type="decimal" errorStyle="information" operator="greaterThanOrEqual" allowBlank="1" showInputMessage="1" showErrorMessage="1" errorTitle="Внимание!" error="Тираж до 500 шт., включительно необходимо шить на ВШРА РОЗБЭК." promptTitle="Внимание!" prompt="Если тираж больше 500 шт. - шьем на ВШРА Muller Martini, если тираж 500 шт. и менее - шьем на ВШРА РОЗБАК." sqref="H559 H564 H567">
      <formula1>501</formula1>
    </dataValidation>
    <dataValidation type="decimal" errorStyle="information" operator="greaterThanOrEqual" allowBlank="1" showInputMessage="1" showErrorMessage="1" errorTitle="Внимание!" error="Тираж до 500 шт. включительно необходимо шить на ВШРА РОЗБЭК." promptTitle="Внимание!" prompt="Если тираж больше 500 шт. - шьем на ВШРА Muller Martini, если тираж 500 шт. и менее - шьем на ВШРА РОЗБЭК." sqref="H556">
      <formula1>501</formula1>
    </dataValidation>
    <dataValidation allowBlank="1" showInputMessage="1" showErrorMessage="1" promptTitle="Внимание!" prompt="Изменить количество настроек:_x000a_2 скрепки = 1,_x000a_4 скрепки = 2._x000a_(по умолчанию при шитье стоит 2 скрепки-1 настройка)" sqref="H571"/>
    <dataValidation allowBlank="1" showInputMessage="1" showErrorMessage="1" promptTitle="Количество сшиваемых тетрадей" prompt="max=8." sqref="H573"/>
    <dataValidation type="decimal" errorStyle="information" operator="lessThanOrEqual" allowBlank="1" showInputMessage="1" showErrorMessage="1" errorTitle="Внимание!" error="Тираж больше 500 шт.,  необходимо шить на ВШРА Muller Martini." promptTitle="Внимание!" prompt="Если тираж больше 500 шт. - шьем на ВШРА Muller Martini, если тираж 500 шт. и менее - шьем на ВШРА РОЗБАК." sqref="H575">
      <formula1>500</formula1>
    </dataValidation>
    <dataValidation allowBlank="1" showInputMessage="1" showErrorMessage="1" promptTitle="Внимание!" prompt="указываем кол-во пог.м. (производительность 1250 пог.м. в час)_x000a_(кол-во листов * раскрутка /100)" sqref="H594:H595"/>
    <dataValidation allowBlank="1" showInputMessage="1" showErrorMessage="1" promptTitle="Внимание!" prompt="указываем кол-во листов, (производительность 1800 листов в час)" sqref="H599"/>
    <dataValidation allowBlank="1" showInputMessage="1" showErrorMessage="1" promptTitle="Внимание!" prompt="указываем кол-во пог.м. (производительность 1250 пог.м. в час)" sqref="H600"/>
    <dataValidation allowBlank="1" showInputMessage="1" showErrorMessage="1" promptTitle="Не используется!" prompt="выводится норма и тариф" sqref="H444:H445"/>
    <dataValidation allowBlank="1" showInputMessage="1" showErrorMessage="1" promptTitle="Внимание!" prompt="используется повременная оплата, в часах. Сдельные нормы и тарифы в разработке." sqref="H635:H638 H657:H658 H660:H661"/>
  </dataValidations>
  <pageMargins left="0.39370078740157483" right="0.39370078740157483" top="0.43307086614173229" bottom="0.39370078740157483" header="0.31496062992125984" footer="0.27559055118110237"/>
  <pageSetup paperSize="9" fitToHeight="2" orientation="landscape" r:id="rId1"/>
  <headerFooter>
    <oddFooter>&amp;RРаспечатал:  buh_econom,  01.06.2021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1962150</xdr:colOff>
                    <xdr:row>1</xdr:row>
                    <xdr:rowOff>47625</xdr:rowOff>
                  </from>
                  <to>
                    <xdr:col>1</xdr:col>
                    <xdr:colOff>3295650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Развернуть">
                <anchor moveWithCells="1" sizeWithCells="1">
                  <from>
                    <xdr:col>1</xdr:col>
                    <xdr:colOff>85725</xdr:colOff>
                    <xdr:row>1</xdr:row>
                    <xdr:rowOff>66675</xdr:rowOff>
                  </from>
                  <to>
                    <xdr:col>1</xdr:col>
                    <xdr:colOff>1419225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pageSetUpPr fitToPage="1"/>
  </sheetPr>
  <dimension ref="A1:U1171"/>
  <sheetViews>
    <sheetView topLeftCell="A25" zoomScale="85" zoomScaleNormal="85" zoomScaleSheetLayoutView="75" workbookViewId="0">
      <selection activeCell="G1" sqref="G1"/>
    </sheetView>
  </sheetViews>
  <sheetFormatPr defaultRowHeight="12.75" x14ac:dyDescent="0.2"/>
  <cols>
    <col min="1" max="1" width="0.85546875" style="605" customWidth="1"/>
    <col min="2" max="2" width="27.7109375" style="80" customWidth="1"/>
    <col min="3" max="3" width="18.42578125" style="80" customWidth="1"/>
    <col min="4" max="4" width="16.28515625" style="80" customWidth="1"/>
    <col min="5" max="5" width="23.5703125" style="80" customWidth="1"/>
    <col min="6" max="6" width="16.5703125" style="80" customWidth="1"/>
    <col min="7" max="7" width="16.140625" style="80" customWidth="1"/>
    <col min="8" max="8" width="15.28515625" style="80" customWidth="1"/>
    <col min="9" max="9" width="18.140625" style="80" customWidth="1"/>
    <col min="10" max="10" width="16" style="80" customWidth="1"/>
    <col min="11" max="11" width="18.42578125" style="80" customWidth="1"/>
    <col min="12" max="12" width="9.140625" style="80" hidden="1" customWidth="1"/>
    <col min="13" max="13" width="9.140625" style="11" hidden="1" customWidth="1"/>
    <col min="14" max="14" width="9.140625" style="80" hidden="1" customWidth="1"/>
    <col min="15" max="15" width="12.140625" style="80" hidden="1" customWidth="1"/>
    <col min="16" max="16" width="20.28515625" style="80" hidden="1" customWidth="1"/>
    <col min="17" max="17" width="9.140625" style="11" hidden="1" customWidth="1"/>
    <col min="18" max="16384" width="9.140625" style="11"/>
  </cols>
  <sheetData>
    <row r="1" spans="1:21" ht="25.5" customHeight="1" x14ac:dyDescent="0.2">
      <c r="A1" s="605">
        <v>1</v>
      </c>
      <c r="B1" s="1517" t="s">
        <v>420</v>
      </c>
      <c r="C1" s="1511" t="str">
        <f>IF(Исх!II1=0,"",Исх!II1)</f>
        <v>О.А. Коврова</v>
      </c>
      <c r="D1" s="1512" t="str">
        <f>IF(Исх!IH1=0,"",Исх!IH1)</f>
        <v>1-13</v>
      </c>
      <c r="E1" s="608" t="s">
        <v>54</v>
      </c>
      <c r="F1" s="1884">
        <v>2022</v>
      </c>
      <c r="G1" s="2189">
        <v>10367</v>
      </c>
      <c r="H1" s="1881"/>
      <c r="I1" s="1881"/>
      <c r="J1" s="1881"/>
      <c r="K1" s="1881"/>
      <c r="L1" s="1768" t="str">
        <f>IF(H1&gt;0,", ","")</f>
        <v/>
      </c>
      <c r="M1" s="1768" t="str">
        <f t="shared" ref="M1:O2" si="0">IF(I1&gt;0,", ","")</f>
        <v/>
      </c>
      <c r="N1" s="1768" t="str">
        <f t="shared" si="0"/>
        <v/>
      </c>
      <c r="O1" s="1768" t="str">
        <f t="shared" si="0"/>
        <v/>
      </c>
      <c r="P1" s="1768" t="str">
        <f>$F$1&amp;TEXT(G1,"00000")&amp;L1&amp;H1&amp;M1&amp;I1&amp;N1&amp;J1&amp;O1&amp;K1&amp;L2&amp;H2&amp;M2&amp;I2&amp;N2&amp;J2&amp;O2&amp;K2</f>
        <v>202210367</v>
      </c>
      <c r="Q1" s="1770"/>
    </row>
    <row r="2" spans="1:21" ht="25.5" customHeight="1" x14ac:dyDescent="0.2">
      <c r="A2" s="605">
        <v>1</v>
      </c>
      <c r="B2" s="1518" t="s">
        <v>1176</v>
      </c>
      <c r="C2" s="1510" t="str">
        <f>IF(Исх!II21=0,"",Исх!II21)</f>
        <v>О.А. Коврова</v>
      </c>
      <c r="D2" s="1512" t="str">
        <f>IF(Исх!IH21=0,"",Исх!IH21)</f>
        <v>1-13</v>
      </c>
      <c r="E2" s="2276" t="str">
        <f>Исх!IT1</f>
        <v>ООО "Кировская областная типография"</v>
      </c>
      <c r="F2" s="2276"/>
      <c r="G2" s="2276"/>
      <c r="H2" s="1881"/>
      <c r="I2" s="1881"/>
      <c r="J2" s="1881"/>
      <c r="K2" s="1881"/>
      <c r="L2" s="1768" t="str">
        <f>IF(H2&gt;0,", ","")</f>
        <v/>
      </c>
      <c r="M2" s="1768" t="str">
        <f t="shared" si="0"/>
        <v/>
      </c>
      <c r="N2" s="1768" t="str">
        <f t="shared" si="0"/>
        <v/>
      </c>
      <c r="O2" s="1768" t="str">
        <f t="shared" si="0"/>
        <v/>
      </c>
    </row>
    <row r="3" spans="1:21" ht="27" customHeight="1" x14ac:dyDescent="0.2">
      <c r="A3" s="605">
        <v>1</v>
      </c>
      <c r="F3" s="80" t="s">
        <v>55</v>
      </c>
      <c r="H3" s="610"/>
      <c r="I3" s="1960" t="s">
        <v>1364</v>
      </c>
      <c r="J3" s="1960">
        <v>120064</v>
      </c>
      <c r="K3" s="1961">
        <v>300</v>
      </c>
    </row>
    <row r="4" spans="1:21" ht="15.75" x14ac:dyDescent="0.2">
      <c r="A4" s="605">
        <v>1</v>
      </c>
      <c r="B4" s="611"/>
      <c r="C4" s="178">
        <f ca="1">TODAY()</f>
        <v>44680</v>
      </c>
      <c r="D4" s="612" t="s">
        <v>56</v>
      </c>
      <c r="E4" s="65"/>
      <c r="F4" s="613" t="s">
        <v>425</v>
      </c>
      <c r="G4" s="64"/>
      <c r="H4" s="614" t="s">
        <v>382</v>
      </c>
    </row>
    <row r="5" spans="1:21" ht="22.5" customHeight="1" thickBot="1" x14ac:dyDescent="0.25">
      <c r="A5" s="605">
        <v>1</v>
      </c>
      <c r="F5" s="613" t="s">
        <v>424</v>
      </c>
      <c r="G5" s="615"/>
      <c r="H5" s="1959" t="s">
        <v>223</v>
      </c>
      <c r="I5" s="1958"/>
      <c r="J5" s="616" t="str">
        <f>Трудозатраты!J111</f>
        <v>2:28:00</v>
      </c>
      <c r="K5" s="616" t="str">
        <f>Трудозатраты!J845</f>
        <v>1:22:00</v>
      </c>
    </row>
    <row r="6" spans="1:21" s="727" customFormat="1" ht="42" customHeight="1" thickBot="1" x14ac:dyDescent="0.25">
      <c r="A6" s="724">
        <v>1</v>
      </c>
      <c r="B6" s="725" t="s">
        <v>51</v>
      </c>
      <c r="C6" s="2304" t="s">
        <v>1947</v>
      </c>
      <c r="D6" s="2305"/>
      <c r="E6" s="2305"/>
      <c r="F6" s="2305"/>
      <c r="G6" s="2305"/>
      <c r="H6" s="2305"/>
      <c r="I6" s="2305"/>
      <c r="J6" s="2305"/>
      <c r="K6" s="2306"/>
      <c r="L6" s="726"/>
      <c r="N6" s="726"/>
      <c r="O6" s="726"/>
      <c r="P6" s="726"/>
    </row>
    <row r="7" spans="1:21" ht="13.5" thickBot="1" x14ac:dyDescent="0.25">
      <c r="A7" s="605">
        <v>1</v>
      </c>
    </row>
    <row r="8" spans="1:21" ht="42" customHeight="1" thickBot="1" x14ac:dyDescent="0.25">
      <c r="A8" s="605">
        <v>1</v>
      </c>
      <c r="B8" s="2311" t="s">
        <v>57</v>
      </c>
      <c r="C8" s="2312"/>
      <c r="D8" s="2307" t="s">
        <v>1951</v>
      </c>
      <c r="E8" s="2308"/>
      <c r="F8" s="2308"/>
      <c r="G8" s="2308"/>
      <c r="H8" s="2308"/>
      <c r="I8" s="2308"/>
      <c r="J8" s="2308"/>
      <c r="K8" s="2309"/>
    </row>
    <row r="9" spans="1:21" ht="22.5" customHeight="1" x14ac:dyDescent="0.2">
      <c r="A9" s="605">
        <v>1</v>
      </c>
      <c r="B9" s="1882" t="str">
        <f>LOOKUP(Исх!IO1,Исх!IP2:IP10,Исх!IQ2:IQ10)</f>
        <v>ГАЗЕТЫ</v>
      </c>
      <c r="C9" s="617"/>
      <c r="D9" s="1883" t="str">
        <f>Исх!IM1</f>
        <v>ГАЗЕТЫ РУЛОННЫЕ</v>
      </c>
      <c r="E9" s="201"/>
      <c r="F9" s="201"/>
      <c r="G9" s="201"/>
      <c r="H9" s="201"/>
      <c r="I9" s="201"/>
      <c r="J9" s="201"/>
      <c r="K9" s="201"/>
      <c r="S9" s="618" t="s">
        <v>26</v>
      </c>
      <c r="T9" s="80"/>
      <c r="U9" s="80"/>
    </row>
    <row r="10" spans="1:21" ht="21" customHeight="1" x14ac:dyDescent="0.2">
      <c r="A10" s="605">
        <v>1</v>
      </c>
      <c r="B10" s="619" t="str">
        <f>Исх!IF1</f>
        <v>рулонная</v>
      </c>
      <c r="C10" s="1901">
        <f>Исх!IN1</f>
        <v>0</v>
      </c>
      <c r="D10" s="1902" t="s">
        <v>302</v>
      </c>
      <c r="E10" s="609"/>
      <c r="F10" s="80" t="s">
        <v>394</v>
      </c>
      <c r="G10" s="609"/>
      <c r="H10" s="609"/>
      <c r="I10" s="609"/>
      <c r="J10" s="609"/>
      <c r="K10" s="620" t="s">
        <v>58</v>
      </c>
      <c r="S10" s="621" t="s">
        <v>227</v>
      </c>
      <c r="T10" s="621" t="s">
        <v>27</v>
      </c>
      <c r="U10" s="621" t="s">
        <v>28</v>
      </c>
    </row>
    <row r="11" spans="1:21" ht="21.75" customHeight="1" thickBot="1" x14ac:dyDescent="0.25">
      <c r="A11" s="605">
        <v>1</v>
      </c>
      <c r="B11" s="622" t="s">
        <v>226</v>
      </c>
      <c r="C11" s="623">
        <f>Исх!J1</f>
        <v>25000</v>
      </c>
      <c r="D11" s="624"/>
      <c r="E11" s="625"/>
      <c r="F11" s="269"/>
      <c r="G11" s="2282" t="s">
        <v>395</v>
      </c>
      <c r="H11" s="2282"/>
      <c r="I11" s="2282"/>
      <c r="J11" s="67" t="s">
        <v>1943</v>
      </c>
      <c r="K11" s="604">
        <v>4</v>
      </c>
      <c r="S11" s="600" t="s">
        <v>29</v>
      </c>
      <c r="T11" s="600" t="s">
        <v>30</v>
      </c>
      <c r="U11" s="600" t="s">
        <v>31</v>
      </c>
    </row>
    <row r="12" spans="1:21" ht="21" customHeight="1" thickBot="1" x14ac:dyDescent="0.25">
      <c r="A12" s="605">
        <v>1</v>
      </c>
      <c r="B12" s="622" t="s">
        <v>227</v>
      </c>
      <c r="C12" s="626" t="str">
        <f>Исх!K3</f>
        <v>А3</v>
      </c>
      <c r="D12" s="609"/>
      <c r="E12" s="627" t="s">
        <v>397</v>
      </c>
      <c r="F12" s="628" t="s">
        <v>310</v>
      </c>
      <c r="G12" s="2282"/>
      <c r="H12" s="2310"/>
      <c r="I12" s="2310"/>
      <c r="J12" s="67"/>
      <c r="K12" s="604"/>
      <c r="S12" s="600" t="s">
        <v>32</v>
      </c>
      <c r="T12" s="600" t="s">
        <v>33</v>
      </c>
      <c r="U12" s="600" t="s">
        <v>34</v>
      </c>
    </row>
    <row r="13" spans="1:21" ht="21" customHeight="1" thickBot="1" x14ac:dyDescent="0.25">
      <c r="A13" s="605">
        <v>1</v>
      </c>
      <c r="B13" s="622" t="s">
        <v>58</v>
      </c>
      <c r="C13" s="626">
        <f>Исх!K2</f>
        <v>4</v>
      </c>
      <c r="D13" s="609" t="s">
        <v>399</v>
      </c>
      <c r="E13" s="270">
        <f>C15</f>
        <v>3</v>
      </c>
      <c r="F13" s="77" t="s">
        <v>146</v>
      </c>
      <c r="G13" s="2282"/>
      <c r="H13" s="2310"/>
      <c r="I13" s="2310"/>
      <c r="J13" s="629"/>
      <c r="K13" s="630"/>
      <c r="S13" s="600" t="s">
        <v>35</v>
      </c>
      <c r="T13" s="600" t="s">
        <v>36</v>
      </c>
      <c r="U13" s="600" t="s">
        <v>37</v>
      </c>
    </row>
    <row r="14" spans="1:21" ht="21" customHeight="1" thickBot="1" x14ac:dyDescent="0.25">
      <c r="A14" s="605">
        <v>1</v>
      </c>
      <c r="B14" s="622" t="s">
        <v>396</v>
      </c>
      <c r="C14" s="626">
        <f>Исх!K4</f>
        <v>12</v>
      </c>
      <c r="D14" s="609" t="s">
        <v>400</v>
      </c>
      <c r="E14" s="63"/>
      <c r="F14" s="77"/>
      <c r="G14" s="631"/>
      <c r="H14" s="2282" t="s">
        <v>436</v>
      </c>
      <c r="I14" s="2282"/>
      <c r="J14" s="2268" t="str">
        <f>J15</f>
        <v>289*330</v>
      </c>
      <c r="K14" s="2269"/>
      <c r="S14" s="600" t="s">
        <v>38</v>
      </c>
      <c r="T14" s="600" t="s">
        <v>39</v>
      </c>
      <c r="U14" s="600" t="s">
        <v>40</v>
      </c>
    </row>
    <row r="15" spans="1:21" ht="20.25" customHeight="1" thickBot="1" x14ac:dyDescent="0.25">
      <c r="A15" s="605">
        <v>1</v>
      </c>
      <c r="B15" s="632" t="s">
        <v>398</v>
      </c>
      <c r="C15" s="633">
        <f>Исх!K5</f>
        <v>3</v>
      </c>
      <c r="D15" s="609" t="s">
        <v>401</v>
      </c>
      <c r="E15" s="63"/>
      <c r="F15" s="77"/>
      <c r="G15" s="609"/>
      <c r="H15" s="2282" t="s">
        <v>60</v>
      </c>
      <c r="I15" s="2282"/>
      <c r="J15" s="2268" t="s">
        <v>1944</v>
      </c>
      <c r="K15" s="2269"/>
      <c r="S15" s="600" t="s">
        <v>41</v>
      </c>
      <c r="T15" s="600" t="s">
        <v>42</v>
      </c>
      <c r="U15" s="600" t="s">
        <v>43</v>
      </c>
    </row>
    <row r="16" spans="1:21" ht="20.25" customHeight="1" x14ac:dyDescent="0.2">
      <c r="A16" s="605">
        <v>1</v>
      </c>
      <c r="B16" s="632"/>
      <c r="C16" s="634"/>
      <c r="D16" s="609" t="s">
        <v>402</v>
      </c>
      <c r="E16" s="602"/>
      <c r="F16" s="603"/>
      <c r="G16" s="609"/>
      <c r="H16" s="609"/>
      <c r="I16" s="620"/>
      <c r="J16" s="620"/>
      <c r="K16" s="635"/>
      <c r="S16" s="600" t="s">
        <v>44</v>
      </c>
      <c r="T16" s="600" t="s">
        <v>45</v>
      </c>
      <c r="U16" s="600" t="s">
        <v>46</v>
      </c>
    </row>
    <row r="17" spans="1:16" s="12" customFormat="1" ht="15.75" customHeight="1" thickBot="1" x14ac:dyDescent="0.25">
      <c r="A17" s="606">
        <v>1</v>
      </c>
      <c r="B17" s="636"/>
      <c r="C17" s="636"/>
      <c r="D17" s="636"/>
      <c r="E17" s="634"/>
      <c r="F17" s="637"/>
      <c r="G17" s="637"/>
      <c r="H17" s="637"/>
      <c r="I17" s="638"/>
      <c r="J17" s="638"/>
      <c r="K17" s="638"/>
      <c r="L17" s="637"/>
      <c r="N17" s="637"/>
      <c r="O17" s="637"/>
      <c r="P17" s="637"/>
    </row>
    <row r="18" spans="1:16" ht="24" customHeight="1" x14ac:dyDescent="0.2">
      <c r="A18" s="605">
        <v>1</v>
      </c>
      <c r="B18" s="2270" t="s">
        <v>599</v>
      </c>
      <c r="C18" s="2271"/>
      <c r="D18" s="2296" t="s">
        <v>772</v>
      </c>
      <c r="E18" s="1092" t="s">
        <v>381</v>
      </c>
      <c r="F18" s="1987" t="s">
        <v>1940</v>
      </c>
      <c r="G18" s="2298" t="s">
        <v>867</v>
      </c>
      <c r="H18" s="2299"/>
      <c r="I18" s="2302"/>
      <c r="J18" s="2258" t="s">
        <v>600</v>
      </c>
      <c r="K18" s="2259"/>
    </row>
    <row r="19" spans="1:16" s="12" customFormat="1" ht="24.75" customHeight="1" thickBot="1" x14ac:dyDescent="0.25">
      <c r="A19" s="606">
        <v>1</v>
      </c>
      <c r="B19" s="2272"/>
      <c r="C19" s="2273"/>
      <c r="D19" s="2297"/>
      <c r="E19" s="1093" t="s">
        <v>382</v>
      </c>
      <c r="F19" s="1094"/>
      <c r="G19" s="2300"/>
      <c r="H19" s="2301"/>
      <c r="I19" s="2303"/>
      <c r="J19" s="2260" t="s">
        <v>1942</v>
      </c>
      <c r="K19" s="2261"/>
      <c r="L19" s="637"/>
      <c r="N19" s="637"/>
      <c r="O19" s="637"/>
      <c r="P19" s="637"/>
    </row>
    <row r="20" spans="1:16" ht="45" customHeight="1" x14ac:dyDescent="0.2">
      <c r="A20" s="605">
        <v>1</v>
      </c>
      <c r="B20" s="2315" t="str">
        <f>Мат!P83&amp;": "&amp;Мат!Q83&amp;" (цена в "&amp;Мат!R83&amp;")"</f>
        <v>Пластины: Kaizen (цена в USD)</v>
      </c>
      <c r="C20" s="2316"/>
      <c r="D20" s="639" t="s">
        <v>61</v>
      </c>
      <c r="E20" s="2294" t="s">
        <v>1941</v>
      </c>
      <c r="F20" s="2295"/>
      <c r="G20" s="2295"/>
      <c r="H20" s="2295"/>
      <c r="I20" s="2291" t="str">
        <f>IF(Исх!IT34&gt;0,Исх!IU34,"")</f>
        <v/>
      </c>
      <c r="J20" s="2292"/>
      <c r="K20" s="2293"/>
    </row>
    <row r="21" spans="1:16" ht="19.5" customHeight="1" x14ac:dyDescent="0.2">
      <c r="A21" s="605">
        <v>1</v>
      </c>
      <c r="B21" s="640" t="str">
        <f>LOOKUP(1,Исх!$B$14:$B$26,Исх!C$14:C$26)</f>
        <v>СityLine</v>
      </c>
      <c r="C21" s="599">
        <f>LOOKUP(1,Исх!$B$14:$B$26,Исх!$N$14:$N$26)</f>
        <v>16</v>
      </c>
      <c r="D21" s="641"/>
      <c r="E21" s="642"/>
      <c r="F21" s="642"/>
      <c r="G21" s="642"/>
      <c r="H21" s="642"/>
      <c r="I21" s="642"/>
      <c r="J21" s="642"/>
      <c r="K21" s="643"/>
    </row>
    <row r="22" spans="1:16" ht="19.5" customHeight="1" x14ac:dyDescent="0.2">
      <c r="A22" s="605">
        <v>1</v>
      </c>
      <c r="B22" s="640" t="str">
        <f>LOOKUP(2,Исх!$B$14:$B$26,Исх!C$14:C$26)</f>
        <v xml:space="preserve">   </v>
      </c>
      <c r="C22" s="599" t="str">
        <f>LOOKUP(2,Исх!$B$14:$B$26,Исх!$N$14:$N$26)</f>
        <v xml:space="preserve">  </v>
      </c>
      <c r="D22" s="644" t="s">
        <v>184</v>
      </c>
      <c r="E22" s="645"/>
      <c r="F22" s="609"/>
      <c r="G22" s="646"/>
      <c r="H22" s="646"/>
      <c r="I22" s="646"/>
      <c r="J22" s="647"/>
      <c r="K22" s="648"/>
    </row>
    <row r="23" spans="1:16" ht="19.5" customHeight="1" x14ac:dyDescent="0.2">
      <c r="A23" s="605">
        <v>1</v>
      </c>
      <c r="B23" s="640" t="str">
        <f>LOOKUP(3,Исх!$B$14:$B$26,Исх!C$14:C$26)</f>
        <v xml:space="preserve">   </v>
      </c>
      <c r="C23" s="599" t="str">
        <f>LOOKUP(3,Исх!$B$14:$B$26,Исх!$N$14:$N$26)</f>
        <v xml:space="preserve">  </v>
      </c>
      <c r="D23" s="649"/>
      <c r="E23" s="609"/>
      <c r="F23" s="650"/>
      <c r="G23" s="650"/>
      <c r="H23" s="650"/>
      <c r="I23" s="650"/>
      <c r="J23" s="647"/>
      <c r="K23" s="648"/>
    </row>
    <row r="24" spans="1:16" ht="19.5" customHeight="1" x14ac:dyDescent="0.2">
      <c r="A24" s="605">
        <v>1</v>
      </c>
      <c r="B24" s="640" t="str">
        <f>LOOKUP(4,Исх!$B$14:$B$26,Исх!C$14:C$26)</f>
        <v xml:space="preserve">   </v>
      </c>
      <c r="C24" s="599" t="str">
        <f>LOOKUP(4,Исх!$B$14:$B$26,Исх!$N$14:$N$26)</f>
        <v xml:space="preserve">  </v>
      </c>
      <c r="D24" s="644" t="s">
        <v>62</v>
      </c>
      <c r="E24" s="645"/>
      <c r="F24" s="650"/>
      <c r="G24" s="650"/>
      <c r="H24" s="650"/>
      <c r="I24" s="650"/>
      <c r="J24" s="647"/>
      <c r="K24" s="648"/>
    </row>
    <row r="25" spans="1:16" ht="19.5" customHeight="1" x14ac:dyDescent="0.2">
      <c r="A25" s="605">
        <v>1</v>
      </c>
      <c r="B25" s="640" t="str">
        <f>LOOKUP(5,Исх!$B$14:$B$26,Исх!C$14:C$26)</f>
        <v xml:space="preserve">   </v>
      </c>
      <c r="C25" s="599" t="str">
        <f>LOOKUP(5,Исх!$B$14:$B$26,Исх!$N$14:$N$26)</f>
        <v xml:space="preserve">  </v>
      </c>
      <c r="D25" s="634"/>
      <c r="E25" s="651"/>
      <c r="F25" s="650"/>
      <c r="G25" s="650"/>
      <c r="H25" s="650"/>
      <c r="I25" s="650"/>
      <c r="J25" s="647"/>
      <c r="K25" s="648"/>
      <c r="N25" s="647"/>
      <c r="O25" s="652"/>
      <c r="P25" s="637"/>
    </row>
    <row r="26" spans="1:16" ht="19.5" customHeight="1" x14ac:dyDescent="0.2">
      <c r="A26" s="605">
        <v>1</v>
      </c>
      <c r="B26" s="654" t="s">
        <v>183</v>
      </c>
      <c r="C26" s="601" t="s">
        <v>959</v>
      </c>
      <c r="D26" s="644" t="s">
        <v>63</v>
      </c>
      <c r="E26" s="645"/>
      <c r="F26" s="650"/>
      <c r="G26" s="650"/>
      <c r="H26" s="650"/>
      <c r="I26" s="650"/>
      <c r="J26" s="647"/>
      <c r="K26" s="648"/>
      <c r="N26" s="647"/>
      <c r="O26" s="652"/>
      <c r="P26" s="637"/>
    </row>
    <row r="27" spans="1:16" ht="19.5" customHeight="1" x14ac:dyDescent="0.2">
      <c r="A27" s="605">
        <v>1</v>
      </c>
      <c r="B27" s="654" t="s">
        <v>182</v>
      </c>
      <c r="C27" s="661" t="s">
        <v>726</v>
      </c>
      <c r="D27" s="634"/>
      <c r="E27" s="653"/>
      <c r="F27" s="650"/>
      <c r="G27" s="650"/>
      <c r="H27" s="650"/>
      <c r="I27" s="650"/>
      <c r="J27" s="647"/>
      <c r="K27" s="648"/>
      <c r="N27" s="647"/>
      <c r="O27" s="652"/>
      <c r="P27" s="637"/>
    </row>
    <row r="28" spans="1:16" ht="19.5" customHeight="1" x14ac:dyDescent="0.2">
      <c r="A28" s="605">
        <v>1</v>
      </c>
      <c r="B28" s="657"/>
      <c r="C28" s="658"/>
      <c r="D28" s="644" t="s">
        <v>81</v>
      </c>
      <c r="E28" s="655"/>
      <c r="F28" s="637"/>
      <c r="G28" s="650"/>
      <c r="H28" s="650"/>
      <c r="I28" s="650"/>
      <c r="J28" s="628"/>
      <c r="K28" s="656"/>
      <c r="N28" s="647"/>
      <c r="O28" s="652"/>
      <c r="P28" s="637"/>
    </row>
    <row r="29" spans="1:16" ht="19.5" customHeight="1" x14ac:dyDescent="0.2">
      <c r="A29" s="605">
        <v>1</v>
      </c>
      <c r="B29" s="1785" t="s">
        <v>1226</v>
      </c>
      <c r="C29" s="1788"/>
      <c r="D29" s="659"/>
      <c r="E29" s="660"/>
      <c r="F29" s="650"/>
      <c r="G29" s="650"/>
      <c r="H29" s="650"/>
      <c r="I29" s="650"/>
      <c r="J29" s="628"/>
      <c r="K29" s="656"/>
      <c r="N29" s="647"/>
      <c r="O29" s="652"/>
      <c r="P29" s="637"/>
    </row>
    <row r="30" spans="1:16" s="12" customFormat="1" ht="19.5" customHeight="1" x14ac:dyDescent="0.2">
      <c r="A30" s="606">
        <v>1</v>
      </c>
      <c r="B30" s="1786" t="s">
        <v>1225</v>
      </c>
      <c r="C30" s="1788"/>
      <c r="D30" s="662" t="s">
        <v>82</v>
      </c>
      <c r="E30" s="663"/>
      <c r="F30" s="650"/>
      <c r="G30" s="650"/>
      <c r="H30" s="650"/>
      <c r="I30" s="650"/>
      <c r="J30" s="628"/>
      <c r="K30" s="656"/>
      <c r="L30" s="637"/>
      <c r="N30" s="647"/>
      <c r="O30" s="652"/>
      <c r="P30" s="637"/>
    </row>
    <row r="31" spans="1:16" s="12" customFormat="1" ht="19.5" customHeight="1" thickBot="1" x14ac:dyDescent="0.25">
      <c r="A31" s="606">
        <v>1</v>
      </c>
      <c r="B31" s="1787" t="s">
        <v>1224</v>
      </c>
      <c r="C31" s="1789"/>
      <c r="D31" s="664"/>
      <c r="E31" s="664"/>
      <c r="F31" s="664"/>
      <c r="G31" s="664"/>
      <c r="H31" s="664"/>
      <c r="I31" s="664"/>
      <c r="J31" s="664"/>
      <c r="K31" s="665"/>
      <c r="L31" s="637"/>
      <c r="N31" s="628"/>
      <c r="O31" s="666"/>
      <c r="P31" s="637"/>
    </row>
    <row r="32" spans="1:16" s="12" customFormat="1" ht="12" customHeight="1" thickBot="1" x14ac:dyDescent="0.25">
      <c r="A32" s="606">
        <v>1</v>
      </c>
      <c r="B32" s="1783"/>
      <c r="C32" s="1784"/>
      <c r="D32" s="667"/>
      <c r="E32" s="667"/>
      <c r="F32" s="667"/>
      <c r="G32" s="667"/>
      <c r="H32" s="667"/>
      <c r="I32" s="668"/>
      <c r="J32" s="668"/>
      <c r="K32" s="669"/>
      <c r="L32" s="637"/>
      <c r="N32" s="637"/>
      <c r="O32" s="637"/>
      <c r="P32" s="637"/>
    </row>
    <row r="33" spans="1:17" s="12" customFormat="1" ht="27" customHeight="1" thickBot="1" x14ac:dyDescent="0.25">
      <c r="A33" s="606">
        <v>1</v>
      </c>
      <c r="B33" s="670" t="s">
        <v>598</v>
      </c>
      <c r="C33" s="671"/>
      <c r="D33" s="672" t="s">
        <v>592</v>
      </c>
      <c r="E33" s="673" t="str">
        <f>J5</f>
        <v>2:28:00</v>
      </c>
      <c r="F33" s="671"/>
      <c r="G33" s="671"/>
      <c r="H33" s="671"/>
      <c r="I33" s="671"/>
      <c r="J33" s="671"/>
      <c r="K33" s="674"/>
      <c r="L33" s="637"/>
      <c r="N33" s="637"/>
      <c r="O33" s="637"/>
      <c r="P33" s="637"/>
    </row>
    <row r="34" spans="1:17" s="152" customFormat="1" ht="27.75" customHeight="1" x14ac:dyDescent="0.2">
      <c r="A34" s="606">
        <v>1</v>
      </c>
      <c r="B34" s="2319" t="s">
        <v>945</v>
      </c>
      <c r="C34" s="2320"/>
      <c r="D34" s="1238" t="s">
        <v>65</v>
      </c>
      <c r="E34" s="1238" t="s">
        <v>66</v>
      </c>
      <c r="F34" s="1238" t="s">
        <v>58</v>
      </c>
      <c r="G34" s="1239" t="s">
        <v>67</v>
      </c>
      <c r="H34" s="1240" t="s">
        <v>59</v>
      </c>
      <c r="I34" s="1241" t="s">
        <v>403</v>
      </c>
      <c r="J34" s="1241" t="s">
        <v>946</v>
      </c>
      <c r="K34" s="1242" t="s">
        <v>404</v>
      </c>
      <c r="L34" s="675"/>
      <c r="N34" s="675"/>
      <c r="O34" s="675"/>
      <c r="P34" s="675"/>
    </row>
    <row r="35" spans="1:17" s="49" customFormat="1" ht="15.75" customHeight="1" x14ac:dyDescent="0.2">
      <c r="A35" s="607">
        <f t="shared" ref="A35:A46" ca="1" si="1">IF(J35&gt;0,1,0)</f>
        <v>1</v>
      </c>
      <c r="B35" s="676" t="str">
        <f>Исх!C30</f>
        <v>газетная                              все форматы</v>
      </c>
      <c r="C35" s="1235" t="s">
        <v>13</v>
      </c>
      <c r="D35" s="677">
        <f>Исх!I30</f>
        <v>42</v>
      </c>
      <c r="E35" s="677" t="str">
        <f>Исх!J30&amp;"X"&amp;Исх!K30</f>
        <v>66X57,8</v>
      </c>
      <c r="F35" s="1234">
        <f>Исх!L30</f>
        <v>8</v>
      </c>
      <c r="G35" s="1234">
        <f>Исх!Z30</f>
        <v>25000</v>
      </c>
      <c r="H35" s="678" t="str">
        <f ca="1">Исх!AA30&amp;" / "&amp;Исх!Z30*Исх!N45</f>
        <v>4375 / 0</v>
      </c>
      <c r="I35" s="1234">
        <f ca="1">Исх!Z30+Исх!AA30</f>
        <v>29375</v>
      </c>
      <c r="J35" s="678">
        <f ca="1">((Исх!J30*Исх!K30)/10000*(Исх!Z30+Исх!AA30))</f>
        <v>11205.975</v>
      </c>
      <c r="K35" s="679">
        <f ca="1">IF(F35&gt;0,Исх!I30*Исх!J30*Исх!K30*Заказ!I35/10000000,0)</f>
        <v>470.65095000000002</v>
      </c>
      <c r="L35" s="680"/>
      <c r="N35" s="680"/>
      <c r="O35" s="680"/>
      <c r="P35" s="680"/>
    </row>
    <row r="36" spans="1:17" s="49" customFormat="1" ht="15.75" customHeight="1" x14ac:dyDescent="0.2">
      <c r="A36" s="607">
        <f t="shared" ca="1" si="1"/>
        <v>1</v>
      </c>
      <c r="B36" s="1236" t="str">
        <f>Исх!C31</f>
        <v>газетная.                             все форматы</v>
      </c>
      <c r="C36" s="1237" t="s">
        <v>13</v>
      </c>
      <c r="D36" s="677">
        <f>Исх!I31</f>
        <v>42</v>
      </c>
      <c r="E36" s="677" t="str">
        <f>Исх!J31&amp;"X"&amp;Исх!K31</f>
        <v>33X57,8</v>
      </c>
      <c r="F36" s="1234">
        <f>Исх!L31</f>
        <v>4</v>
      </c>
      <c r="G36" s="1234">
        <f>Исх!Z31</f>
        <v>25000</v>
      </c>
      <c r="H36" s="678" t="str">
        <f ca="1">Исх!AA31&amp;" / "&amp;Исх!Z31*Исх!N46</f>
        <v>4375 / 0</v>
      </c>
      <c r="I36" s="1234">
        <f ca="1">Исх!Z31+Исх!AA31</f>
        <v>29375</v>
      </c>
      <c r="J36" s="678">
        <f ca="1">((Исх!J31*Исх!K31)/10000*(Исх!Z31+Исх!AA31))</f>
        <v>5602.9875000000002</v>
      </c>
      <c r="K36" s="679">
        <f ca="1">IF(F36&gt;0,Исх!I31*Исх!J31*Исх!K31*Заказ!I36/10000000,0)</f>
        <v>235.32547500000001</v>
      </c>
      <c r="L36" s="680"/>
      <c r="N36" s="680"/>
      <c r="O36" s="680"/>
      <c r="P36" s="680"/>
    </row>
    <row r="37" spans="1:17" s="49" customFormat="1" ht="15.75" hidden="1" customHeight="1" x14ac:dyDescent="0.2">
      <c r="A37" s="607">
        <f t="shared" si="1"/>
        <v>0</v>
      </c>
      <c r="B37" s="1236" t="str">
        <f>Исх!C32</f>
        <v xml:space="preserve"> </v>
      </c>
      <c r="C37" s="1237" t="s">
        <v>13</v>
      </c>
      <c r="D37" s="677">
        <f>Исх!I32</f>
        <v>0</v>
      </c>
      <c r="E37" s="677" t="str">
        <f>Исх!J32&amp;"X"&amp;Исх!K32</f>
        <v>X</v>
      </c>
      <c r="F37" s="1234">
        <f>Исх!L32</f>
        <v>0</v>
      </c>
      <c r="G37" s="1234">
        <f>Исх!Z32</f>
        <v>0</v>
      </c>
      <c r="H37" s="678" t="str">
        <f>Исх!AA32&amp;" / "&amp;Исх!Z32*Исх!N47</f>
        <v>0 / 0</v>
      </c>
      <c r="I37" s="1234">
        <f>Исх!Z32+Исх!AA32</f>
        <v>0</v>
      </c>
      <c r="J37" s="678">
        <f>((Исх!J32*Исх!K32)/10000*(Исх!Z32+Исх!AA32))</f>
        <v>0</v>
      </c>
      <c r="K37" s="679">
        <f>IF(F37&gt;0,Исх!I32*Исх!J32*Исх!K32*Заказ!I37/10000000,0)</f>
        <v>0</v>
      </c>
      <c r="L37" s="680"/>
      <c r="N37" s="680"/>
      <c r="O37" s="680"/>
      <c r="P37" s="680"/>
    </row>
    <row r="38" spans="1:17" s="49" customFormat="1" ht="15.75" hidden="1" customHeight="1" x14ac:dyDescent="0.2">
      <c r="A38" s="607">
        <f t="shared" si="1"/>
        <v>0</v>
      </c>
      <c r="B38" s="1236" t="str">
        <f>Исх!C33</f>
        <v xml:space="preserve"> </v>
      </c>
      <c r="C38" s="1237" t="s">
        <v>13</v>
      </c>
      <c r="D38" s="677">
        <f>Исх!I33</f>
        <v>0</v>
      </c>
      <c r="E38" s="677" t="str">
        <f>Исх!J33&amp;"X"&amp;Исх!K33</f>
        <v>X</v>
      </c>
      <c r="F38" s="1234">
        <f>Исх!L33</f>
        <v>0</v>
      </c>
      <c r="G38" s="1234">
        <f>Исх!Z33</f>
        <v>0</v>
      </c>
      <c r="H38" s="678" t="str">
        <f>Исх!AA33&amp;" / "&amp;Исх!Z33*Исх!N48</f>
        <v>0 / 0</v>
      </c>
      <c r="I38" s="1234">
        <f>Исх!Z33+Исх!AA33</f>
        <v>0</v>
      </c>
      <c r="J38" s="678">
        <f>((Исх!J33*Исх!K33)/10000*(Исх!Z33+Исх!AA33))</f>
        <v>0</v>
      </c>
      <c r="K38" s="679">
        <f>IF(F38&gt;0,Исх!I33*Исх!J33*Исх!K33*Заказ!I38/10000000,0)</f>
        <v>0</v>
      </c>
      <c r="L38" s="680"/>
      <c r="N38" s="680"/>
      <c r="O38" s="680"/>
      <c r="P38" s="680"/>
    </row>
    <row r="39" spans="1:17" s="49" customFormat="1" ht="15.75" hidden="1" customHeight="1" x14ac:dyDescent="0.2">
      <c r="A39" s="607">
        <f t="shared" si="1"/>
        <v>0</v>
      </c>
      <c r="B39" s="1236" t="str">
        <f>Исх!C34</f>
        <v xml:space="preserve"> </v>
      </c>
      <c r="C39" s="1237" t="s">
        <v>13</v>
      </c>
      <c r="D39" s="677">
        <f>Исх!I34</f>
        <v>0</v>
      </c>
      <c r="E39" s="677" t="str">
        <f>Исх!J34&amp;"X"&amp;Исх!K34</f>
        <v>X</v>
      </c>
      <c r="F39" s="1234">
        <f>Исх!L34</f>
        <v>0</v>
      </c>
      <c r="G39" s="1234">
        <f>Исх!Z34</f>
        <v>0</v>
      </c>
      <c r="H39" s="678" t="str">
        <f>Исх!AA34&amp;" / "&amp;Исх!Z34*Исх!N49</f>
        <v>0 / 0</v>
      </c>
      <c r="I39" s="1234">
        <f>Исх!Z34+Исх!AA34</f>
        <v>0</v>
      </c>
      <c r="J39" s="678">
        <f>((Исх!J34*Исх!K34)/10000*(Исх!Z34+Исх!AA34))</f>
        <v>0</v>
      </c>
      <c r="K39" s="679">
        <f>IF(F39&gt;0,Исх!I34*Исх!J34*Исх!K34*Заказ!I39/10000000,0)</f>
        <v>0</v>
      </c>
      <c r="L39" s="680"/>
      <c r="N39" s="680"/>
      <c r="O39" s="680"/>
      <c r="P39" s="680"/>
    </row>
    <row r="40" spans="1:17" s="49" customFormat="1" ht="15.75" hidden="1" customHeight="1" x14ac:dyDescent="0.2">
      <c r="A40" s="607">
        <f t="shared" si="1"/>
        <v>0</v>
      </c>
      <c r="B40" s="1236" t="str">
        <f>Исх!C35</f>
        <v xml:space="preserve"> </v>
      </c>
      <c r="C40" s="1237" t="s">
        <v>13</v>
      </c>
      <c r="D40" s="677">
        <f>Исх!I35</f>
        <v>0</v>
      </c>
      <c r="E40" s="677" t="str">
        <f>Исх!J35&amp;"X"&amp;Исх!K35</f>
        <v>X</v>
      </c>
      <c r="F40" s="1234">
        <f>Исх!L35</f>
        <v>0</v>
      </c>
      <c r="G40" s="1234">
        <f>Исх!Z35</f>
        <v>0</v>
      </c>
      <c r="H40" s="678" t="str">
        <f>Исх!AA35&amp;" / "&amp;Исх!Z35*Исх!N50</f>
        <v>0 / 0</v>
      </c>
      <c r="I40" s="1234">
        <f>Исх!Z35+Исх!AA35</f>
        <v>0</v>
      </c>
      <c r="J40" s="678">
        <f>((Исх!J35*Исх!K35)/10000*(Исх!Z35+Исх!AA35))</f>
        <v>0</v>
      </c>
      <c r="K40" s="679">
        <f>IF(F40&gt;0,Исх!I35*Исх!J35*Исх!K35*Заказ!I40/10000000,0)</f>
        <v>0</v>
      </c>
      <c r="L40" s="680"/>
      <c r="N40" s="680"/>
      <c r="O40" s="680"/>
      <c r="P40" s="680"/>
    </row>
    <row r="41" spans="1:17" s="49" customFormat="1" ht="15.75" hidden="1" customHeight="1" x14ac:dyDescent="0.2">
      <c r="A41" s="607">
        <f t="shared" si="1"/>
        <v>0</v>
      </c>
      <c r="B41" s="1236" t="str">
        <f>Исх!C36</f>
        <v xml:space="preserve"> </v>
      </c>
      <c r="C41" s="1237" t="s">
        <v>13</v>
      </c>
      <c r="D41" s="677">
        <f>Исх!I36</f>
        <v>0</v>
      </c>
      <c r="E41" s="677" t="str">
        <f>Исх!J36&amp;"X"&amp;Исх!K36</f>
        <v>X</v>
      </c>
      <c r="F41" s="1234">
        <f>Исх!L36</f>
        <v>0</v>
      </c>
      <c r="G41" s="1234">
        <f>Исх!Z36</f>
        <v>0</v>
      </c>
      <c r="H41" s="678" t="str">
        <f>Исх!AA36&amp;" / "&amp;Исх!Z36*Исх!N51</f>
        <v>0 / 0</v>
      </c>
      <c r="I41" s="1234">
        <f>Исх!Z36+Исх!AA36</f>
        <v>0</v>
      </c>
      <c r="J41" s="678">
        <f>((Исх!J36*Исх!K36)/10000*(Исх!Z36+Исх!AA36))</f>
        <v>0</v>
      </c>
      <c r="K41" s="679">
        <f>IF(F41&gt;0,Исх!I36*Исх!J36*Исх!K36*Заказ!I41/10000000,0)</f>
        <v>0</v>
      </c>
      <c r="L41" s="680"/>
      <c r="N41" s="680"/>
      <c r="O41" s="680"/>
      <c r="P41" s="680"/>
    </row>
    <row r="42" spans="1:17" s="49" customFormat="1" ht="15.75" hidden="1" customHeight="1" x14ac:dyDescent="0.2">
      <c r="A42" s="607">
        <f t="shared" si="1"/>
        <v>0</v>
      </c>
      <c r="B42" s="1236" t="str">
        <f>Исх!C37</f>
        <v xml:space="preserve"> </v>
      </c>
      <c r="C42" s="1237" t="s">
        <v>13</v>
      </c>
      <c r="D42" s="677">
        <f>Исх!I37</f>
        <v>0</v>
      </c>
      <c r="E42" s="677" t="str">
        <f>Исх!J37&amp;"X"&amp;Исх!K37</f>
        <v>X</v>
      </c>
      <c r="F42" s="1234">
        <f>Исх!L37</f>
        <v>0</v>
      </c>
      <c r="G42" s="1234">
        <f>Исх!Z37</f>
        <v>0</v>
      </c>
      <c r="H42" s="678" t="str">
        <f>Исх!AA37&amp;" / "&amp;Исх!Z37*Исх!N52</f>
        <v>0 / 0</v>
      </c>
      <c r="I42" s="1234">
        <f>Исх!Z37+Исх!AA37</f>
        <v>0</v>
      </c>
      <c r="J42" s="678">
        <f>((Исх!J37*Исх!K37)/10000*(Исх!Z37+Исх!AA37))</f>
        <v>0</v>
      </c>
      <c r="K42" s="679">
        <f>IF(F42&gt;0,Исх!I37*Исх!J37*Исх!K37*Заказ!I42/10000000,0)</f>
        <v>0</v>
      </c>
      <c r="L42" s="680"/>
      <c r="N42" s="680"/>
      <c r="O42" s="680"/>
      <c r="P42" s="680"/>
    </row>
    <row r="43" spans="1:17" s="49" customFormat="1" ht="15.75" hidden="1" customHeight="1" x14ac:dyDescent="0.2">
      <c r="A43" s="607">
        <f t="shared" si="1"/>
        <v>0</v>
      </c>
      <c r="B43" s="1236" t="str">
        <f>Исх!C38</f>
        <v xml:space="preserve"> </v>
      </c>
      <c r="C43" s="1237" t="s">
        <v>13</v>
      </c>
      <c r="D43" s="677">
        <f>Исх!I38</f>
        <v>0</v>
      </c>
      <c r="E43" s="677" t="str">
        <f>Исх!J38&amp;"X"&amp;Исх!K38</f>
        <v>X</v>
      </c>
      <c r="F43" s="1234">
        <f>Исх!L38</f>
        <v>0</v>
      </c>
      <c r="G43" s="1234">
        <f>Исх!Z38</f>
        <v>0</v>
      </c>
      <c r="H43" s="678" t="str">
        <f>Исх!AA38&amp;" / "&amp;Исх!Z38*Исх!N53</f>
        <v>0 / 0</v>
      </c>
      <c r="I43" s="1234">
        <f>Исх!Z38+Исх!AA38</f>
        <v>0</v>
      </c>
      <c r="J43" s="678">
        <f>((Исх!J38*Исх!K38)/10000*(Исх!Z38+Исх!AA38))</f>
        <v>0</v>
      </c>
      <c r="K43" s="679">
        <f>IF(F43&gt;0,Исх!I38*Исх!J38*Исх!K38*Заказ!I43/10000000,0)</f>
        <v>0</v>
      </c>
      <c r="L43" s="680"/>
      <c r="N43" s="680"/>
      <c r="O43" s="680"/>
      <c r="P43" s="680"/>
    </row>
    <row r="44" spans="1:17" s="49" customFormat="1" ht="15.75" hidden="1" customHeight="1" x14ac:dyDescent="0.2">
      <c r="A44" s="607">
        <f t="shared" si="1"/>
        <v>0</v>
      </c>
      <c r="B44" s="1236" t="str">
        <f>Исх!C39</f>
        <v xml:space="preserve"> </v>
      </c>
      <c r="C44" s="1237" t="s">
        <v>13</v>
      </c>
      <c r="D44" s="677">
        <f>Исх!I39</f>
        <v>0</v>
      </c>
      <c r="E44" s="677" t="str">
        <f>Исх!J39&amp;"X"&amp;Исх!K39</f>
        <v>X</v>
      </c>
      <c r="F44" s="1234">
        <f>Исх!L39</f>
        <v>0</v>
      </c>
      <c r="G44" s="1234">
        <f>Исх!Z39</f>
        <v>0</v>
      </c>
      <c r="H44" s="678" t="str">
        <f>Исх!AA39&amp;" / "&amp;Исх!Z39*Исх!N54</f>
        <v>0 / 0</v>
      </c>
      <c r="I44" s="1234">
        <f>Исх!Z39+Исх!AA39</f>
        <v>0</v>
      </c>
      <c r="J44" s="678">
        <f>((Исх!J39*Исх!K39)/10000*(Исх!Z39+Исх!AA39))</f>
        <v>0</v>
      </c>
      <c r="K44" s="679">
        <f>IF(F44&gt;0,Исх!I39*Исх!J39*Исх!K39*Заказ!I44/10000000,0)</f>
        <v>0</v>
      </c>
      <c r="L44" s="680"/>
      <c r="N44" s="680"/>
      <c r="O44" s="680"/>
      <c r="P44" s="680"/>
    </row>
    <row r="45" spans="1:17" s="49" customFormat="1" ht="15.75" hidden="1" customHeight="1" x14ac:dyDescent="0.2">
      <c r="A45" s="607">
        <f t="shared" si="1"/>
        <v>0</v>
      </c>
      <c r="B45" s="1236" t="str">
        <f>Исх!C40</f>
        <v xml:space="preserve"> </v>
      </c>
      <c r="C45" s="1237" t="s">
        <v>13</v>
      </c>
      <c r="D45" s="677">
        <f>Исх!I40</f>
        <v>0</v>
      </c>
      <c r="E45" s="677" t="str">
        <f>Исх!J40&amp;"X"&amp;Исх!K40</f>
        <v>X</v>
      </c>
      <c r="F45" s="1234">
        <f>Исх!L40</f>
        <v>0</v>
      </c>
      <c r="G45" s="1234">
        <f>Исх!Z40</f>
        <v>0</v>
      </c>
      <c r="H45" s="678" t="str">
        <f>Исх!AA40&amp;" / "&amp;Исх!Z40*Исх!N55</f>
        <v>0 / 0</v>
      </c>
      <c r="I45" s="1234">
        <f>Исх!Z40+Исх!AA40</f>
        <v>0</v>
      </c>
      <c r="J45" s="678">
        <f>((Исх!J40*Исх!K40)/10000*(Исх!Z40+Исх!AA40))</f>
        <v>0</v>
      </c>
      <c r="K45" s="679">
        <f>IF(F45&gt;0,Исх!I40*Исх!J40*Исх!K40*Заказ!I45/10000000,0)</f>
        <v>0</v>
      </c>
      <c r="L45" s="680"/>
      <c r="N45" s="680"/>
      <c r="O45" s="680"/>
      <c r="P45" s="680"/>
    </row>
    <row r="46" spans="1:17" s="49" customFormat="1" ht="15.75" hidden="1" customHeight="1" x14ac:dyDescent="0.2">
      <c r="A46" s="607">
        <f t="shared" si="1"/>
        <v>0</v>
      </c>
      <c r="B46" s="1236" t="str">
        <f>Исх!C41</f>
        <v xml:space="preserve"> </v>
      </c>
      <c r="C46" s="1237" t="s">
        <v>13</v>
      </c>
      <c r="D46" s="677">
        <f>Исх!I41</f>
        <v>0</v>
      </c>
      <c r="E46" s="677" t="str">
        <f>Исх!J41&amp;"X"&amp;Исх!K41</f>
        <v>X</v>
      </c>
      <c r="F46" s="1234">
        <f>Исх!L41</f>
        <v>0</v>
      </c>
      <c r="G46" s="1234">
        <f>Исх!Z41</f>
        <v>0</v>
      </c>
      <c r="H46" s="678" t="str">
        <f>Исх!AA41&amp;" / "&amp;Исх!Z41*Исх!N56</f>
        <v>0 / 0</v>
      </c>
      <c r="I46" s="1234">
        <f>Исх!Z41+Исх!AA41</f>
        <v>0</v>
      </c>
      <c r="J46" s="678">
        <f>((Исх!J41*Исх!K41)/10000*(Исх!Z41+Исх!AA41))</f>
        <v>0</v>
      </c>
      <c r="K46" s="679">
        <f>IF(F46&gt;0,Исх!I41*Исх!J41*Исх!K41*Заказ!I46/10000000,0)</f>
        <v>0</v>
      </c>
      <c r="L46" s="680"/>
      <c r="N46" s="680"/>
      <c r="O46" s="680"/>
      <c r="P46" s="680"/>
    </row>
    <row r="47" spans="1:17" s="49" customFormat="1" ht="17.25" customHeight="1" x14ac:dyDescent="0.2">
      <c r="A47" s="607">
        <v>1</v>
      </c>
      <c r="B47" s="2323"/>
      <c r="C47" s="2324"/>
      <c r="D47" s="2325"/>
      <c r="E47" s="2325"/>
      <c r="F47" s="2325"/>
      <c r="G47" s="2325"/>
      <c r="H47" s="2325"/>
      <c r="I47" s="2325"/>
      <c r="J47" s="2325"/>
      <c r="K47" s="2326"/>
      <c r="L47" s="680"/>
      <c r="N47" s="680"/>
      <c r="O47" s="1790" t="s">
        <v>1212</v>
      </c>
      <c r="P47" s="1790" t="s">
        <v>1211</v>
      </c>
    </row>
    <row r="48" spans="1:17" s="12" customFormat="1" ht="30.75" customHeight="1" x14ac:dyDescent="0.2">
      <c r="A48" s="606">
        <v>1</v>
      </c>
      <c r="B48" s="681" t="s">
        <v>430</v>
      </c>
      <c r="C48" s="2321" t="s">
        <v>68</v>
      </c>
      <c r="D48" s="2322"/>
      <c r="E48" s="682" t="s">
        <v>406</v>
      </c>
      <c r="F48" s="683" t="s">
        <v>590</v>
      </c>
      <c r="G48" s="2289" t="s">
        <v>265</v>
      </c>
      <c r="H48" s="2290"/>
      <c r="I48" s="684" t="s">
        <v>52</v>
      </c>
      <c r="J48" s="685"/>
      <c r="K48" s="686"/>
      <c r="L48" s="1791"/>
      <c r="M48" s="1792" t="s">
        <v>1240</v>
      </c>
      <c r="N48" s="1793" t="s">
        <v>1241</v>
      </c>
      <c r="O48" s="1793" t="s">
        <v>1209</v>
      </c>
      <c r="P48" s="1793" t="s">
        <v>1209</v>
      </c>
      <c r="Q48" s="1792"/>
    </row>
    <row r="49" spans="1:17" s="12" customFormat="1" ht="21.75" customHeight="1" x14ac:dyDescent="0.2">
      <c r="A49" s="606">
        <v>1</v>
      </c>
      <c r="B49" s="687" t="s">
        <v>399</v>
      </c>
      <c r="C49" s="2283" t="str">
        <f>IFERROR(LOOKUP(2,1/(Исх!$AM$30:$AM$41=Заказ!$L49),Исх!$AN$30:$AN$41),)</f>
        <v>СityLine</v>
      </c>
      <c r="D49" s="2284"/>
      <c r="E49" s="688" t="str">
        <f>F13</f>
        <v>4+4</v>
      </c>
      <c r="F49" s="592"/>
      <c r="G49" s="2280">
        <f>SUMPRODUCT((Исх!$AL$30:$AL$41=Заказ!$A49)*(Исх!$AN$30:$AN$41=Заказ!$C49)*Исх!$V$30:$V$41)</f>
        <v>400000</v>
      </c>
      <c r="H49" s="2281"/>
      <c r="I49" s="1225">
        <f>SUMPRODUCT((Исх!$AL$30:$AL$41=Заказ!$A49)*(Исх!$AN$30:$AN$41=Заказ!$C49)*Исх!$W$30:$W$41)</f>
        <v>25000</v>
      </c>
      <c r="J49" s="689"/>
      <c r="K49" s="686"/>
      <c r="L49" s="1794" t="s">
        <v>818</v>
      </c>
      <c r="M49" s="1795">
        <f>IFERROR(LOOKUP(2,1/(Исх!$AM$30:$AM$41=Заказ!$L49),Исх!$F$30:$F$41),)</f>
        <v>2</v>
      </c>
      <c r="N49" s="1796">
        <f>SUMPRODUCT((Исх!$AL$30:$AL$41=Заказ!$A49)*(Исх!$AN$30:$AN$41=Заказ!$C49)*Исх!$S$30:$S$41)</f>
        <v>16</v>
      </c>
      <c r="O49" s="1797"/>
      <c r="P49" s="1797"/>
      <c r="Q49" s="1796"/>
    </row>
    <row r="50" spans="1:17" s="12" customFormat="1" ht="21.75" customHeight="1" x14ac:dyDescent="0.2">
      <c r="A50" s="606">
        <v>2</v>
      </c>
      <c r="B50" s="687" t="s">
        <v>400</v>
      </c>
      <c r="C50" s="2283">
        <f>IFERROR(LOOKUP(2,1/(Исх!$AM$30:$AM$41=Заказ!$L50),Исх!$AN$30:$AN$41),)</f>
        <v>0</v>
      </c>
      <c r="D50" s="2284"/>
      <c r="E50" s="688">
        <f>F14</f>
        <v>0</v>
      </c>
      <c r="F50" s="592"/>
      <c r="G50" s="2280">
        <f>SUMPRODUCT((Исх!$AL$30:$AL$41=Заказ!$A50)*(Исх!$AN$30:$AN$41=Заказ!$C50)*Исх!$V$30:$V$41)</f>
        <v>0</v>
      </c>
      <c r="H50" s="2281"/>
      <c r="I50" s="1225">
        <f>SUMPRODUCT((Исх!$AL$30:$AL$41=Заказ!$A50)*(Исх!$AN$30:$AN$41=Заказ!$C50)*Исх!$W$30:$W$41)</f>
        <v>0</v>
      </c>
      <c r="J50" s="689"/>
      <c r="K50" s="686"/>
      <c r="L50" s="1794" t="s">
        <v>400</v>
      </c>
      <c r="M50" s="1795">
        <f>IFERROR(LOOKUP(2,1/(Исх!$AM$30:$AM$41=Заказ!$L50),Исх!$F$30:$F$41),)</f>
        <v>0</v>
      </c>
      <c r="N50" s="1796">
        <f>SUMPRODUCT((Исх!$AL$30:$AL$41=Заказ!$A50)*(Исх!$AN$30:$AN$41=Заказ!$C50)*Исх!$S$30:$S$41)</f>
        <v>0</v>
      </c>
      <c r="O50" s="1797"/>
      <c r="P50" s="1797"/>
      <c r="Q50" s="1796"/>
    </row>
    <row r="51" spans="1:17" s="12" customFormat="1" ht="21.75" customHeight="1" x14ac:dyDescent="0.2">
      <c r="A51" s="606">
        <v>3</v>
      </c>
      <c r="B51" s="687" t="s">
        <v>401</v>
      </c>
      <c r="C51" s="2283">
        <f>IFERROR(LOOKUP(2,1/(Исх!$AM$30:$AM$41=Заказ!$L51),Исх!$AN$30:$AN$41),)</f>
        <v>0</v>
      </c>
      <c r="D51" s="2284"/>
      <c r="E51" s="688">
        <f>F15</f>
        <v>0</v>
      </c>
      <c r="F51" s="592"/>
      <c r="G51" s="2280">
        <f>SUMPRODUCT((Исх!$AL$30:$AL$41=Заказ!$A51)*(Исх!$AN$30:$AN$41=Заказ!$C51)*Исх!$V$30:$V$41)</f>
        <v>0</v>
      </c>
      <c r="H51" s="2281"/>
      <c r="I51" s="1225">
        <f>SUMPRODUCT((Исх!$AL$30:$AL$41=Заказ!$A51)*(Исх!$AN$30:$AN$41=Заказ!$C51)*Исх!$W$30:$W$41)</f>
        <v>0</v>
      </c>
      <c r="J51" s="689"/>
      <c r="K51" s="686"/>
      <c r="L51" s="1794" t="s">
        <v>401</v>
      </c>
      <c r="M51" s="1795">
        <f>IFERROR(LOOKUP(2,1/(Исх!$AM$30:$AM$41=Заказ!$L51),Исх!$F$30:$F$41),)</f>
        <v>0</v>
      </c>
      <c r="N51" s="1796">
        <f>SUMPRODUCT((Исх!$AL$30:$AL$41=Заказ!$A51)*(Исх!$AN$30:$AN$41=Заказ!$C51)*Исх!$S$30:$S$41)</f>
        <v>0</v>
      </c>
      <c r="O51" s="1797"/>
      <c r="P51" s="1797"/>
      <c r="Q51" s="1796"/>
    </row>
    <row r="52" spans="1:17" s="12" customFormat="1" ht="21.75" customHeight="1" x14ac:dyDescent="0.2">
      <c r="A52" s="606">
        <v>4</v>
      </c>
      <c r="B52" s="687" t="s">
        <v>402</v>
      </c>
      <c r="C52" s="2283">
        <f>IFERROR(LOOKUP(2,1/(Исх!$AM$30:$AM$41=Заказ!$L52),Исх!$AN$30:$AN$41),)</f>
        <v>0</v>
      </c>
      <c r="D52" s="2284"/>
      <c r="E52" s="688">
        <f>F16</f>
        <v>0</v>
      </c>
      <c r="F52" s="592"/>
      <c r="G52" s="2280">
        <f>SUMPRODUCT((Исх!$AL$30:$AL$41=Заказ!$A52)*(Исх!$AN$30:$AN$41=Заказ!$C52)*Исх!$V$30:$V$41)</f>
        <v>0</v>
      </c>
      <c r="H52" s="2281"/>
      <c r="I52" s="1225">
        <f>SUMPRODUCT((Исх!$AL$30:$AL$41=Заказ!$A52)*(Исх!$AN$30:$AN$41=Заказ!$C52)*Исх!$W$30:$W$41)</f>
        <v>0</v>
      </c>
      <c r="J52" s="689"/>
      <c r="K52" s="686"/>
      <c r="L52" s="1794" t="s">
        <v>402</v>
      </c>
      <c r="M52" s="1795">
        <f>IFERROR(LOOKUP(2,1/(Исх!$AM$30:$AM$41=Заказ!$L52),Исх!$F$30:$F$41),)</f>
        <v>0</v>
      </c>
      <c r="N52" s="1796">
        <f>SUMPRODUCT((Исх!$AL$30:$AL$41=Заказ!$A52)*(Исх!$AN$30:$AN$41=Заказ!$C52)*Исх!$S$30:$S$41)</f>
        <v>0</v>
      </c>
      <c r="O52" s="1797"/>
      <c r="P52" s="1797"/>
      <c r="Q52" s="1796"/>
    </row>
    <row r="53" spans="1:17" s="12" customFormat="1" ht="21.75" customHeight="1" thickBot="1" x14ac:dyDescent="0.25">
      <c r="A53" s="606">
        <v>1</v>
      </c>
      <c r="B53" s="1243"/>
      <c r="C53" s="2285"/>
      <c r="D53" s="2286"/>
      <c r="E53" s="1244"/>
      <c r="F53" s="1245"/>
      <c r="G53" s="2287" t="str">
        <f>LOOKUP(5,Исх!$B$14:$B$26,Исх!$K$14:$K$26)</f>
        <v xml:space="preserve">  </v>
      </c>
      <c r="H53" s="2288"/>
      <c r="I53" s="1245" t="str">
        <f>LOOKUP(5,Исх!$B$14:$B$26,Исх!$L$14:$L$26)</f>
        <v xml:space="preserve">  </v>
      </c>
      <c r="J53" s="1246"/>
      <c r="K53" s="1247"/>
      <c r="L53" s="961">
        <f>IF(C53="Доминант",1,0)+IF(C53="Комори",2,0)+IF(C53="Ryobi",3,0)+IF(C53="ПС",4,0)+IF(C53="ПТ",5,0)+IF(C53="Ромайор",6,0)+IF(C53="Трафарет",7,0)+IF(C53="Старлайн",8,0)+IF(C53="ПОГ",9,0)+IF(C53="Циркон",10,0)+IF(C53="РО",11,0)+IF(C53="МАРК",12,0)</f>
        <v>0</v>
      </c>
      <c r="N53" s="637"/>
      <c r="O53" s="637"/>
      <c r="P53" s="637"/>
    </row>
    <row r="54" spans="1:17" s="12" customFormat="1" ht="11.25" customHeight="1" thickBot="1" x14ac:dyDescent="0.25">
      <c r="A54" s="606">
        <v>1</v>
      </c>
      <c r="B54" s="2327"/>
      <c r="C54" s="2328"/>
      <c r="D54" s="2328"/>
      <c r="E54" s="2328"/>
      <c r="F54" s="2328"/>
      <c r="G54" s="2328"/>
      <c r="H54" s="2328"/>
      <c r="I54" s="2328"/>
      <c r="J54" s="2328"/>
      <c r="K54" s="2329"/>
      <c r="L54" s="637"/>
      <c r="N54" s="637"/>
      <c r="O54" s="637"/>
      <c r="P54" s="637"/>
    </row>
    <row r="55" spans="1:17" s="12" customFormat="1" ht="27.75" customHeight="1" thickBot="1" x14ac:dyDescent="0.25">
      <c r="A55" s="606">
        <v>1</v>
      </c>
      <c r="B55" s="670" t="s">
        <v>591</v>
      </c>
      <c r="C55" s="671"/>
      <c r="D55" s="672" t="s">
        <v>592</v>
      </c>
      <c r="E55" s="673" t="str">
        <f>K5</f>
        <v>1:22:00</v>
      </c>
      <c r="F55" s="671"/>
      <c r="G55" s="671"/>
      <c r="H55" s="671"/>
      <c r="I55" s="671"/>
      <c r="J55" s="671"/>
      <c r="K55" s="674"/>
      <c r="L55" s="637"/>
      <c r="N55" s="637"/>
      <c r="O55" s="637"/>
      <c r="P55" s="637"/>
    </row>
    <row r="56" spans="1:17" s="12" customFormat="1" ht="21.75" customHeight="1" x14ac:dyDescent="0.2">
      <c r="A56" s="606">
        <v>1</v>
      </c>
      <c r="B56" s="681" t="s">
        <v>407</v>
      </c>
      <c r="C56" s="2317"/>
      <c r="D56" s="2318"/>
      <c r="E56" s="690" t="s">
        <v>412</v>
      </c>
      <c r="F56" s="593"/>
      <c r="G56" s="2266"/>
      <c r="H56" s="2267"/>
      <c r="I56" s="691" t="s">
        <v>593</v>
      </c>
      <c r="J56" s="692"/>
      <c r="K56" s="721">
        <f>Трудозатраты!H440</f>
        <v>0</v>
      </c>
      <c r="L56" s="637"/>
      <c r="N56" s="637"/>
      <c r="O56" s="637"/>
      <c r="P56" s="637"/>
    </row>
    <row r="57" spans="1:17" s="12" customFormat="1" ht="21.75" customHeight="1" x14ac:dyDescent="0.2">
      <c r="A57" s="606">
        <v>1</v>
      </c>
      <c r="B57" s="693" t="s">
        <v>408</v>
      </c>
      <c r="C57" s="694"/>
      <c r="D57" s="592"/>
      <c r="E57" s="695" t="s">
        <v>179</v>
      </c>
      <c r="F57" s="594"/>
      <c r="G57" s="2262"/>
      <c r="H57" s="2263"/>
      <c r="I57" s="696" t="s">
        <v>1050</v>
      </c>
      <c r="J57" s="694"/>
      <c r="K57" s="722"/>
      <c r="L57" s="637"/>
      <c r="N57" s="637"/>
      <c r="O57" s="637"/>
      <c r="P57" s="637"/>
    </row>
    <row r="58" spans="1:17" s="12" customFormat="1" ht="21.75" customHeight="1" x14ac:dyDescent="0.2">
      <c r="A58" s="606">
        <v>1</v>
      </c>
      <c r="B58" s="693" t="s">
        <v>409</v>
      </c>
      <c r="C58" s="694"/>
      <c r="D58" s="592"/>
      <c r="E58" s="696" t="s">
        <v>413</v>
      </c>
      <c r="F58" s="594"/>
      <c r="G58" s="2262"/>
      <c r="H58" s="2263"/>
      <c r="I58" s="697" t="s">
        <v>500</v>
      </c>
      <c r="J58" s="698" t="s">
        <v>69</v>
      </c>
      <c r="K58" s="781">
        <v>200</v>
      </c>
      <c r="L58" s="637"/>
      <c r="N58" s="637"/>
      <c r="O58" s="637"/>
      <c r="P58" s="637"/>
    </row>
    <row r="59" spans="1:17" s="12" customFormat="1" ht="27.75" customHeight="1" x14ac:dyDescent="0.2">
      <c r="A59" s="606">
        <v>1</v>
      </c>
      <c r="B59" s="693" t="s">
        <v>410</v>
      </c>
      <c r="C59" s="694"/>
      <c r="D59" s="1213"/>
      <c r="E59" s="696" t="s">
        <v>414</v>
      </c>
      <c r="F59" s="594"/>
      <c r="G59" s="2262"/>
      <c r="H59" s="2263"/>
      <c r="I59" s="2274" t="s">
        <v>594</v>
      </c>
      <c r="J59" s="2275"/>
      <c r="K59" s="595">
        <f>ROUNDUP(C11/K58,0)</f>
        <v>125</v>
      </c>
      <c r="L59" s="637"/>
      <c r="N59" s="637"/>
      <c r="O59" s="637"/>
      <c r="P59" s="637"/>
    </row>
    <row r="60" spans="1:17" s="12" customFormat="1" ht="25.5" customHeight="1" x14ac:dyDescent="0.2">
      <c r="A60" s="606">
        <v>1</v>
      </c>
      <c r="B60" s="693" t="s">
        <v>411</v>
      </c>
      <c r="C60" s="694"/>
      <c r="D60" s="592"/>
      <c r="E60" s="696" t="s">
        <v>177</v>
      </c>
      <c r="F60" s="594"/>
      <c r="G60" s="2262"/>
      <c r="H60" s="2263"/>
      <c r="I60" s="699"/>
      <c r="J60" s="699"/>
      <c r="K60" s="596"/>
      <c r="L60" s="637"/>
      <c r="N60" s="637"/>
      <c r="O60" s="637"/>
      <c r="P60" s="637"/>
    </row>
    <row r="61" spans="1:17" s="12" customFormat="1" ht="26.25" customHeight="1" x14ac:dyDescent="0.2">
      <c r="A61" s="606">
        <v>1</v>
      </c>
      <c r="B61" s="693" t="s">
        <v>434</v>
      </c>
      <c r="C61" s="694"/>
      <c r="D61" s="592"/>
      <c r="E61" s="696" t="s">
        <v>176</v>
      </c>
      <c r="F61" s="694"/>
      <c r="G61" s="2264"/>
      <c r="H61" s="2265"/>
      <c r="I61" s="699"/>
      <c r="J61" s="699"/>
      <c r="K61" s="596"/>
      <c r="L61" s="637"/>
      <c r="N61" s="637"/>
      <c r="O61" s="637"/>
      <c r="P61" s="637"/>
    </row>
    <row r="62" spans="1:17" s="12" customFormat="1" ht="26.25" customHeight="1" x14ac:dyDescent="0.2">
      <c r="A62" s="606">
        <v>1</v>
      </c>
      <c r="B62" s="687"/>
      <c r="C62" s="685"/>
      <c r="D62" s="592"/>
      <c r="E62" s="695"/>
      <c r="F62" s="594"/>
      <c r="G62" s="2262"/>
      <c r="H62" s="2263"/>
      <c r="I62" s="700"/>
      <c r="J62" s="694"/>
      <c r="K62" s="596"/>
      <c r="L62" s="637"/>
      <c r="N62" s="637"/>
      <c r="O62" s="637"/>
      <c r="P62" s="637"/>
    </row>
    <row r="63" spans="1:17" s="12" customFormat="1" ht="26.25" customHeight="1" x14ac:dyDescent="0.2">
      <c r="A63" s="606">
        <v>1</v>
      </c>
      <c r="B63" s="693"/>
      <c r="C63" s="694"/>
      <c r="D63" s="592"/>
      <c r="E63" s="695"/>
      <c r="F63" s="594"/>
      <c r="G63" s="2262"/>
      <c r="H63" s="2263"/>
      <c r="I63" s="2274" t="s">
        <v>595</v>
      </c>
      <c r="J63" s="2275"/>
      <c r="K63" s="597"/>
      <c r="L63" s="637"/>
      <c r="N63" s="637"/>
      <c r="O63" s="637"/>
      <c r="P63" s="637"/>
    </row>
    <row r="64" spans="1:17" s="12" customFormat="1" ht="21" customHeight="1" thickBot="1" x14ac:dyDescent="0.25">
      <c r="A64" s="606">
        <v>1</v>
      </c>
      <c r="B64" s="701" t="s">
        <v>596</v>
      </c>
      <c r="C64" s="2277"/>
      <c r="D64" s="2278"/>
      <c r="E64" s="2278"/>
      <c r="F64" s="2278"/>
      <c r="G64" s="2278"/>
      <c r="H64" s="2279"/>
      <c r="I64" s="2313" t="s">
        <v>597</v>
      </c>
      <c r="J64" s="2314"/>
      <c r="K64" s="598"/>
      <c r="L64" s="637"/>
      <c r="N64" s="637"/>
      <c r="O64" s="637"/>
      <c r="P64" s="637"/>
    </row>
    <row r="65" spans="1:16" s="12" customFormat="1" ht="18.75" x14ac:dyDescent="0.2">
      <c r="A65" s="606"/>
      <c r="B65" s="636"/>
      <c r="C65" s="636"/>
      <c r="D65" s="636"/>
      <c r="E65" s="702"/>
      <c r="F65" s="637"/>
      <c r="G65" s="703"/>
      <c r="H65" s="703"/>
      <c r="I65" s="704"/>
      <c r="J65" s="705"/>
      <c r="K65" s="706"/>
      <c r="L65" s="637"/>
      <c r="N65" s="637"/>
      <c r="O65" s="637"/>
      <c r="P65" s="637"/>
    </row>
    <row r="66" spans="1:16" s="12" customFormat="1" ht="18" x14ac:dyDescent="0.2">
      <c r="A66" s="606"/>
      <c r="B66" s="636"/>
      <c r="C66" s="636"/>
      <c r="D66" s="636"/>
      <c r="E66" s="634"/>
      <c r="F66" s="707"/>
      <c r="G66" s="706"/>
      <c r="H66" s="706"/>
      <c r="I66" s="704"/>
      <c r="J66" s="705"/>
      <c r="K66" s="652"/>
      <c r="L66" s="637"/>
      <c r="N66" s="637"/>
      <c r="O66" s="637"/>
      <c r="P66" s="637"/>
    </row>
    <row r="67" spans="1:16" s="12" customFormat="1" ht="18" x14ac:dyDescent="0.2">
      <c r="A67" s="606"/>
      <c r="B67" s="636"/>
      <c r="C67" s="636"/>
      <c r="D67" s="636"/>
      <c r="E67" s="634"/>
      <c r="F67" s="707"/>
      <c r="G67" s="708"/>
      <c r="H67" s="709"/>
      <c r="I67" s="637"/>
      <c r="J67" s="652"/>
      <c r="K67" s="652"/>
      <c r="L67" s="637"/>
      <c r="N67" s="637"/>
      <c r="O67" s="637"/>
      <c r="P67" s="637"/>
    </row>
    <row r="68" spans="1:16" s="12" customFormat="1" ht="18" x14ac:dyDescent="0.2">
      <c r="A68" s="606"/>
      <c r="B68" s="636"/>
      <c r="C68" s="636"/>
      <c r="D68" s="636"/>
      <c r="E68" s="634"/>
      <c r="F68" s="709"/>
      <c r="G68" s="708"/>
      <c r="H68" s="709"/>
      <c r="I68" s="637"/>
      <c r="J68" s="652"/>
      <c r="K68" s="652"/>
      <c r="L68" s="637"/>
      <c r="N68" s="637"/>
      <c r="O68" s="637"/>
      <c r="P68" s="637"/>
    </row>
    <row r="69" spans="1:16" s="12" customFormat="1" ht="18" x14ac:dyDescent="0.2">
      <c r="A69" s="606"/>
      <c r="B69" s="636"/>
      <c r="C69" s="636"/>
      <c r="D69" s="636"/>
      <c r="E69" s="634"/>
      <c r="F69" s="709"/>
      <c r="G69" s="708"/>
      <c r="H69" s="709"/>
      <c r="I69" s="637"/>
      <c r="J69" s="652"/>
      <c r="K69" s="652"/>
      <c r="L69" s="637"/>
      <c r="N69" s="637"/>
      <c r="O69" s="637"/>
      <c r="P69" s="637"/>
    </row>
    <row r="70" spans="1:16" s="12" customFormat="1" ht="18" x14ac:dyDescent="0.2">
      <c r="A70" s="606"/>
      <c r="B70" s="636"/>
      <c r="C70" s="636"/>
      <c r="D70" s="636"/>
      <c r="E70" s="634"/>
      <c r="F70" s="637"/>
      <c r="G70" s="709"/>
      <c r="H70" s="709"/>
      <c r="I70" s="637"/>
      <c r="J70" s="652"/>
      <c r="K70" s="652"/>
      <c r="L70" s="637"/>
      <c r="N70" s="637"/>
      <c r="O70" s="637"/>
      <c r="P70" s="637"/>
    </row>
    <row r="71" spans="1:16" s="12" customFormat="1" ht="18" x14ac:dyDescent="0.2">
      <c r="A71" s="606"/>
      <c r="B71" s="636"/>
      <c r="C71" s="636"/>
      <c r="D71" s="636"/>
      <c r="E71" s="634"/>
      <c r="F71" s="637"/>
      <c r="G71" s="637"/>
      <c r="H71" s="637"/>
      <c r="I71" s="638"/>
      <c r="J71" s="638"/>
      <c r="K71" s="638"/>
      <c r="L71" s="637"/>
      <c r="N71" s="637"/>
      <c r="O71" s="637"/>
      <c r="P71" s="637"/>
    </row>
    <row r="72" spans="1:16" s="12" customFormat="1" ht="18" x14ac:dyDescent="0.2">
      <c r="A72" s="606"/>
      <c r="B72" s="636"/>
      <c r="C72" s="710"/>
      <c r="D72" s="636"/>
      <c r="E72" s="634"/>
      <c r="F72" s="637"/>
      <c r="G72" s="637"/>
      <c r="H72" s="637"/>
      <c r="I72" s="637"/>
      <c r="J72" s="652"/>
      <c r="K72" s="652"/>
      <c r="L72" s="637"/>
      <c r="N72" s="637"/>
      <c r="O72" s="637"/>
      <c r="P72" s="637"/>
    </row>
    <row r="73" spans="1:16" s="12" customFormat="1" ht="18" x14ac:dyDescent="0.2">
      <c r="A73" s="606"/>
      <c r="B73" s="636"/>
      <c r="C73" s="636"/>
      <c r="D73" s="636"/>
      <c r="E73" s="634"/>
      <c r="F73" s="637"/>
      <c r="G73" s="637"/>
      <c r="H73" s="637"/>
      <c r="I73" s="637"/>
      <c r="J73" s="652"/>
      <c r="K73" s="652"/>
      <c r="L73" s="637"/>
      <c r="N73" s="637"/>
      <c r="O73" s="637"/>
      <c r="P73" s="637"/>
    </row>
    <row r="74" spans="1:16" s="12" customFormat="1" ht="18" x14ac:dyDescent="0.2">
      <c r="A74" s="606"/>
      <c r="B74" s="711"/>
      <c r="C74" s="712"/>
      <c r="D74" s="711"/>
      <c r="E74" s="713"/>
      <c r="F74" s="714"/>
      <c r="G74" s="637"/>
      <c r="H74" s="637"/>
      <c r="I74" s="637"/>
      <c r="J74" s="652"/>
      <c r="K74" s="652"/>
      <c r="L74" s="637"/>
      <c r="N74" s="637"/>
      <c r="O74" s="637"/>
      <c r="P74" s="637"/>
    </row>
    <row r="75" spans="1:16" s="12" customFormat="1" ht="18" x14ac:dyDescent="0.2">
      <c r="A75" s="606"/>
      <c r="B75" s="711"/>
      <c r="C75" s="712"/>
      <c r="D75" s="711"/>
      <c r="E75" s="713"/>
      <c r="F75" s="714"/>
      <c r="G75" s="714"/>
      <c r="H75" s="637"/>
      <c r="I75" s="637"/>
      <c r="J75" s="652"/>
      <c r="K75" s="652"/>
      <c r="L75" s="637"/>
      <c r="N75" s="637"/>
      <c r="O75" s="637"/>
      <c r="P75" s="637"/>
    </row>
    <row r="76" spans="1:16" s="12" customFormat="1" ht="18" x14ac:dyDescent="0.2">
      <c r="A76" s="606"/>
      <c r="B76" s="636"/>
      <c r="C76" s="636"/>
      <c r="D76" s="636"/>
      <c r="E76" s="634"/>
      <c r="F76" s="637"/>
      <c r="G76" s="714"/>
      <c r="H76" s="637"/>
      <c r="I76" s="637"/>
      <c r="J76" s="652"/>
      <c r="K76" s="652"/>
      <c r="L76" s="637"/>
      <c r="N76" s="637"/>
      <c r="O76" s="637"/>
      <c r="P76" s="637"/>
    </row>
    <row r="77" spans="1:16" s="12" customFormat="1" ht="18" x14ac:dyDescent="0.2">
      <c r="A77" s="606"/>
      <c r="B77" s="636"/>
      <c r="C77" s="636"/>
      <c r="D77" s="636"/>
      <c r="E77" s="634"/>
      <c r="F77" s="637"/>
      <c r="G77" s="637"/>
      <c r="H77" s="637"/>
      <c r="I77" s="637"/>
      <c r="J77" s="652"/>
      <c r="K77" s="652"/>
      <c r="L77" s="637"/>
      <c r="N77" s="637"/>
      <c r="O77" s="637"/>
      <c r="P77" s="637"/>
    </row>
    <row r="78" spans="1:16" s="12" customFormat="1" ht="18" x14ac:dyDescent="0.2">
      <c r="A78" s="606"/>
      <c r="B78" s="636"/>
      <c r="C78" s="636"/>
      <c r="D78" s="636"/>
      <c r="E78" s="634"/>
      <c r="F78" s="637"/>
      <c r="G78" s="637"/>
      <c r="H78" s="637"/>
      <c r="I78" s="637"/>
      <c r="J78" s="652"/>
      <c r="K78" s="652"/>
      <c r="L78" s="637"/>
      <c r="N78" s="637"/>
      <c r="O78" s="637"/>
      <c r="P78" s="637"/>
    </row>
    <row r="79" spans="1:16" s="12" customFormat="1" ht="18" x14ac:dyDescent="0.2">
      <c r="A79" s="606"/>
      <c r="B79" s="636"/>
      <c r="C79" s="636"/>
      <c r="D79" s="636"/>
      <c r="E79" s="634"/>
      <c r="F79" s="637"/>
      <c r="G79" s="637"/>
      <c r="H79" s="637"/>
      <c r="I79" s="637"/>
      <c r="J79" s="652"/>
      <c r="K79" s="652"/>
      <c r="L79" s="637"/>
      <c r="N79" s="637"/>
      <c r="O79" s="637"/>
      <c r="P79" s="637"/>
    </row>
    <row r="80" spans="1:16" s="12" customFormat="1" ht="18" x14ac:dyDescent="0.2">
      <c r="A80" s="606"/>
      <c r="B80" s="636"/>
      <c r="C80" s="636"/>
      <c r="D80" s="636"/>
      <c r="E80" s="634"/>
      <c r="F80" s="637"/>
      <c r="G80" s="637"/>
      <c r="H80" s="637"/>
      <c r="I80" s="637"/>
      <c r="J80" s="652"/>
      <c r="K80" s="652"/>
      <c r="L80" s="637"/>
      <c r="N80" s="637"/>
      <c r="O80" s="637"/>
      <c r="P80" s="637"/>
    </row>
    <row r="81" spans="1:16" s="12" customFormat="1" ht="18" x14ac:dyDescent="0.2">
      <c r="A81" s="606"/>
      <c r="B81" s="636"/>
      <c r="C81" s="636"/>
      <c r="D81" s="636"/>
      <c r="E81" s="634"/>
      <c r="F81" s="637"/>
      <c r="G81" s="637"/>
      <c r="H81" s="637"/>
      <c r="I81" s="637"/>
      <c r="J81" s="652"/>
      <c r="K81" s="652"/>
      <c r="L81" s="637"/>
      <c r="N81" s="637"/>
      <c r="O81" s="637"/>
      <c r="P81" s="637"/>
    </row>
    <row r="82" spans="1:16" s="12" customFormat="1" ht="18" x14ac:dyDescent="0.2">
      <c r="A82" s="606"/>
      <c r="B82" s="636"/>
      <c r="C82" s="636"/>
      <c r="D82" s="636"/>
      <c r="E82" s="634"/>
      <c r="F82" s="637"/>
      <c r="G82" s="637"/>
      <c r="H82" s="637"/>
      <c r="I82" s="637"/>
      <c r="J82" s="652"/>
      <c r="K82" s="652"/>
      <c r="L82" s="637"/>
      <c r="N82" s="637"/>
      <c r="O82" s="637"/>
      <c r="P82" s="637"/>
    </row>
    <row r="83" spans="1:16" s="12" customFormat="1" ht="18" x14ac:dyDescent="0.2">
      <c r="A83" s="606"/>
      <c r="B83" s="636"/>
      <c r="C83" s="636"/>
      <c r="D83" s="636"/>
      <c r="E83" s="634"/>
      <c r="F83" s="637"/>
      <c r="G83" s="637"/>
      <c r="H83" s="637"/>
      <c r="I83" s="637"/>
      <c r="J83" s="652"/>
      <c r="K83" s="652"/>
      <c r="L83" s="637"/>
      <c r="N83" s="637"/>
      <c r="O83" s="637"/>
      <c r="P83" s="637"/>
    </row>
    <row r="84" spans="1:16" s="12" customFormat="1" ht="18" x14ac:dyDescent="0.2">
      <c r="A84" s="606"/>
      <c r="B84" s="636"/>
      <c r="C84" s="636"/>
      <c r="D84" s="636"/>
      <c r="E84" s="634"/>
      <c r="F84" s="637"/>
      <c r="G84" s="637"/>
      <c r="H84" s="637"/>
      <c r="I84" s="637"/>
      <c r="J84" s="652"/>
      <c r="K84" s="652"/>
      <c r="L84" s="637"/>
      <c r="N84" s="637"/>
      <c r="O84" s="637"/>
      <c r="P84" s="637"/>
    </row>
    <row r="85" spans="1:16" s="12" customFormat="1" ht="18" x14ac:dyDescent="0.2">
      <c r="A85" s="606"/>
      <c r="B85" s="636"/>
      <c r="C85" s="636"/>
      <c r="D85" s="636"/>
      <c r="E85" s="634"/>
      <c r="F85" s="637"/>
      <c r="G85" s="637"/>
      <c r="H85" s="637"/>
      <c r="I85" s="637"/>
      <c r="J85" s="652"/>
      <c r="K85" s="652"/>
      <c r="L85" s="637"/>
      <c r="N85" s="637"/>
      <c r="O85" s="637"/>
      <c r="P85" s="637"/>
    </row>
    <row r="86" spans="1:16" s="12" customFormat="1" ht="18" x14ac:dyDescent="0.2">
      <c r="A86" s="606"/>
      <c r="B86" s="636"/>
      <c r="C86" s="636"/>
      <c r="D86" s="636"/>
      <c r="E86" s="634"/>
      <c r="F86" s="637"/>
      <c r="G86" s="637"/>
      <c r="H86" s="637"/>
      <c r="I86" s="637"/>
      <c r="J86" s="652"/>
      <c r="K86" s="652"/>
      <c r="L86" s="637"/>
      <c r="N86" s="637"/>
      <c r="O86" s="637"/>
      <c r="P86" s="637"/>
    </row>
    <row r="87" spans="1:16" s="12" customFormat="1" ht="18" x14ac:dyDescent="0.2">
      <c r="A87" s="606"/>
      <c r="B87" s="636"/>
      <c r="C87" s="636"/>
      <c r="D87" s="636"/>
      <c r="E87" s="634"/>
      <c r="F87" s="637"/>
      <c r="G87" s="637"/>
      <c r="H87" s="637"/>
      <c r="I87" s="637"/>
      <c r="J87" s="652"/>
      <c r="K87" s="652"/>
      <c r="L87" s="637"/>
      <c r="N87" s="637"/>
      <c r="O87" s="637"/>
      <c r="P87" s="637"/>
    </row>
    <row r="88" spans="1:16" s="12" customFormat="1" ht="18" x14ac:dyDescent="0.2">
      <c r="A88" s="606"/>
      <c r="B88" s="636"/>
      <c r="C88" s="636"/>
      <c r="D88" s="636"/>
      <c r="E88" s="634"/>
      <c r="F88" s="637"/>
      <c r="G88" s="637"/>
      <c r="H88" s="637"/>
      <c r="I88" s="637"/>
      <c r="J88" s="652"/>
      <c r="K88" s="652"/>
      <c r="L88" s="637"/>
      <c r="N88" s="637"/>
      <c r="O88" s="637"/>
      <c r="P88" s="637"/>
    </row>
    <row r="89" spans="1:16" s="12" customFormat="1" ht="18" x14ac:dyDescent="0.2">
      <c r="A89" s="606"/>
      <c r="B89" s="636"/>
      <c r="C89" s="636"/>
      <c r="D89" s="636"/>
      <c r="E89" s="634"/>
      <c r="F89" s="637"/>
      <c r="G89" s="637"/>
      <c r="H89" s="637"/>
      <c r="I89" s="637"/>
      <c r="J89" s="652"/>
      <c r="K89" s="652"/>
      <c r="L89" s="637"/>
      <c r="N89" s="637"/>
      <c r="O89" s="637"/>
      <c r="P89" s="637"/>
    </row>
    <row r="90" spans="1:16" s="12" customFormat="1" ht="18" x14ac:dyDescent="0.2">
      <c r="A90" s="606"/>
      <c r="B90" s="636"/>
      <c r="C90" s="636"/>
      <c r="D90" s="636"/>
      <c r="E90" s="634"/>
      <c r="F90" s="637"/>
      <c r="G90" s="637"/>
      <c r="H90" s="637"/>
      <c r="I90" s="637"/>
      <c r="J90" s="652"/>
      <c r="K90" s="652"/>
      <c r="L90" s="637"/>
      <c r="N90" s="637"/>
      <c r="O90" s="637"/>
      <c r="P90" s="637"/>
    </row>
    <row r="91" spans="1:16" s="12" customFormat="1" ht="18" x14ac:dyDescent="0.2">
      <c r="A91" s="606"/>
      <c r="B91" s="636"/>
      <c r="C91" s="636"/>
      <c r="D91" s="636"/>
      <c r="E91" s="634"/>
      <c r="F91" s="637"/>
      <c r="G91" s="637"/>
      <c r="H91" s="637"/>
      <c r="I91" s="637"/>
      <c r="J91" s="652"/>
      <c r="K91" s="652"/>
      <c r="L91" s="637"/>
      <c r="N91" s="637"/>
      <c r="O91" s="637"/>
      <c r="P91" s="637"/>
    </row>
    <row r="92" spans="1:16" s="12" customFormat="1" ht="18" x14ac:dyDescent="0.2">
      <c r="A92" s="606"/>
      <c r="B92" s="636"/>
      <c r="C92" s="636"/>
      <c r="D92" s="636"/>
      <c r="E92" s="634"/>
      <c r="F92" s="637"/>
      <c r="G92" s="637"/>
      <c r="H92" s="637"/>
      <c r="I92" s="637"/>
      <c r="J92" s="652"/>
      <c r="K92" s="652"/>
      <c r="L92" s="637"/>
      <c r="N92" s="637"/>
      <c r="O92" s="637"/>
      <c r="P92" s="637"/>
    </row>
    <row r="93" spans="1:16" s="12" customFormat="1" ht="18" x14ac:dyDescent="0.2">
      <c r="A93" s="606"/>
      <c r="B93" s="636"/>
      <c r="C93" s="636"/>
      <c r="D93" s="636"/>
      <c r="E93" s="634"/>
      <c r="F93" s="637"/>
      <c r="G93" s="637"/>
      <c r="H93" s="637"/>
      <c r="I93" s="637"/>
      <c r="J93" s="652"/>
      <c r="K93" s="652"/>
      <c r="L93" s="637"/>
      <c r="N93" s="637"/>
      <c r="O93" s="637"/>
      <c r="P93" s="637"/>
    </row>
    <row r="94" spans="1:16" s="12" customFormat="1" ht="18" x14ac:dyDescent="0.2">
      <c r="A94" s="606"/>
      <c r="B94" s="636"/>
      <c r="C94" s="636"/>
      <c r="D94" s="636"/>
      <c r="E94" s="634"/>
      <c r="F94" s="637"/>
      <c r="G94" s="637"/>
      <c r="H94" s="637"/>
      <c r="I94" s="637"/>
      <c r="J94" s="652"/>
      <c r="K94" s="652"/>
      <c r="L94" s="637"/>
      <c r="N94" s="637"/>
      <c r="O94" s="637"/>
      <c r="P94" s="637"/>
    </row>
    <row r="95" spans="1:16" s="12" customFormat="1" ht="18" x14ac:dyDescent="0.2">
      <c r="A95" s="606"/>
      <c r="B95" s="636"/>
      <c r="C95" s="636"/>
      <c r="D95" s="636"/>
      <c r="E95" s="634"/>
      <c r="F95" s="637"/>
      <c r="G95" s="637"/>
      <c r="H95" s="637"/>
      <c r="I95" s="637"/>
      <c r="J95" s="652"/>
      <c r="K95" s="652"/>
      <c r="L95" s="637"/>
      <c r="N95" s="637"/>
      <c r="O95" s="637"/>
      <c r="P95" s="637"/>
    </row>
    <row r="96" spans="1:16" s="12" customFormat="1" ht="18" x14ac:dyDescent="0.2">
      <c r="A96" s="606"/>
      <c r="B96" s="636"/>
      <c r="C96" s="636"/>
      <c r="D96" s="636"/>
      <c r="E96" s="634"/>
      <c r="F96" s="637"/>
      <c r="G96" s="637"/>
      <c r="H96" s="637"/>
      <c r="I96" s="637"/>
      <c r="J96" s="652"/>
      <c r="K96" s="652"/>
      <c r="L96" s="637"/>
      <c r="N96" s="637"/>
      <c r="O96" s="637"/>
      <c r="P96" s="637"/>
    </row>
    <row r="97" spans="1:16" s="12" customFormat="1" ht="18" x14ac:dyDescent="0.2">
      <c r="A97" s="606"/>
      <c r="B97" s="636"/>
      <c r="C97" s="636"/>
      <c r="D97" s="636"/>
      <c r="E97" s="634"/>
      <c r="F97" s="637"/>
      <c r="G97" s="637"/>
      <c r="H97" s="637"/>
      <c r="I97" s="637"/>
      <c r="J97" s="652"/>
      <c r="K97" s="652"/>
      <c r="L97" s="637"/>
      <c r="N97" s="637"/>
      <c r="O97" s="637"/>
      <c r="P97" s="637"/>
    </row>
    <row r="98" spans="1:16" s="12" customFormat="1" ht="18" x14ac:dyDescent="0.2">
      <c r="A98" s="606"/>
      <c r="B98" s="636"/>
      <c r="C98" s="636"/>
      <c r="D98" s="636"/>
      <c r="E98" s="634"/>
      <c r="F98" s="637"/>
      <c r="G98" s="637"/>
      <c r="H98" s="637"/>
      <c r="I98" s="637"/>
      <c r="J98" s="652"/>
      <c r="K98" s="652"/>
      <c r="L98" s="637"/>
      <c r="N98" s="637"/>
      <c r="O98" s="637"/>
      <c r="P98" s="637"/>
    </row>
    <row r="99" spans="1:16" s="12" customFormat="1" ht="18" x14ac:dyDescent="0.2">
      <c r="A99" s="606"/>
      <c r="B99" s="636"/>
      <c r="C99" s="636"/>
      <c r="D99" s="636"/>
      <c r="E99" s="634"/>
      <c r="F99" s="637"/>
      <c r="G99" s="637"/>
      <c r="H99" s="637"/>
      <c r="I99" s="637"/>
      <c r="J99" s="652"/>
      <c r="K99" s="652"/>
      <c r="L99" s="637"/>
      <c r="N99" s="637"/>
      <c r="O99" s="637"/>
      <c r="P99" s="637"/>
    </row>
    <row r="100" spans="1:16" s="12" customFormat="1" ht="18" x14ac:dyDescent="0.2">
      <c r="A100" s="606"/>
      <c r="B100" s="666"/>
      <c r="C100" s="666"/>
      <c r="D100" s="666"/>
      <c r="E100" s="634"/>
      <c r="F100" s="637"/>
      <c r="G100" s="637"/>
      <c r="H100" s="637"/>
      <c r="I100" s="637"/>
      <c r="J100" s="652"/>
      <c r="K100" s="652"/>
      <c r="L100" s="637"/>
      <c r="N100" s="637"/>
      <c r="O100" s="637"/>
      <c r="P100" s="637"/>
    </row>
    <row r="101" spans="1:16" s="12" customFormat="1" ht="18" x14ac:dyDescent="0.2">
      <c r="A101" s="606"/>
      <c r="B101" s="666"/>
      <c r="C101" s="666"/>
      <c r="D101" s="666"/>
      <c r="E101" s="634"/>
      <c r="F101" s="637"/>
      <c r="G101" s="637"/>
      <c r="H101" s="637"/>
      <c r="I101" s="637"/>
      <c r="J101" s="652"/>
      <c r="K101" s="652"/>
      <c r="L101" s="637"/>
      <c r="N101" s="637"/>
      <c r="O101" s="637"/>
      <c r="P101" s="637"/>
    </row>
    <row r="102" spans="1:16" s="12" customFormat="1" ht="18" x14ac:dyDescent="0.2">
      <c r="A102" s="606"/>
      <c r="B102" s="666"/>
      <c r="C102" s="666"/>
      <c r="D102" s="666"/>
      <c r="E102" s="634"/>
      <c r="F102" s="637"/>
      <c r="G102" s="637"/>
      <c r="H102" s="637"/>
      <c r="I102" s="637"/>
      <c r="J102" s="652"/>
      <c r="K102" s="652"/>
      <c r="L102" s="637"/>
      <c r="N102" s="637"/>
      <c r="O102" s="637"/>
      <c r="P102" s="637"/>
    </row>
    <row r="103" spans="1:16" s="12" customFormat="1" ht="18" x14ac:dyDescent="0.2">
      <c r="A103" s="606"/>
      <c r="B103" s="666"/>
      <c r="C103" s="666"/>
      <c r="D103" s="666"/>
      <c r="E103" s="634"/>
      <c r="F103" s="637"/>
      <c r="G103" s="637"/>
      <c r="H103" s="637"/>
      <c r="I103" s="637"/>
      <c r="J103" s="652"/>
      <c r="K103" s="652"/>
      <c r="L103" s="637"/>
      <c r="N103" s="637"/>
      <c r="O103" s="637"/>
      <c r="P103" s="637"/>
    </row>
    <row r="104" spans="1:16" s="12" customFormat="1" ht="18" x14ac:dyDescent="0.2">
      <c r="A104" s="606"/>
      <c r="B104" s="666"/>
      <c r="C104" s="666"/>
      <c r="D104" s="666"/>
      <c r="E104" s="634"/>
      <c r="F104" s="637"/>
      <c r="G104" s="637"/>
      <c r="H104" s="637"/>
      <c r="I104" s="637"/>
      <c r="J104" s="652"/>
      <c r="K104" s="652"/>
      <c r="L104" s="637"/>
      <c r="N104" s="637"/>
      <c r="O104" s="637"/>
      <c r="P104" s="637"/>
    </row>
    <row r="105" spans="1:16" s="12" customFormat="1" ht="18" x14ac:dyDescent="0.2">
      <c r="A105" s="606"/>
      <c r="B105" s="666"/>
      <c r="C105" s="666"/>
      <c r="D105" s="666"/>
      <c r="E105" s="634"/>
      <c r="F105" s="637"/>
      <c r="G105" s="637"/>
      <c r="H105" s="637"/>
      <c r="I105" s="637"/>
      <c r="J105" s="652"/>
      <c r="K105" s="652"/>
      <c r="L105" s="637"/>
      <c r="N105" s="637"/>
      <c r="O105" s="637"/>
      <c r="P105" s="637"/>
    </row>
    <row r="106" spans="1:16" s="12" customFormat="1" ht="18" x14ac:dyDescent="0.2">
      <c r="A106" s="606"/>
      <c r="B106" s="666"/>
      <c r="C106" s="666"/>
      <c r="D106" s="666"/>
      <c r="E106" s="634"/>
      <c r="F106" s="637"/>
      <c r="G106" s="637"/>
      <c r="H106" s="637"/>
      <c r="I106" s="637"/>
      <c r="J106" s="652"/>
      <c r="K106" s="652"/>
      <c r="L106" s="637"/>
      <c r="N106" s="637"/>
      <c r="O106" s="637"/>
      <c r="P106" s="637"/>
    </row>
    <row r="107" spans="1:16" s="12" customFormat="1" ht="18" x14ac:dyDescent="0.2">
      <c r="A107" s="606"/>
      <c r="B107" s="666"/>
      <c r="C107" s="666"/>
      <c r="D107" s="666"/>
      <c r="E107" s="634"/>
      <c r="F107" s="637"/>
      <c r="G107" s="637"/>
      <c r="H107" s="637"/>
      <c r="I107" s="637"/>
      <c r="J107" s="652"/>
      <c r="K107" s="652"/>
      <c r="L107" s="637"/>
      <c r="N107" s="637"/>
      <c r="O107" s="637"/>
      <c r="P107" s="637"/>
    </row>
    <row r="108" spans="1:16" s="12" customFormat="1" ht="18" x14ac:dyDescent="0.2">
      <c r="A108" s="606"/>
      <c r="B108" s="666"/>
      <c r="C108" s="666"/>
      <c r="D108" s="666"/>
      <c r="E108" s="634"/>
      <c r="F108" s="637"/>
      <c r="G108" s="637"/>
      <c r="H108" s="637"/>
      <c r="I108" s="637"/>
      <c r="J108" s="652"/>
      <c r="K108" s="652"/>
      <c r="L108" s="637"/>
      <c r="N108" s="637"/>
      <c r="O108" s="637"/>
      <c r="P108" s="637"/>
    </row>
    <row r="109" spans="1:16" s="12" customFormat="1" ht="18" x14ac:dyDescent="0.2">
      <c r="A109" s="606"/>
      <c r="B109" s="666"/>
      <c r="C109" s="666"/>
      <c r="D109" s="666"/>
      <c r="E109" s="634"/>
      <c r="F109" s="637"/>
      <c r="G109" s="637"/>
      <c r="H109" s="637"/>
      <c r="I109" s="637"/>
      <c r="J109" s="652"/>
      <c r="K109" s="652"/>
      <c r="L109" s="637"/>
      <c r="N109" s="637"/>
      <c r="O109" s="637"/>
      <c r="P109" s="637"/>
    </row>
    <row r="110" spans="1:16" s="12" customFormat="1" ht="18" x14ac:dyDescent="0.2">
      <c r="A110" s="606"/>
      <c r="B110" s="666"/>
      <c r="C110" s="666"/>
      <c r="D110" s="666"/>
      <c r="E110" s="634"/>
      <c r="F110" s="637"/>
      <c r="G110" s="637"/>
      <c r="H110" s="637"/>
      <c r="I110" s="637"/>
      <c r="J110" s="652"/>
      <c r="K110" s="652"/>
      <c r="L110" s="637"/>
      <c r="N110" s="637"/>
      <c r="O110" s="637"/>
      <c r="P110" s="637"/>
    </row>
    <row r="111" spans="1:16" s="12" customFormat="1" ht="18" x14ac:dyDescent="0.2">
      <c r="A111" s="606"/>
      <c r="B111" s="666"/>
      <c r="C111" s="666"/>
      <c r="D111" s="666"/>
      <c r="E111" s="634"/>
      <c r="F111" s="637"/>
      <c r="G111" s="637"/>
      <c r="H111" s="637"/>
      <c r="I111" s="637"/>
      <c r="J111" s="652"/>
      <c r="K111" s="652"/>
      <c r="L111" s="637"/>
      <c r="N111" s="637"/>
      <c r="O111" s="637"/>
      <c r="P111" s="637"/>
    </row>
    <row r="112" spans="1:16" s="12" customFormat="1" ht="18" x14ac:dyDescent="0.2">
      <c r="A112" s="606"/>
      <c r="B112" s="666"/>
      <c r="C112" s="666"/>
      <c r="D112" s="666"/>
      <c r="E112" s="634"/>
      <c r="F112" s="637"/>
      <c r="G112" s="637"/>
      <c r="H112" s="637"/>
      <c r="I112" s="637"/>
      <c r="J112" s="652"/>
      <c r="K112" s="652"/>
      <c r="L112" s="637"/>
      <c r="N112" s="637"/>
      <c r="O112" s="637"/>
      <c r="P112" s="637"/>
    </row>
    <row r="113" spans="1:16" s="12" customFormat="1" ht="18" x14ac:dyDescent="0.2">
      <c r="A113" s="606"/>
      <c r="B113" s="666"/>
      <c r="C113" s="666"/>
      <c r="D113" s="666"/>
      <c r="E113" s="634"/>
      <c r="F113" s="637"/>
      <c r="G113" s="637"/>
      <c r="H113" s="637"/>
      <c r="I113" s="637"/>
      <c r="J113" s="652"/>
      <c r="K113" s="652"/>
      <c r="L113" s="637"/>
      <c r="N113" s="637"/>
      <c r="O113" s="637"/>
      <c r="P113" s="637"/>
    </row>
    <row r="114" spans="1:16" s="12" customFormat="1" ht="18" x14ac:dyDescent="0.2">
      <c r="A114" s="606"/>
      <c r="B114" s="666"/>
      <c r="C114" s="666"/>
      <c r="D114" s="666"/>
      <c r="E114" s="634"/>
      <c r="F114" s="637"/>
      <c r="G114" s="637"/>
      <c r="H114" s="637"/>
      <c r="I114" s="637"/>
      <c r="J114" s="652"/>
      <c r="K114" s="652"/>
      <c r="L114" s="637"/>
      <c r="N114" s="637"/>
      <c r="O114" s="637"/>
      <c r="P114" s="637"/>
    </row>
    <row r="115" spans="1:16" s="12" customFormat="1" ht="18" x14ac:dyDescent="0.2">
      <c r="A115" s="606"/>
      <c r="B115" s="666"/>
      <c r="C115" s="666"/>
      <c r="D115" s="666"/>
      <c r="E115" s="634"/>
      <c r="F115" s="637"/>
      <c r="G115" s="637"/>
      <c r="H115" s="637"/>
      <c r="I115" s="637"/>
      <c r="J115" s="652"/>
      <c r="K115" s="652"/>
      <c r="L115" s="637"/>
      <c r="N115" s="637"/>
      <c r="O115" s="637"/>
      <c r="P115" s="637"/>
    </row>
    <row r="116" spans="1:16" s="12" customFormat="1" ht="18" x14ac:dyDescent="0.2">
      <c r="A116" s="606"/>
      <c r="B116" s="666"/>
      <c r="C116" s="666"/>
      <c r="D116" s="666"/>
      <c r="E116" s="634"/>
      <c r="F116" s="637"/>
      <c r="G116" s="637"/>
      <c r="H116" s="637"/>
      <c r="I116" s="637"/>
      <c r="J116" s="652"/>
      <c r="K116" s="652"/>
      <c r="L116" s="637"/>
      <c r="N116" s="637"/>
      <c r="O116" s="637"/>
      <c r="P116" s="637"/>
    </row>
    <row r="117" spans="1:16" s="12" customFormat="1" ht="18" x14ac:dyDescent="0.2">
      <c r="A117" s="606"/>
      <c r="B117" s="666"/>
      <c r="C117" s="666"/>
      <c r="D117" s="666"/>
      <c r="E117" s="634"/>
      <c r="F117" s="637"/>
      <c r="G117" s="637"/>
      <c r="H117" s="637"/>
      <c r="I117" s="637"/>
      <c r="J117" s="652"/>
      <c r="K117" s="652"/>
      <c r="L117" s="637"/>
      <c r="N117" s="637"/>
      <c r="O117" s="637"/>
      <c r="P117" s="637"/>
    </row>
    <row r="118" spans="1:16" s="12" customFormat="1" ht="18" x14ac:dyDescent="0.2">
      <c r="A118" s="606"/>
      <c r="B118" s="666"/>
      <c r="C118" s="666"/>
      <c r="D118" s="666"/>
      <c r="E118" s="634"/>
      <c r="F118" s="637"/>
      <c r="G118" s="637"/>
      <c r="H118" s="637"/>
      <c r="I118" s="637"/>
      <c r="J118" s="652"/>
      <c r="K118" s="652"/>
      <c r="L118" s="637"/>
      <c r="N118" s="637"/>
      <c r="O118" s="637"/>
      <c r="P118" s="637"/>
    </row>
    <row r="119" spans="1:16" s="12" customFormat="1" ht="18" x14ac:dyDescent="0.2">
      <c r="A119" s="606"/>
      <c r="B119" s="666"/>
      <c r="C119" s="666"/>
      <c r="D119" s="666"/>
      <c r="E119" s="634"/>
      <c r="F119" s="637"/>
      <c r="G119" s="637"/>
      <c r="H119" s="637"/>
      <c r="I119" s="637"/>
      <c r="J119" s="652"/>
      <c r="K119" s="652"/>
      <c r="L119" s="637"/>
      <c r="N119" s="637"/>
      <c r="O119" s="637"/>
      <c r="P119" s="637"/>
    </row>
    <row r="120" spans="1:16" s="12" customFormat="1" ht="18" x14ac:dyDescent="0.2">
      <c r="A120" s="606"/>
      <c r="B120" s="666"/>
      <c r="C120" s="666"/>
      <c r="D120" s="666"/>
      <c r="E120" s="634"/>
      <c r="F120" s="637"/>
      <c r="G120" s="637"/>
      <c r="H120" s="637"/>
      <c r="I120" s="637"/>
      <c r="J120" s="652"/>
      <c r="K120" s="652"/>
      <c r="L120" s="637"/>
      <c r="N120" s="637"/>
      <c r="O120" s="637"/>
      <c r="P120" s="637"/>
    </row>
    <row r="121" spans="1:16" s="12" customFormat="1" ht="18" x14ac:dyDescent="0.2">
      <c r="A121" s="606"/>
      <c r="B121" s="666"/>
      <c r="C121" s="666"/>
      <c r="D121" s="666"/>
      <c r="E121" s="634"/>
      <c r="F121" s="637"/>
      <c r="G121" s="637"/>
      <c r="H121" s="637"/>
      <c r="I121" s="637"/>
      <c r="J121" s="652"/>
      <c r="K121" s="652"/>
      <c r="L121" s="637"/>
      <c r="N121" s="637"/>
      <c r="O121" s="637"/>
      <c r="P121" s="637"/>
    </row>
    <row r="122" spans="1:16" s="12" customFormat="1" ht="18" x14ac:dyDescent="0.2">
      <c r="A122" s="606"/>
      <c r="B122" s="666"/>
      <c r="C122" s="666"/>
      <c r="D122" s="666"/>
      <c r="E122" s="634"/>
      <c r="F122" s="637"/>
      <c r="G122" s="637"/>
      <c r="H122" s="637"/>
      <c r="I122" s="637"/>
      <c r="J122" s="652"/>
      <c r="K122" s="652"/>
      <c r="L122" s="637"/>
      <c r="N122" s="637"/>
      <c r="O122" s="637"/>
      <c r="P122" s="637"/>
    </row>
    <row r="123" spans="1:16" s="12" customFormat="1" ht="18" x14ac:dyDescent="0.2">
      <c r="A123" s="606"/>
      <c r="B123" s="666"/>
      <c r="C123" s="666"/>
      <c r="D123" s="666"/>
      <c r="E123" s="634"/>
      <c r="F123" s="637"/>
      <c r="G123" s="637"/>
      <c r="H123" s="637"/>
      <c r="I123" s="637"/>
      <c r="J123" s="652"/>
      <c r="K123" s="652"/>
      <c r="L123" s="637"/>
      <c r="N123" s="637"/>
      <c r="O123" s="637"/>
      <c r="P123" s="637"/>
    </row>
    <row r="124" spans="1:16" s="12" customFormat="1" ht="18" x14ac:dyDescent="0.2">
      <c r="A124" s="606"/>
      <c r="B124" s="666"/>
      <c r="C124" s="666"/>
      <c r="D124" s="666"/>
      <c r="E124" s="634"/>
      <c r="F124" s="637"/>
      <c r="G124" s="637"/>
      <c r="H124" s="637"/>
      <c r="I124" s="637"/>
      <c r="J124" s="652"/>
      <c r="K124" s="652"/>
      <c r="L124" s="637"/>
      <c r="N124" s="637"/>
      <c r="O124" s="637"/>
      <c r="P124" s="637"/>
    </row>
    <row r="125" spans="1:16" s="12" customFormat="1" ht="18" x14ac:dyDescent="0.2">
      <c r="A125" s="606"/>
      <c r="B125" s="666"/>
      <c r="C125" s="666"/>
      <c r="D125" s="666"/>
      <c r="E125" s="634"/>
      <c r="F125" s="637"/>
      <c r="G125" s="637"/>
      <c r="H125" s="637"/>
      <c r="I125" s="637"/>
      <c r="J125" s="652"/>
      <c r="K125" s="652"/>
      <c r="L125" s="637"/>
      <c r="N125" s="637"/>
      <c r="O125" s="637"/>
      <c r="P125" s="637"/>
    </row>
    <row r="126" spans="1:16" s="12" customFormat="1" ht="18" x14ac:dyDescent="0.2">
      <c r="A126" s="606"/>
      <c r="B126" s="666"/>
      <c r="C126" s="666"/>
      <c r="D126" s="666"/>
      <c r="E126" s="634"/>
      <c r="F126" s="637"/>
      <c r="G126" s="637"/>
      <c r="H126" s="637"/>
      <c r="I126" s="637"/>
      <c r="J126" s="652"/>
      <c r="K126" s="652"/>
      <c r="L126" s="637"/>
      <c r="N126" s="637"/>
      <c r="O126" s="637"/>
      <c r="P126" s="637"/>
    </row>
    <row r="127" spans="1:16" s="12" customFormat="1" ht="18" x14ac:dyDescent="0.2">
      <c r="A127" s="606"/>
      <c r="B127" s="666"/>
      <c r="C127" s="666"/>
      <c r="D127" s="666"/>
      <c r="E127" s="634"/>
      <c r="F127" s="637"/>
      <c r="G127" s="637"/>
      <c r="H127" s="637"/>
      <c r="I127" s="637"/>
      <c r="J127" s="652"/>
      <c r="K127" s="652"/>
      <c r="L127" s="637"/>
      <c r="N127" s="637"/>
      <c r="O127" s="637"/>
      <c r="P127" s="637"/>
    </row>
    <row r="128" spans="1:16" s="12" customFormat="1" ht="18" x14ac:dyDescent="0.2">
      <c r="A128" s="606"/>
      <c r="B128" s="666"/>
      <c r="C128" s="666"/>
      <c r="D128" s="666"/>
      <c r="E128" s="634"/>
      <c r="F128" s="637"/>
      <c r="G128" s="637"/>
      <c r="H128" s="637"/>
      <c r="I128" s="637"/>
      <c r="J128" s="652"/>
      <c r="K128" s="652"/>
      <c r="L128" s="637"/>
      <c r="N128" s="637"/>
      <c r="O128" s="637"/>
      <c r="P128" s="637"/>
    </row>
    <row r="129" spans="1:16" s="12" customFormat="1" ht="18" x14ac:dyDescent="0.2">
      <c r="A129" s="606"/>
      <c r="B129" s="666"/>
      <c r="C129" s="666"/>
      <c r="D129" s="666"/>
      <c r="E129" s="634"/>
      <c r="F129" s="637"/>
      <c r="G129" s="637"/>
      <c r="H129" s="637"/>
      <c r="I129" s="637"/>
      <c r="J129" s="652"/>
      <c r="K129" s="652"/>
      <c r="L129" s="637"/>
      <c r="N129" s="637"/>
      <c r="O129" s="637"/>
      <c r="P129" s="637"/>
    </row>
    <row r="130" spans="1:16" s="12" customFormat="1" ht="18" x14ac:dyDescent="0.2">
      <c r="A130" s="606"/>
      <c r="B130" s="666"/>
      <c r="C130" s="666"/>
      <c r="D130" s="666"/>
      <c r="E130" s="634"/>
      <c r="F130" s="637"/>
      <c r="G130" s="637"/>
      <c r="H130" s="637"/>
      <c r="I130" s="637"/>
      <c r="J130" s="652"/>
      <c r="K130" s="652"/>
      <c r="L130" s="637"/>
      <c r="N130" s="637"/>
      <c r="O130" s="637"/>
      <c r="P130" s="637"/>
    </row>
    <row r="131" spans="1:16" s="12" customFormat="1" ht="18" x14ac:dyDescent="0.2">
      <c r="A131" s="606"/>
      <c r="B131" s="666"/>
      <c r="C131" s="666"/>
      <c r="D131" s="666"/>
      <c r="E131" s="634"/>
      <c r="F131" s="637"/>
      <c r="G131" s="637"/>
      <c r="H131" s="637"/>
      <c r="I131" s="637"/>
      <c r="J131" s="652"/>
      <c r="K131" s="652"/>
      <c r="L131" s="637"/>
      <c r="N131" s="637"/>
      <c r="O131" s="637"/>
      <c r="P131" s="637"/>
    </row>
    <row r="132" spans="1:16" s="12" customFormat="1" ht="18" x14ac:dyDescent="0.2">
      <c r="A132" s="606"/>
      <c r="B132" s="666"/>
      <c r="C132" s="666"/>
      <c r="D132" s="666"/>
      <c r="E132" s="634"/>
      <c r="F132" s="637"/>
      <c r="G132" s="637"/>
      <c r="H132" s="637"/>
      <c r="I132" s="637"/>
      <c r="J132" s="652"/>
      <c r="K132" s="652"/>
      <c r="L132" s="637"/>
      <c r="N132" s="637"/>
      <c r="O132" s="637"/>
      <c r="P132" s="637"/>
    </row>
    <row r="133" spans="1:16" s="12" customFormat="1" ht="18" x14ac:dyDescent="0.2">
      <c r="A133" s="606"/>
      <c r="B133" s="666"/>
      <c r="C133" s="666"/>
      <c r="D133" s="666"/>
      <c r="E133" s="634"/>
      <c r="F133" s="637"/>
      <c r="G133" s="637"/>
      <c r="H133" s="637"/>
      <c r="I133" s="637"/>
      <c r="J133" s="652"/>
      <c r="K133" s="652"/>
      <c r="L133" s="637"/>
      <c r="N133" s="637"/>
      <c r="O133" s="637"/>
      <c r="P133" s="637"/>
    </row>
    <row r="134" spans="1:16" s="12" customFormat="1" ht="18" x14ac:dyDescent="0.2">
      <c r="A134" s="606"/>
      <c r="B134" s="666"/>
      <c r="C134" s="666"/>
      <c r="D134" s="666"/>
      <c r="E134" s="634"/>
      <c r="F134" s="637"/>
      <c r="G134" s="637"/>
      <c r="H134" s="637"/>
      <c r="I134" s="637"/>
      <c r="J134" s="652"/>
      <c r="K134" s="652"/>
      <c r="L134" s="637"/>
      <c r="N134" s="637"/>
      <c r="O134" s="637"/>
      <c r="P134" s="637"/>
    </row>
    <row r="135" spans="1:16" s="12" customFormat="1" ht="18" x14ac:dyDescent="0.2">
      <c r="A135" s="606"/>
      <c r="B135" s="666"/>
      <c r="C135" s="666"/>
      <c r="D135" s="666"/>
      <c r="E135" s="634"/>
      <c r="F135" s="637"/>
      <c r="G135" s="637"/>
      <c r="H135" s="637"/>
      <c r="I135" s="637"/>
      <c r="J135" s="652"/>
      <c r="K135" s="652"/>
      <c r="L135" s="637"/>
      <c r="N135" s="637"/>
      <c r="O135" s="637"/>
      <c r="P135" s="637"/>
    </row>
    <row r="136" spans="1:16" s="12" customFormat="1" ht="18" x14ac:dyDescent="0.2">
      <c r="A136" s="606"/>
      <c r="B136" s="666"/>
      <c r="C136" s="666"/>
      <c r="D136" s="666"/>
      <c r="E136" s="634"/>
      <c r="F136" s="637"/>
      <c r="G136" s="637"/>
      <c r="H136" s="637"/>
      <c r="I136" s="637"/>
      <c r="J136" s="652"/>
      <c r="K136" s="652"/>
      <c r="L136" s="637"/>
      <c r="N136" s="637"/>
      <c r="O136" s="637"/>
      <c r="P136" s="637"/>
    </row>
    <row r="137" spans="1:16" s="12" customFormat="1" ht="18" x14ac:dyDescent="0.2">
      <c r="A137" s="606"/>
      <c r="B137" s="666"/>
      <c r="C137" s="666"/>
      <c r="D137" s="666"/>
      <c r="E137" s="634"/>
      <c r="F137" s="637"/>
      <c r="G137" s="637"/>
      <c r="H137" s="637"/>
      <c r="I137" s="637"/>
      <c r="J137" s="652"/>
      <c r="K137" s="652"/>
      <c r="L137" s="637"/>
      <c r="N137" s="637"/>
      <c r="O137" s="637"/>
      <c r="P137" s="637"/>
    </row>
    <row r="138" spans="1:16" s="12" customFormat="1" ht="18" x14ac:dyDescent="0.2">
      <c r="A138" s="606"/>
      <c r="B138" s="666"/>
      <c r="C138" s="666"/>
      <c r="D138" s="666"/>
      <c r="E138" s="634"/>
      <c r="F138" s="637"/>
      <c r="G138" s="637"/>
      <c r="H138" s="637"/>
      <c r="I138" s="637"/>
      <c r="J138" s="652"/>
      <c r="K138" s="652"/>
      <c r="L138" s="637"/>
      <c r="N138" s="637"/>
      <c r="O138" s="637"/>
      <c r="P138" s="637"/>
    </row>
    <row r="139" spans="1:16" s="12" customFormat="1" ht="18" x14ac:dyDescent="0.2">
      <c r="A139" s="606"/>
      <c r="B139" s="666"/>
      <c r="C139" s="666"/>
      <c r="D139" s="666"/>
      <c r="E139" s="634"/>
      <c r="F139" s="637"/>
      <c r="G139" s="637"/>
      <c r="H139" s="637"/>
      <c r="I139" s="637"/>
      <c r="J139" s="652"/>
      <c r="K139" s="652"/>
      <c r="L139" s="637"/>
      <c r="N139" s="637"/>
      <c r="O139" s="637"/>
      <c r="P139" s="637"/>
    </row>
    <row r="140" spans="1:16" s="12" customFormat="1" ht="18" x14ac:dyDescent="0.2">
      <c r="A140" s="606"/>
      <c r="B140" s="666"/>
      <c r="C140" s="666"/>
      <c r="D140" s="666"/>
      <c r="E140" s="634"/>
      <c r="F140" s="637"/>
      <c r="G140" s="637"/>
      <c r="H140" s="637"/>
      <c r="I140" s="637"/>
      <c r="J140" s="652"/>
      <c r="K140" s="652"/>
      <c r="L140" s="637"/>
      <c r="N140" s="637"/>
      <c r="O140" s="637"/>
      <c r="P140" s="637"/>
    </row>
    <row r="141" spans="1:16" s="12" customFormat="1" ht="18" x14ac:dyDescent="0.2">
      <c r="A141" s="606"/>
      <c r="B141" s="666"/>
      <c r="C141" s="666"/>
      <c r="D141" s="666"/>
      <c r="E141" s="634"/>
      <c r="F141" s="637"/>
      <c r="G141" s="637"/>
      <c r="H141" s="637"/>
      <c r="I141" s="637"/>
      <c r="J141" s="652"/>
      <c r="K141" s="652"/>
      <c r="L141" s="637"/>
      <c r="N141" s="637"/>
      <c r="O141" s="637"/>
      <c r="P141" s="637"/>
    </row>
    <row r="142" spans="1:16" s="12" customFormat="1" ht="18" x14ac:dyDescent="0.2">
      <c r="A142" s="606"/>
      <c r="B142" s="666"/>
      <c r="C142" s="666"/>
      <c r="D142" s="666"/>
      <c r="E142" s="634"/>
      <c r="F142" s="637"/>
      <c r="G142" s="637"/>
      <c r="H142" s="637"/>
      <c r="I142" s="637"/>
      <c r="J142" s="652"/>
      <c r="K142" s="652"/>
      <c r="L142" s="637"/>
      <c r="N142" s="637"/>
      <c r="O142" s="637"/>
      <c r="P142" s="637"/>
    </row>
    <row r="143" spans="1:16" s="12" customFormat="1" ht="18" x14ac:dyDescent="0.2">
      <c r="A143" s="606"/>
      <c r="B143" s="666"/>
      <c r="C143" s="666"/>
      <c r="D143" s="666"/>
      <c r="E143" s="634"/>
      <c r="F143" s="637"/>
      <c r="G143" s="637"/>
      <c r="H143" s="637"/>
      <c r="I143" s="637"/>
      <c r="J143" s="652"/>
      <c r="K143" s="652"/>
      <c r="L143" s="637"/>
      <c r="N143" s="637"/>
      <c r="O143" s="637"/>
      <c r="P143" s="637"/>
    </row>
    <row r="144" spans="1:16" s="12" customFormat="1" ht="18" x14ac:dyDescent="0.2">
      <c r="A144" s="606"/>
      <c r="B144" s="666"/>
      <c r="C144" s="666"/>
      <c r="D144" s="666"/>
      <c r="E144" s="634"/>
      <c r="F144" s="637"/>
      <c r="G144" s="637"/>
      <c r="H144" s="637"/>
      <c r="I144" s="637"/>
      <c r="J144" s="652"/>
      <c r="K144" s="652"/>
      <c r="L144" s="637"/>
      <c r="N144" s="637"/>
      <c r="O144" s="637"/>
      <c r="P144" s="637"/>
    </row>
    <row r="145" spans="1:16" s="12" customFormat="1" ht="18" x14ac:dyDescent="0.2">
      <c r="A145" s="606"/>
      <c r="B145" s="666"/>
      <c r="C145" s="666"/>
      <c r="D145" s="666"/>
      <c r="E145" s="634"/>
      <c r="F145" s="637"/>
      <c r="G145" s="637"/>
      <c r="H145" s="637"/>
      <c r="I145" s="637"/>
      <c r="J145" s="652"/>
      <c r="K145" s="652"/>
      <c r="L145" s="637"/>
      <c r="N145" s="637"/>
      <c r="O145" s="637"/>
      <c r="P145" s="637"/>
    </row>
    <row r="146" spans="1:16" s="12" customFormat="1" ht="18" x14ac:dyDescent="0.2">
      <c r="A146" s="606"/>
      <c r="B146" s="666"/>
      <c r="C146" s="666"/>
      <c r="D146" s="666"/>
      <c r="E146" s="634"/>
      <c r="F146" s="637"/>
      <c r="G146" s="637"/>
      <c r="H146" s="637"/>
      <c r="I146" s="637"/>
      <c r="J146" s="652"/>
      <c r="K146" s="652"/>
      <c r="L146" s="637"/>
      <c r="N146" s="637"/>
      <c r="O146" s="637"/>
      <c r="P146" s="637"/>
    </row>
    <row r="147" spans="1:16" s="12" customFormat="1" ht="18" x14ac:dyDescent="0.2">
      <c r="A147" s="606"/>
      <c r="B147" s="666"/>
      <c r="C147" s="666"/>
      <c r="D147" s="666"/>
      <c r="E147" s="634"/>
      <c r="F147" s="637"/>
      <c r="G147" s="637"/>
      <c r="H147" s="637"/>
      <c r="I147" s="637"/>
      <c r="J147" s="652"/>
      <c r="K147" s="652"/>
      <c r="L147" s="637"/>
      <c r="N147" s="637"/>
      <c r="O147" s="637"/>
      <c r="P147" s="637"/>
    </row>
    <row r="148" spans="1:16" s="12" customFormat="1" ht="18" x14ac:dyDescent="0.2">
      <c r="A148" s="606"/>
      <c r="B148" s="666"/>
      <c r="C148" s="666"/>
      <c r="D148" s="666"/>
      <c r="E148" s="634"/>
      <c r="F148" s="637"/>
      <c r="G148" s="637"/>
      <c r="H148" s="637"/>
      <c r="I148" s="637"/>
      <c r="J148" s="652"/>
      <c r="K148" s="652"/>
      <c r="L148" s="637"/>
      <c r="N148" s="637"/>
      <c r="O148" s="637"/>
      <c r="P148" s="637"/>
    </row>
    <row r="149" spans="1:16" s="12" customFormat="1" ht="18" x14ac:dyDescent="0.2">
      <c r="A149" s="606"/>
      <c r="B149" s="666"/>
      <c r="C149" s="666"/>
      <c r="D149" s="666"/>
      <c r="E149" s="634"/>
      <c r="F149" s="637"/>
      <c r="G149" s="637"/>
      <c r="H149" s="637"/>
      <c r="I149" s="637"/>
      <c r="J149" s="652"/>
      <c r="K149" s="652"/>
      <c r="L149" s="637"/>
      <c r="N149" s="637"/>
      <c r="O149" s="637"/>
      <c r="P149" s="637"/>
    </row>
    <row r="150" spans="1:16" s="12" customFormat="1" ht="18" x14ac:dyDescent="0.2">
      <c r="A150" s="606"/>
      <c r="B150" s="666"/>
      <c r="C150" s="666"/>
      <c r="D150" s="666"/>
      <c r="E150" s="634"/>
      <c r="F150" s="637"/>
      <c r="G150" s="637"/>
      <c r="H150" s="637"/>
      <c r="I150" s="637"/>
      <c r="J150" s="652"/>
      <c r="K150" s="652"/>
      <c r="L150" s="637"/>
      <c r="N150" s="637"/>
      <c r="O150" s="637"/>
      <c r="P150" s="637"/>
    </row>
    <row r="151" spans="1:16" s="12" customFormat="1" ht="18" x14ac:dyDescent="0.2">
      <c r="A151" s="606"/>
      <c r="B151" s="666"/>
      <c r="C151" s="666"/>
      <c r="D151" s="666"/>
      <c r="E151" s="634"/>
      <c r="F151" s="637"/>
      <c r="G151" s="637"/>
      <c r="H151" s="637"/>
      <c r="I151" s="637"/>
      <c r="J151" s="652"/>
      <c r="K151" s="652"/>
      <c r="L151" s="637"/>
      <c r="N151" s="637"/>
      <c r="O151" s="637"/>
      <c r="P151" s="637"/>
    </row>
    <row r="152" spans="1:16" s="12" customFormat="1" ht="18" x14ac:dyDescent="0.2">
      <c r="A152" s="606"/>
      <c r="B152" s="666"/>
      <c r="C152" s="666"/>
      <c r="D152" s="666"/>
      <c r="E152" s="634"/>
      <c r="F152" s="637"/>
      <c r="G152" s="637"/>
      <c r="H152" s="637"/>
      <c r="I152" s="637"/>
      <c r="J152" s="652"/>
      <c r="K152" s="652"/>
      <c r="L152" s="637"/>
      <c r="N152" s="637"/>
      <c r="O152" s="637"/>
      <c r="P152" s="637"/>
    </row>
    <row r="153" spans="1:16" s="12" customFormat="1" ht="18" x14ac:dyDescent="0.2">
      <c r="A153" s="606"/>
      <c r="B153" s="666"/>
      <c r="C153" s="666"/>
      <c r="D153" s="666"/>
      <c r="E153" s="634"/>
      <c r="F153" s="637"/>
      <c r="G153" s="637"/>
      <c r="H153" s="637"/>
      <c r="I153" s="637"/>
      <c r="J153" s="652"/>
      <c r="K153" s="652"/>
      <c r="L153" s="637"/>
      <c r="N153" s="637"/>
      <c r="O153" s="637"/>
      <c r="P153" s="637"/>
    </row>
    <row r="154" spans="1:16" s="12" customFormat="1" ht="18" x14ac:dyDescent="0.2">
      <c r="A154" s="606"/>
      <c r="B154" s="666"/>
      <c r="C154" s="666"/>
      <c r="D154" s="666"/>
      <c r="E154" s="634"/>
      <c r="F154" s="637"/>
      <c r="G154" s="637"/>
      <c r="H154" s="637"/>
      <c r="I154" s="637"/>
      <c r="J154" s="652"/>
      <c r="K154" s="652"/>
      <c r="L154" s="637"/>
      <c r="N154" s="637"/>
      <c r="O154" s="637"/>
      <c r="P154" s="637"/>
    </row>
    <row r="155" spans="1:16" s="12" customFormat="1" ht="18" x14ac:dyDescent="0.2">
      <c r="A155" s="606"/>
      <c r="B155" s="666"/>
      <c r="C155" s="666"/>
      <c r="D155" s="666"/>
      <c r="E155" s="634"/>
      <c r="F155" s="637"/>
      <c r="G155" s="637"/>
      <c r="H155" s="637"/>
      <c r="I155" s="637"/>
      <c r="J155" s="652"/>
      <c r="K155" s="652"/>
      <c r="L155" s="637"/>
      <c r="N155" s="637"/>
      <c r="O155" s="637"/>
      <c r="P155" s="637"/>
    </row>
    <row r="156" spans="1:16" s="12" customFormat="1" ht="18" x14ac:dyDescent="0.2">
      <c r="A156" s="606"/>
      <c r="B156" s="666"/>
      <c r="C156" s="666"/>
      <c r="D156" s="666"/>
      <c r="E156" s="634"/>
      <c r="F156" s="637"/>
      <c r="G156" s="637"/>
      <c r="H156" s="637"/>
      <c r="I156" s="637"/>
      <c r="J156" s="652"/>
      <c r="K156" s="652"/>
      <c r="L156" s="637"/>
      <c r="N156" s="637"/>
      <c r="O156" s="637"/>
      <c r="P156" s="637"/>
    </row>
    <row r="157" spans="1:16" s="12" customFormat="1" ht="18" x14ac:dyDescent="0.2">
      <c r="A157" s="606"/>
      <c r="B157" s="666"/>
      <c r="C157" s="666"/>
      <c r="D157" s="666"/>
      <c r="E157" s="634"/>
      <c r="F157" s="637"/>
      <c r="G157" s="637"/>
      <c r="H157" s="637"/>
      <c r="I157" s="637"/>
      <c r="J157" s="652"/>
      <c r="K157" s="652"/>
      <c r="L157" s="637"/>
      <c r="N157" s="637"/>
      <c r="O157" s="637"/>
      <c r="P157" s="637"/>
    </row>
    <row r="158" spans="1:16" s="12" customFormat="1" ht="18" x14ac:dyDescent="0.2">
      <c r="A158" s="606"/>
      <c r="B158" s="666"/>
      <c r="C158" s="666"/>
      <c r="D158" s="666"/>
      <c r="E158" s="634"/>
      <c r="F158" s="637"/>
      <c r="G158" s="637"/>
      <c r="H158" s="637"/>
      <c r="I158" s="637"/>
      <c r="J158" s="652"/>
      <c r="K158" s="652"/>
      <c r="L158" s="637"/>
      <c r="N158" s="637"/>
      <c r="O158" s="637"/>
      <c r="P158" s="637"/>
    </row>
    <row r="159" spans="1:16" s="12" customFormat="1" ht="18" x14ac:dyDescent="0.2">
      <c r="A159" s="606"/>
      <c r="B159" s="666"/>
      <c r="C159" s="666"/>
      <c r="D159" s="666"/>
      <c r="E159" s="634"/>
      <c r="F159" s="637"/>
      <c r="G159" s="637"/>
      <c r="H159" s="637"/>
      <c r="I159" s="637"/>
      <c r="J159" s="652"/>
      <c r="K159" s="652"/>
      <c r="L159" s="637"/>
      <c r="N159" s="637"/>
      <c r="O159" s="637"/>
      <c r="P159" s="637"/>
    </row>
    <row r="160" spans="1:16" s="12" customFormat="1" ht="18" x14ac:dyDescent="0.2">
      <c r="A160" s="606"/>
      <c r="B160" s="666"/>
      <c r="C160" s="666"/>
      <c r="D160" s="666"/>
      <c r="E160" s="634"/>
      <c r="F160" s="637"/>
      <c r="G160" s="637"/>
      <c r="H160" s="637"/>
      <c r="I160" s="637"/>
      <c r="J160" s="652"/>
      <c r="K160" s="652"/>
      <c r="L160" s="637"/>
      <c r="N160" s="637"/>
      <c r="O160" s="637"/>
      <c r="P160" s="637"/>
    </row>
    <row r="161" spans="1:16" s="12" customFormat="1" ht="18" x14ac:dyDescent="0.2">
      <c r="A161" s="606"/>
      <c r="B161" s="666"/>
      <c r="C161" s="666"/>
      <c r="D161" s="666"/>
      <c r="E161" s="634"/>
      <c r="F161" s="637"/>
      <c r="G161" s="637"/>
      <c r="H161" s="637"/>
      <c r="I161" s="637"/>
      <c r="J161" s="637"/>
      <c r="K161" s="637"/>
      <c r="L161" s="637"/>
      <c r="N161" s="637"/>
      <c r="O161" s="637"/>
      <c r="P161" s="637"/>
    </row>
    <row r="162" spans="1:16" s="12" customFormat="1" ht="18" x14ac:dyDescent="0.2">
      <c r="A162" s="606"/>
      <c r="B162" s="666"/>
      <c r="C162" s="666"/>
      <c r="D162" s="666"/>
      <c r="E162" s="634"/>
      <c r="F162" s="637"/>
      <c r="G162" s="637"/>
      <c r="H162" s="637"/>
      <c r="I162" s="637"/>
      <c r="J162" s="637"/>
      <c r="K162" s="637"/>
      <c r="L162" s="637"/>
      <c r="N162" s="637"/>
      <c r="O162" s="637"/>
      <c r="P162" s="637"/>
    </row>
    <row r="163" spans="1:16" s="12" customFormat="1" ht="18" x14ac:dyDescent="0.2">
      <c r="A163" s="606"/>
      <c r="B163" s="666"/>
      <c r="C163" s="666"/>
      <c r="D163" s="666"/>
      <c r="E163" s="634"/>
      <c r="F163" s="637"/>
      <c r="G163" s="637"/>
      <c r="H163" s="637"/>
      <c r="I163" s="637"/>
      <c r="J163" s="637"/>
      <c r="K163" s="637"/>
      <c r="L163" s="637"/>
      <c r="N163" s="637"/>
      <c r="O163" s="637"/>
      <c r="P163" s="637"/>
    </row>
    <row r="164" spans="1:16" s="12" customFormat="1" ht="18" x14ac:dyDescent="0.2">
      <c r="A164" s="606"/>
      <c r="B164" s="666"/>
      <c r="C164" s="666"/>
      <c r="D164" s="666"/>
      <c r="E164" s="634"/>
      <c r="F164" s="637"/>
      <c r="G164" s="637"/>
      <c r="H164" s="637"/>
      <c r="I164" s="637"/>
      <c r="J164" s="637"/>
      <c r="K164" s="637"/>
      <c r="L164" s="637"/>
      <c r="N164" s="637"/>
      <c r="O164" s="637"/>
      <c r="P164" s="637"/>
    </row>
    <row r="165" spans="1:16" s="12" customFormat="1" ht="18" x14ac:dyDescent="0.2">
      <c r="A165" s="606"/>
      <c r="B165" s="666"/>
      <c r="C165" s="666"/>
      <c r="D165" s="666"/>
      <c r="E165" s="634"/>
      <c r="F165" s="637"/>
      <c r="G165" s="637"/>
      <c r="H165" s="637"/>
      <c r="I165" s="637"/>
      <c r="J165" s="637"/>
      <c r="K165" s="637"/>
      <c r="L165" s="637"/>
      <c r="N165" s="637"/>
      <c r="O165" s="637"/>
      <c r="P165" s="637"/>
    </row>
    <row r="166" spans="1:16" s="12" customFormat="1" ht="18" x14ac:dyDescent="0.2">
      <c r="A166" s="606"/>
      <c r="B166" s="666"/>
      <c r="C166" s="666"/>
      <c r="D166" s="666"/>
      <c r="E166" s="634"/>
      <c r="F166" s="637"/>
      <c r="G166" s="637"/>
      <c r="H166" s="637"/>
      <c r="I166" s="637"/>
      <c r="J166" s="637"/>
      <c r="K166" s="637"/>
      <c r="L166" s="637"/>
      <c r="N166" s="637"/>
      <c r="O166" s="637"/>
      <c r="P166" s="637"/>
    </row>
    <row r="167" spans="1:16" s="12" customFormat="1" ht="18" x14ac:dyDescent="0.2">
      <c r="A167" s="606"/>
      <c r="B167" s="666"/>
      <c r="C167" s="666"/>
      <c r="D167" s="666"/>
      <c r="E167" s="634"/>
      <c r="F167" s="637"/>
      <c r="G167" s="637"/>
      <c r="H167" s="637"/>
      <c r="I167" s="637"/>
      <c r="J167" s="637"/>
      <c r="K167" s="637"/>
      <c r="L167" s="637"/>
      <c r="N167" s="637"/>
      <c r="O167" s="637"/>
      <c r="P167" s="637"/>
    </row>
    <row r="168" spans="1:16" s="12" customFormat="1" ht="18" x14ac:dyDescent="0.2">
      <c r="A168" s="606"/>
      <c r="B168" s="666"/>
      <c r="C168" s="666"/>
      <c r="D168" s="666"/>
      <c r="E168" s="634"/>
      <c r="F168" s="637"/>
      <c r="G168" s="637"/>
      <c r="H168" s="637"/>
      <c r="I168" s="637"/>
      <c r="J168" s="637"/>
      <c r="K168" s="637"/>
      <c r="L168" s="637"/>
      <c r="N168" s="637"/>
      <c r="O168" s="637"/>
      <c r="P168" s="637"/>
    </row>
    <row r="169" spans="1:16" s="12" customFormat="1" ht="18" x14ac:dyDescent="0.2">
      <c r="A169" s="606"/>
      <c r="B169" s="666"/>
      <c r="C169" s="666"/>
      <c r="D169" s="666"/>
      <c r="E169" s="634"/>
      <c r="F169" s="637"/>
      <c r="G169" s="637"/>
      <c r="H169" s="637"/>
      <c r="I169" s="637"/>
      <c r="J169" s="637"/>
      <c r="K169" s="637"/>
      <c r="L169" s="637"/>
      <c r="N169" s="637"/>
      <c r="O169" s="637"/>
      <c r="P169" s="637"/>
    </row>
    <row r="170" spans="1:16" s="12" customFormat="1" ht="18" x14ac:dyDescent="0.2">
      <c r="A170" s="606"/>
      <c r="B170" s="666"/>
      <c r="C170" s="666"/>
      <c r="D170" s="666"/>
      <c r="E170" s="634"/>
      <c r="F170" s="637"/>
      <c r="G170" s="637"/>
      <c r="H170" s="637"/>
      <c r="I170" s="637"/>
      <c r="J170" s="637"/>
      <c r="K170" s="637"/>
      <c r="L170" s="637"/>
      <c r="N170" s="637"/>
      <c r="O170" s="637"/>
      <c r="P170" s="637"/>
    </row>
    <row r="171" spans="1:16" s="12" customFormat="1" ht="18" x14ac:dyDescent="0.2">
      <c r="A171" s="606"/>
      <c r="B171" s="666"/>
      <c r="C171" s="666"/>
      <c r="D171" s="666"/>
      <c r="E171" s="634"/>
      <c r="F171" s="637"/>
      <c r="G171" s="637"/>
      <c r="H171" s="637"/>
      <c r="I171" s="637"/>
      <c r="J171" s="637"/>
      <c r="K171" s="637"/>
      <c r="L171" s="637"/>
      <c r="N171" s="637"/>
      <c r="O171" s="637"/>
      <c r="P171" s="637"/>
    </row>
    <row r="172" spans="1:16" s="12" customFormat="1" ht="18" x14ac:dyDescent="0.2">
      <c r="A172" s="606"/>
      <c r="B172" s="666"/>
      <c r="C172" s="666"/>
      <c r="D172" s="666"/>
      <c r="E172" s="634"/>
      <c r="F172" s="637"/>
      <c r="G172" s="637"/>
      <c r="H172" s="637"/>
      <c r="I172" s="637"/>
      <c r="J172" s="637"/>
      <c r="K172" s="637"/>
      <c r="L172" s="637"/>
      <c r="N172" s="637"/>
      <c r="O172" s="637"/>
      <c r="P172" s="637"/>
    </row>
    <row r="173" spans="1:16" s="12" customFormat="1" ht="18" x14ac:dyDescent="0.2">
      <c r="A173" s="606"/>
      <c r="B173" s="666"/>
      <c r="C173" s="666"/>
      <c r="D173" s="666"/>
      <c r="E173" s="634"/>
      <c r="F173" s="637"/>
      <c r="G173" s="637"/>
      <c r="H173" s="637"/>
      <c r="I173" s="637"/>
      <c r="J173" s="637"/>
      <c r="K173" s="637"/>
      <c r="L173" s="637"/>
      <c r="N173" s="637"/>
      <c r="O173" s="637"/>
      <c r="P173" s="637"/>
    </row>
    <row r="174" spans="1:16" s="12" customFormat="1" ht="18" x14ac:dyDescent="0.2">
      <c r="A174" s="606"/>
      <c r="B174" s="666"/>
      <c r="C174" s="666"/>
      <c r="D174" s="666"/>
      <c r="E174" s="634"/>
      <c r="F174" s="637"/>
      <c r="G174" s="637"/>
      <c r="H174" s="637"/>
      <c r="I174" s="637"/>
      <c r="J174" s="637"/>
      <c r="K174" s="637"/>
      <c r="L174" s="637"/>
      <c r="N174" s="637"/>
      <c r="O174" s="637"/>
      <c r="P174" s="637"/>
    </row>
    <row r="175" spans="1:16" s="12" customFormat="1" ht="18" x14ac:dyDescent="0.2">
      <c r="A175" s="606"/>
      <c r="B175" s="666"/>
      <c r="C175" s="666"/>
      <c r="D175" s="666"/>
      <c r="E175" s="634"/>
      <c r="F175" s="637"/>
      <c r="G175" s="637"/>
      <c r="H175" s="637"/>
      <c r="I175" s="637"/>
      <c r="J175" s="637"/>
      <c r="K175" s="637"/>
      <c r="L175" s="637"/>
      <c r="N175" s="637"/>
      <c r="O175" s="637"/>
      <c r="P175" s="637"/>
    </row>
    <row r="176" spans="1:16" s="12" customFormat="1" ht="18" x14ac:dyDescent="0.2">
      <c r="A176" s="606"/>
      <c r="B176" s="666"/>
      <c r="C176" s="666"/>
      <c r="D176" s="666"/>
      <c r="E176" s="634"/>
      <c r="F176" s="637"/>
      <c r="G176" s="637"/>
      <c r="H176" s="637"/>
      <c r="I176" s="637"/>
      <c r="J176" s="637"/>
      <c r="K176" s="637"/>
      <c r="L176" s="637"/>
      <c r="N176" s="637"/>
      <c r="O176" s="637"/>
      <c r="P176" s="637"/>
    </row>
    <row r="177" spans="1:16" s="12" customFormat="1" ht="18" x14ac:dyDescent="0.2">
      <c r="A177" s="606"/>
      <c r="B177" s="666"/>
      <c r="C177" s="666"/>
      <c r="D177" s="666"/>
      <c r="E177" s="634"/>
      <c r="F177" s="637"/>
      <c r="G177" s="637"/>
      <c r="H177" s="637"/>
      <c r="I177" s="637"/>
      <c r="J177" s="637"/>
      <c r="K177" s="637"/>
      <c r="L177" s="637"/>
      <c r="N177" s="637"/>
      <c r="O177" s="637"/>
      <c r="P177" s="637"/>
    </row>
    <row r="178" spans="1:16" s="12" customFormat="1" ht="18" x14ac:dyDescent="0.2">
      <c r="A178" s="606"/>
      <c r="B178" s="666"/>
      <c r="C178" s="666"/>
      <c r="D178" s="666"/>
      <c r="E178" s="634"/>
      <c r="F178" s="637"/>
      <c r="G178" s="637"/>
      <c r="H178" s="637"/>
      <c r="I178" s="637"/>
      <c r="J178" s="637"/>
      <c r="K178" s="637"/>
      <c r="L178" s="637"/>
      <c r="N178" s="637"/>
      <c r="O178" s="637"/>
      <c r="P178" s="637"/>
    </row>
    <row r="179" spans="1:16" s="12" customFormat="1" ht="18" x14ac:dyDescent="0.2">
      <c r="A179" s="606"/>
      <c r="B179" s="666"/>
      <c r="C179" s="666"/>
      <c r="D179" s="666"/>
      <c r="E179" s="634"/>
      <c r="F179" s="637"/>
      <c r="G179" s="637"/>
      <c r="H179" s="637"/>
      <c r="I179" s="637"/>
      <c r="J179" s="637"/>
      <c r="K179" s="637"/>
      <c r="L179" s="637"/>
      <c r="N179" s="637"/>
      <c r="O179" s="637"/>
      <c r="P179" s="637"/>
    </row>
    <row r="180" spans="1:16" s="12" customFormat="1" ht="18" x14ac:dyDescent="0.2">
      <c r="A180" s="606"/>
      <c r="B180" s="666"/>
      <c r="C180" s="666"/>
      <c r="D180" s="666"/>
      <c r="E180" s="634"/>
      <c r="F180" s="637"/>
      <c r="G180" s="637"/>
      <c r="H180" s="637"/>
      <c r="I180" s="637"/>
      <c r="J180" s="637"/>
      <c r="K180" s="637"/>
      <c r="L180" s="637"/>
      <c r="N180" s="637"/>
      <c r="O180" s="637"/>
      <c r="P180" s="637"/>
    </row>
    <row r="181" spans="1:16" s="12" customFormat="1" ht="18" x14ac:dyDescent="0.2">
      <c r="A181" s="606"/>
      <c r="B181" s="666"/>
      <c r="C181" s="666"/>
      <c r="D181" s="666"/>
      <c r="E181" s="634"/>
      <c r="F181" s="637"/>
      <c r="G181" s="637"/>
      <c r="H181" s="637"/>
      <c r="I181" s="637"/>
      <c r="J181" s="637"/>
      <c r="K181" s="637"/>
      <c r="L181" s="637"/>
      <c r="N181" s="637"/>
      <c r="O181" s="637"/>
      <c r="P181" s="637"/>
    </row>
    <row r="182" spans="1:16" s="12" customFormat="1" ht="18" x14ac:dyDescent="0.2">
      <c r="A182" s="606"/>
      <c r="B182" s="666"/>
      <c r="C182" s="666"/>
      <c r="D182" s="666"/>
      <c r="E182" s="634"/>
      <c r="F182" s="637"/>
      <c r="G182" s="637"/>
      <c r="H182" s="637"/>
      <c r="I182" s="637"/>
      <c r="J182" s="637"/>
      <c r="K182" s="637"/>
      <c r="L182" s="637"/>
      <c r="N182" s="637"/>
      <c r="O182" s="637"/>
      <c r="P182" s="637"/>
    </row>
    <row r="183" spans="1:16" s="12" customFormat="1" ht="18" x14ac:dyDescent="0.2">
      <c r="A183" s="606"/>
      <c r="B183" s="666"/>
      <c r="C183" s="666"/>
      <c r="D183" s="666"/>
      <c r="E183" s="634"/>
      <c r="F183" s="637"/>
      <c r="G183" s="637"/>
      <c r="H183" s="637"/>
      <c r="I183" s="637"/>
      <c r="J183" s="637"/>
      <c r="K183" s="637"/>
      <c r="L183" s="637"/>
      <c r="N183" s="637"/>
      <c r="O183" s="637"/>
      <c r="P183" s="637"/>
    </row>
    <row r="184" spans="1:16" s="12" customFormat="1" ht="18" x14ac:dyDescent="0.2">
      <c r="A184" s="606"/>
      <c r="B184" s="666"/>
      <c r="C184" s="666"/>
      <c r="D184" s="666"/>
      <c r="E184" s="634"/>
      <c r="F184" s="637"/>
      <c r="G184" s="637"/>
      <c r="H184" s="637"/>
      <c r="I184" s="637"/>
      <c r="J184" s="637"/>
      <c r="K184" s="637"/>
      <c r="L184" s="637"/>
      <c r="N184" s="637"/>
      <c r="O184" s="637"/>
      <c r="P184" s="637"/>
    </row>
    <row r="185" spans="1:16" s="12" customFormat="1" ht="18" x14ac:dyDescent="0.2">
      <c r="A185" s="606"/>
      <c r="B185" s="666"/>
      <c r="C185" s="666"/>
      <c r="D185" s="666"/>
      <c r="E185" s="634"/>
      <c r="F185" s="637"/>
      <c r="G185" s="637"/>
      <c r="H185" s="637"/>
      <c r="I185" s="637"/>
      <c r="J185" s="637"/>
      <c r="K185" s="637"/>
      <c r="L185" s="637"/>
      <c r="N185" s="637"/>
      <c r="O185" s="637"/>
      <c r="P185" s="637"/>
    </row>
    <row r="186" spans="1:16" s="12" customFormat="1" ht="18" x14ac:dyDescent="0.2">
      <c r="A186" s="606"/>
      <c r="B186" s="666"/>
      <c r="C186" s="666"/>
      <c r="D186" s="666"/>
      <c r="E186" s="634"/>
      <c r="F186" s="637"/>
      <c r="G186" s="637"/>
      <c r="H186" s="637"/>
      <c r="I186" s="637"/>
      <c r="J186" s="637"/>
      <c r="K186" s="637"/>
      <c r="L186" s="637"/>
      <c r="N186" s="637"/>
      <c r="O186" s="637"/>
      <c r="P186" s="637"/>
    </row>
    <row r="187" spans="1:16" s="12" customFormat="1" ht="18" x14ac:dyDescent="0.2">
      <c r="A187" s="606"/>
      <c r="B187" s="666"/>
      <c r="C187" s="666"/>
      <c r="D187" s="666"/>
      <c r="E187" s="634"/>
      <c r="F187" s="637"/>
      <c r="G187" s="637"/>
      <c r="H187" s="637"/>
      <c r="I187" s="637"/>
      <c r="J187" s="637"/>
      <c r="K187" s="637"/>
      <c r="L187" s="637"/>
      <c r="N187" s="637"/>
      <c r="O187" s="637"/>
      <c r="P187" s="637"/>
    </row>
    <row r="188" spans="1:16" s="12" customFormat="1" ht="18" x14ac:dyDescent="0.2">
      <c r="A188" s="606"/>
      <c r="B188" s="666"/>
      <c r="C188" s="666"/>
      <c r="D188" s="666"/>
      <c r="E188" s="634"/>
      <c r="F188" s="637"/>
      <c r="G188" s="637"/>
      <c r="H188" s="637"/>
      <c r="I188" s="637"/>
      <c r="J188" s="637"/>
      <c r="K188" s="637"/>
      <c r="L188" s="637"/>
      <c r="N188" s="637"/>
      <c r="O188" s="637"/>
      <c r="P188" s="637"/>
    </row>
    <row r="189" spans="1:16" s="12" customFormat="1" ht="18" x14ac:dyDescent="0.2">
      <c r="A189" s="606"/>
      <c r="B189" s="666"/>
      <c r="C189" s="666"/>
      <c r="D189" s="666"/>
      <c r="E189" s="634"/>
      <c r="F189" s="637"/>
      <c r="G189" s="637"/>
      <c r="H189" s="637"/>
      <c r="I189" s="637"/>
      <c r="J189" s="637"/>
      <c r="K189" s="637"/>
      <c r="L189" s="637"/>
      <c r="N189" s="637"/>
      <c r="O189" s="637"/>
      <c r="P189" s="637"/>
    </row>
    <row r="190" spans="1:16" s="12" customFormat="1" ht="18" x14ac:dyDescent="0.2">
      <c r="A190" s="606"/>
      <c r="B190" s="666"/>
      <c r="C190" s="666"/>
      <c r="D190" s="666"/>
      <c r="E190" s="634"/>
      <c r="F190" s="637"/>
      <c r="G190" s="637"/>
      <c r="H190" s="637"/>
      <c r="I190" s="637"/>
      <c r="J190" s="637"/>
      <c r="K190" s="637"/>
      <c r="L190" s="637"/>
      <c r="N190" s="637"/>
      <c r="O190" s="637"/>
      <c r="P190" s="637"/>
    </row>
    <row r="191" spans="1:16" s="12" customFormat="1" ht="18" x14ac:dyDescent="0.2">
      <c r="A191" s="606"/>
      <c r="B191" s="666"/>
      <c r="C191" s="666"/>
      <c r="D191" s="666"/>
      <c r="E191" s="634"/>
      <c r="F191" s="637"/>
      <c r="G191" s="637"/>
      <c r="H191" s="637"/>
      <c r="I191" s="637"/>
      <c r="J191" s="637"/>
      <c r="K191" s="637"/>
      <c r="L191" s="637"/>
      <c r="N191" s="637"/>
      <c r="O191" s="637"/>
      <c r="P191" s="637"/>
    </row>
    <row r="192" spans="1:16" s="12" customFormat="1" ht="18" x14ac:dyDescent="0.2">
      <c r="A192" s="606"/>
      <c r="B192" s="666"/>
      <c r="C192" s="666"/>
      <c r="D192" s="666"/>
      <c r="E192" s="634"/>
      <c r="F192" s="637"/>
      <c r="G192" s="637"/>
      <c r="H192" s="637"/>
      <c r="I192" s="637"/>
      <c r="J192" s="637"/>
      <c r="K192" s="637"/>
      <c r="L192" s="637"/>
      <c r="N192" s="637"/>
      <c r="O192" s="637"/>
      <c r="P192" s="637"/>
    </row>
    <row r="193" spans="1:16" s="12" customFormat="1" ht="18" x14ac:dyDescent="0.2">
      <c r="A193" s="606"/>
      <c r="B193" s="666"/>
      <c r="C193" s="666"/>
      <c r="D193" s="666"/>
      <c r="E193" s="634"/>
      <c r="F193" s="637"/>
      <c r="G193" s="637"/>
      <c r="H193" s="637"/>
      <c r="I193" s="637"/>
      <c r="J193" s="637"/>
      <c r="K193" s="637"/>
      <c r="L193" s="637"/>
      <c r="N193" s="637"/>
      <c r="O193" s="637"/>
      <c r="P193" s="637"/>
    </row>
    <row r="194" spans="1:16" s="12" customFormat="1" ht="18" x14ac:dyDescent="0.2">
      <c r="A194" s="606"/>
      <c r="B194" s="666"/>
      <c r="C194" s="666"/>
      <c r="D194" s="666"/>
      <c r="E194" s="634"/>
      <c r="F194" s="637"/>
      <c r="G194" s="637"/>
      <c r="H194" s="637"/>
      <c r="I194" s="637"/>
      <c r="J194" s="637"/>
      <c r="K194" s="637"/>
      <c r="L194" s="637"/>
      <c r="N194" s="637"/>
      <c r="O194" s="637"/>
      <c r="P194" s="637"/>
    </row>
    <row r="195" spans="1:16" s="12" customFormat="1" ht="18" x14ac:dyDescent="0.2">
      <c r="A195" s="606"/>
      <c r="B195" s="666"/>
      <c r="C195" s="666"/>
      <c r="D195" s="666"/>
      <c r="E195" s="634"/>
      <c r="F195" s="637"/>
      <c r="G195" s="637"/>
      <c r="H195" s="637"/>
      <c r="I195" s="637"/>
      <c r="J195" s="637"/>
      <c r="K195" s="637"/>
      <c r="L195" s="637"/>
      <c r="N195" s="637"/>
      <c r="O195" s="637"/>
      <c r="P195" s="637"/>
    </row>
    <row r="196" spans="1:16" s="12" customFormat="1" ht="18" x14ac:dyDescent="0.2">
      <c r="A196" s="606"/>
      <c r="B196" s="666"/>
      <c r="C196" s="666"/>
      <c r="D196" s="666"/>
      <c r="E196" s="634"/>
      <c r="F196" s="637"/>
      <c r="G196" s="637"/>
      <c r="H196" s="637"/>
      <c r="I196" s="637"/>
      <c r="J196" s="637"/>
      <c r="K196" s="637"/>
      <c r="L196" s="637"/>
      <c r="N196" s="637"/>
      <c r="O196" s="637"/>
      <c r="P196" s="637"/>
    </row>
    <row r="197" spans="1:16" s="12" customFormat="1" ht="18" x14ac:dyDescent="0.2">
      <c r="A197" s="606"/>
      <c r="B197" s="666"/>
      <c r="C197" s="666"/>
      <c r="D197" s="666"/>
      <c r="E197" s="634"/>
      <c r="F197" s="637"/>
      <c r="G197" s="637"/>
      <c r="H197" s="637"/>
      <c r="I197" s="637"/>
      <c r="J197" s="637"/>
      <c r="K197" s="637"/>
      <c r="L197" s="637"/>
      <c r="N197" s="637"/>
      <c r="O197" s="637"/>
      <c r="P197" s="637"/>
    </row>
    <row r="198" spans="1:16" s="12" customFormat="1" ht="18" x14ac:dyDescent="0.2">
      <c r="A198" s="606"/>
      <c r="B198" s="666"/>
      <c r="C198" s="666"/>
      <c r="D198" s="666"/>
      <c r="E198" s="634"/>
      <c r="F198" s="637"/>
      <c r="G198" s="637"/>
      <c r="H198" s="637"/>
      <c r="I198" s="637"/>
      <c r="J198" s="637"/>
      <c r="K198" s="637"/>
      <c r="L198" s="637"/>
      <c r="N198" s="637"/>
      <c r="O198" s="637"/>
      <c r="P198" s="637"/>
    </row>
    <row r="199" spans="1:16" s="12" customFormat="1" ht="18" x14ac:dyDescent="0.2">
      <c r="A199" s="606"/>
      <c r="B199" s="666"/>
      <c r="C199" s="666"/>
      <c r="D199" s="666"/>
      <c r="E199" s="634"/>
      <c r="F199" s="637"/>
      <c r="G199" s="637"/>
      <c r="H199" s="637"/>
      <c r="I199" s="637"/>
      <c r="J199" s="637"/>
      <c r="K199" s="637"/>
      <c r="L199" s="637"/>
      <c r="N199" s="637"/>
      <c r="O199" s="637"/>
      <c r="P199" s="637"/>
    </row>
    <row r="200" spans="1:16" s="12" customFormat="1" ht="18" x14ac:dyDescent="0.2">
      <c r="A200" s="606"/>
      <c r="B200" s="666"/>
      <c r="C200" s="666"/>
      <c r="D200" s="666"/>
      <c r="E200" s="634"/>
      <c r="F200" s="637"/>
      <c r="G200" s="637"/>
      <c r="H200" s="637"/>
      <c r="I200" s="637"/>
      <c r="J200" s="637"/>
      <c r="K200" s="637"/>
      <c r="L200" s="637"/>
      <c r="N200" s="637"/>
      <c r="O200" s="637"/>
      <c r="P200" s="637"/>
    </row>
    <row r="201" spans="1:16" s="12" customFormat="1" ht="18" x14ac:dyDescent="0.2">
      <c r="A201" s="606"/>
      <c r="B201" s="666"/>
      <c r="C201" s="666"/>
      <c r="D201" s="666"/>
      <c r="E201" s="634"/>
      <c r="F201" s="637"/>
      <c r="G201" s="637"/>
      <c r="H201" s="637"/>
      <c r="I201" s="637"/>
      <c r="J201" s="637"/>
      <c r="K201" s="637"/>
      <c r="L201" s="637"/>
      <c r="N201" s="637"/>
      <c r="O201" s="637"/>
      <c r="P201" s="637"/>
    </row>
    <row r="202" spans="1:16" s="12" customFormat="1" ht="18" x14ac:dyDescent="0.2">
      <c r="A202" s="606"/>
      <c r="B202" s="666"/>
      <c r="C202" s="666"/>
      <c r="D202" s="666"/>
      <c r="E202" s="634"/>
      <c r="F202" s="637"/>
      <c r="G202" s="637"/>
      <c r="H202" s="637"/>
      <c r="I202" s="637"/>
      <c r="J202" s="637"/>
      <c r="K202" s="637"/>
      <c r="L202" s="637"/>
      <c r="N202" s="637"/>
      <c r="O202" s="637"/>
      <c r="P202" s="637"/>
    </row>
    <row r="203" spans="1:16" s="12" customFormat="1" ht="18" x14ac:dyDescent="0.2">
      <c r="A203" s="606"/>
      <c r="B203" s="666"/>
      <c r="C203" s="666"/>
      <c r="D203" s="666"/>
      <c r="E203" s="634"/>
      <c r="F203" s="637"/>
      <c r="G203" s="637"/>
      <c r="H203" s="637"/>
      <c r="I203" s="637"/>
      <c r="J203" s="637"/>
      <c r="K203" s="637"/>
      <c r="L203" s="637"/>
      <c r="N203" s="637"/>
      <c r="O203" s="637"/>
      <c r="P203" s="637"/>
    </row>
    <row r="204" spans="1:16" s="12" customFormat="1" ht="18" x14ac:dyDescent="0.2">
      <c r="A204" s="606"/>
      <c r="B204" s="666"/>
      <c r="C204" s="666"/>
      <c r="D204" s="666"/>
      <c r="E204" s="634"/>
      <c r="F204" s="637"/>
      <c r="G204" s="637"/>
      <c r="H204" s="637"/>
      <c r="I204" s="637"/>
      <c r="J204" s="637"/>
      <c r="K204" s="637"/>
      <c r="L204" s="637"/>
      <c r="N204" s="637"/>
      <c r="O204" s="637"/>
      <c r="P204" s="637"/>
    </row>
    <row r="205" spans="1:16" s="12" customFormat="1" ht="18" x14ac:dyDescent="0.2">
      <c r="A205" s="606"/>
      <c r="B205" s="666"/>
      <c r="C205" s="666"/>
      <c r="D205" s="666"/>
      <c r="E205" s="634"/>
      <c r="F205" s="637"/>
      <c r="G205" s="637"/>
      <c r="H205" s="637"/>
      <c r="I205" s="637"/>
      <c r="J205" s="637"/>
      <c r="K205" s="637"/>
      <c r="L205" s="637"/>
      <c r="N205" s="637"/>
      <c r="O205" s="637"/>
      <c r="P205" s="637"/>
    </row>
    <row r="206" spans="1:16" s="12" customFormat="1" ht="18" x14ac:dyDescent="0.2">
      <c r="A206" s="606"/>
      <c r="B206" s="666"/>
      <c r="C206" s="666"/>
      <c r="D206" s="666"/>
      <c r="E206" s="634"/>
      <c r="F206" s="637"/>
      <c r="G206" s="637"/>
      <c r="H206" s="637"/>
      <c r="I206" s="637"/>
      <c r="J206" s="637"/>
      <c r="K206" s="637"/>
      <c r="L206" s="637"/>
      <c r="N206" s="637"/>
      <c r="O206" s="637"/>
      <c r="P206" s="637"/>
    </row>
    <row r="207" spans="1:16" s="12" customFormat="1" ht="18" x14ac:dyDescent="0.2">
      <c r="A207" s="606"/>
      <c r="B207" s="666"/>
      <c r="C207" s="666"/>
      <c r="D207" s="666"/>
      <c r="E207" s="634"/>
      <c r="F207" s="637"/>
      <c r="G207" s="637"/>
      <c r="H207" s="637"/>
      <c r="I207" s="637"/>
      <c r="J207" s="637"/>
      <c r="K207" s="637"/>
      <c r="L207" s="637"/>
      <c r="N207" s="637"/>
      <c r="O207" s="637"/>
      <c r="P207" s="637"/>
    </row>
    <row r="208" spans="1:16" s="12" customFormat="1" ht="18" x14ac:dyDescent="0.2">
      <c r="A208" s="606"/>
      <c r="B208" s="666"/>
      <c r="C208" s="666"/>
      <c r="D208" s="666"/>
      <c r="E208" s="634"/>
      <c r="F208" s="637"/>
      <c r="G208" s="637"/>
      <c r="H208" s="637"/>
      <c r="I208" s="637"/>
      <c r="J208" s="637"/>
      <c r="K208" s="637"/>
      <c r="L208" s="637"/>
      <c r="N208" s="637"/>
      <c r="O208" s="637"/>
      <c r="P208" s="637"/>
    </row>
    <row r="209" spans="1:16" s="12" customFormat="1" ht="18" x14ac:dyDescent="0.2">
      <c r="A209" s="606"/>
      <c r="B209" s="666"/>
      <c r="C209" s="666"/>
      <c r="D209" s="666"/>
      <c r="E209" s="634"/>
      <c r="F209" s="637"/>
      <c r="G209" s="637"/>
      <c r="H209" s="637"/>
      <c r="I209" s="637"/>
      <c r="J209" s="637"/>
      <c r="K209" s="637"/>
      <c r="L209" s="637"/>
      <c r="N209" s="637"/>
      <c r="O209" s="637"/>
      <c r="P209" s="637"/>
    </row>
    <row r="210" spans="1:16" s="12" customFormat="1" ht="18" x14ac:dyDescent="0.2">
      <c r="A210" s="606"/>
      <c r="B210" s="666"/>
      <c r="C210" s="666"/>
      <c r="D210" s="666"/>
      <c r="E210" s="634"/>
      <c r="F210" s="637"/>
      <c r="G210" s="637"/>
      <c r="H210" s="637"/>
      <c r="I210" s="637"/>
      <c r="J210" s="637"/>
      <c r="K210" s="637"/>
      <c r="L210" s="637"/>
      <c r="N210" s="637"/>
      <c r="O210" s="637"/>
      <c r="P210" s="637"/>
    </row>
    <row r="211" spans="1:16" s="12" customFormat="1" ht="18" x14ac:dyDescent="0.2">
      <c r="A211" s="606"/>
      <c r="B211" s="666"/>
      <c r="C211" s="666"/>
      <c r="D211" s="666"/>
      <c r="E211" s="634"/>
      <c r="F211" s="637"/>
      <c r="G211" s="637"/>
      <c r="H211" s="637"/>
      <c r="I211" s="637"/>
      <c r="J211" s="637"/>
      <c r="K211" s="637"/>
      <c r="L211" s="637"/>
      <c r="N211" s="637"/>
      <c r="O211" s="637"/>
      <c r="P211" s="637"/>
    </row>
    <row r="212" spans="1:16" s="12" customFormat="1" ht="18" x14ac:dyDescent="0.2">
      <c r="A212" s="606"/>
      <c r="B212" s="666"/>
      <c r="C212" s="666"/>
      <c r="D212" s="666"/>
      <c r="E212" s="634"/>
      <c r="F212" s="637"/>
      <c r="G212" s="637"/>
      <c r="H212" s="637"/>
      <c r="I212" s="637"/>
      <c r="J212" s="637"/>
      <c r="K212" s="637"/>
      <c r="L212" s="637"/>
      <c r="N212" s="637"/>
      <c r="O212" s="637"/>
      <c r="P212" s="637"/>
    </row>
    <row r="213" spans="1:16" s="12" customFormat="1" ht="18" x14ac:dyDescent="0.2">
      <c r="A213" s="606"/>
      <c r="B213" s="666"/>
      <c r="C213" s="666"/>
      <c r="D213" s="666"/>
      <c r="E213" s="634"/>
      <c r="F213" s="637"/>
      <c r="G213" s="637"/>
      <c r="H213" s="637"/>
      <c r="I213" s="637"/>
      <c r="J213" s="637"/>
      <c r="K213" s="637"/>
      <c r="L213" s="637"/>
      <c r="N213" s="637"/>
      <c r="O213" s="637"/>
      <c r="P213" s="637"/>
    </row>
    <row r="214" spans="1:16" s="12" customFormat="1" ht="18" x14ac:dyDescent="0.2">
      <c r="A214" s="606"/>
      <c r="B214" s="666"/>
      <c r="C214" s="666"/>
      <c r="D214" s="666"/>
      <c r="E214" s="634"/>
      <c r="F214" s="637"/>
      <c r="G214" s="637"/>
      <c r="H214" s="637"/>
      <c r="I214" s="637"/>
      <c r="J214" s="637"/>
      <c r="K214" s="637"/>
      <c r="L214" s="637"/>
      <c r="N214" s="637"/>
      <c r="O214" s="637"/>
      <c r="P214" s="637"/>
    </row>
    <row r="215" spans="1:16" s="12" customFormat="1" ht="18" x14ac:dyDescent="0.2">
      <c r="A215" s="606"/>
      <c r="B215" s="666"/>
      <c r="C215" s="666"/>
      <c r="D215" s="666"/>
      <c r="E215" s="634"/>
      <c r="F215" s="637"/>
      <c r="G215" s="637"/>
      <c r="H215" s="637"/>
      <c r="I215" s="637"/>
      <c r="J215" s="637"/>
      <c r="K215" s="637"/>
      <c r="L215" s="637"/>
      <c r="N215" s="637"/>
      <c r="O215" s="637"/>
      <c r="P215" s="637"/>
    </row>
    <row r="216" spans="1:16" s="12" customFormat="1" ht="18" x14ac:dyDescent="0.2">
      <c r="A216" s="606"/>
      <c r="B216" s="666"/>
      <c r="C216" s="666"/>
      <c r="D216" s="666"/>
      <c r="E216" s="634"/>
      <c r="F216" s="637"/>
      <c r="G216" s="637"/>
      <c r="H216" s="637"/>
      <c r="I216" s="637"/>
      <c r="J216" s="637"/>
      <c r="K216" s="637"/>
      <c r="L216" s="637"/>
      <c r="N216" s="637"/>
      <c r="O216" s="637"/>
      <c r="P216" s="637"/>
    </row>
    <row r="217" spans="1:16" s="12" customFormat="1" ht="18" x14ac:dyDescent="0.2">
      <c r="A217" s="606"/>
      <c r="B217" s="666"/>
      <c r="C217" s="666"/>
      <c r="D217" s="666"/>
      <c r="E217" s="634"/>
      <c r="F217" s="637"/>
      <c r="G217" s="637"/>
      <c r="H217" s="637"/>
      <c r="I217" s="637"/>
      <c r="J217" s="637"/>
      <c r="K217" s="637"/>
      <c r="L217" s="637"/>
      <c r="N217" s="637"/>
      <c r="O217" s="637"/>
      <c r="P217" s="637"/>
    </row>
    <row r="218" spans="1:16" s="12" customFormat="1" ht="18" x14ac:dyDescent="0.2">
      <c r="A218" s="606"/>
      <c r="B218" s="666"/>
      <c r="C218" s="666"/>
      <c r="D218" s="666"/>
      <c r="E218" s="634"/>
      <c r="F218" s="637"/>
      <c r="G218" s="637"/>
      <c r="H218" s="637"/>
      <c r="I218" s="637"/>
      <c r="J218" s="637"/>
      <c r="K218" s="637"/>
      <c r="L218" s="637"/>
      <c r="N218" s="637"/>
      <c r="O218" s="637"/>
      <c r="P218" s="637"/>
    </row>
    <row r="219" spans="1:16" s="12" customFormat="1" ht="18" x14ac:dyDescent="0.2">
      <c r="A219" s="606"/>
      <c r="B219" s="666"/>
      <c r="C219" s="666"/>
      <c r="D219" s="666"/>
      <c r="E219" s="634"/>
      <c r="F219" s="637"/>
      <c r="G219" s="637"/>
      <c r="H219" s="637"/>
      <c r="I219" s="637"/>
      <c r="J219" s="637"/>
      <c r="K219" s="637"/>
      <c r="L219" s="637"/>
      <c r="N219" s="637"/>
      <c r="O219" s="637"/>
      <c r="P219" s="637"/>
    </row>
    <row r="220" spans="1:16" s="12" customFormat="1" ht="18" x14ac:dyDescent="0.2">
      <c r="A220" s="606"/>
      <c r="B220" s="666"/>
      <c r="C220" s="666"/>
      <c r="D220" s="666"/>
      <c r="E220" s="634"/>
      <c r="F220" s="637"/>
      <c r="G220" s="637"/>
      <c r="H220" s="637"/>
      <c r="I220" s="637"/>
      <c r="J220" s="637"/>
      <c r="K220" s="637"/>
      <c r="L220" s="637"/>
      <c r="N220" s="637"/>
      <c r="O220" s="637"/>
      <c r="P220" s="637"/>
    </row>
    <row r="221" spans="1:16" s="12" customFormat="1" ht="18" x14ac:dyDescent="0.2">
      <c r="A221" s="606"/>
      <c r="B221" s="666"/>
      <c r="C221" s="666"/>
      <c r="D221" s="666"/>
      <c r="E221" s="634"/>
      <c r="F221" s="637"/>
      <c r="G221" s="637"/>
      <c r="H221" s="637"/>
      <c r="I221" s="637"/>
      <c r="J221" s="637"/>
      <c r="K221" s="637"/>
      <c r="L221" s="637"/>
      <c r="N221" s="637"/>
      <c r="O221" s="637"/>
      <c r="P221" s="637"/>
    </row>
    <row r="222" spans="1:16" s="12" customFormat="1" ht="18" x14ac:dyDescent="0.2">
      <c r="A222" s="606"/>
      <c r="B222" s="666"/>
      <c r="C222" s="666"/>
      <c r="D222" s="666"/>
      <c r="E222" s="634"/>
      <c r="F222" s="637"/>
      <c r="G222" s="637"/>
      <c r="H222" s="637"/>
      <c r="I222" s="637"/>
      <c r="J222" s="637"/>
      <c r="K222" s="637"/>
      <c r="L222" s="637"/>
      <c r="N222" s="637"/>
      <c r="O222" s="637"/>
      <c r="P222" s="637"/>
    </row>
    <row r="223" spans="1:16" s="12" customFormat="1" ht="18" x14ac:dyDescent="0.2">
      <c r="A223" s="606"/>
      <c r="B223" s="666"/>
      <c r="C223" s="666"/>
      <c r="D223" s="666"/>
      <c r="E223" s="634"/>
      <c r="F223" s="637"/>
      <c r="G223" s="637"/>
      <c r="H223" s="637"/>
      <c r="I223" s="637"/>
      <c r="J223" s="637"/>
      <c r="K223" s="637"/>
      <c r="L223" s="637"/>
      <c r="N223" s="637"/>
      <c r="O223" s="637"/>
      <c r="P223" s="637"/>
    </row>
    <row r="224" spans="1:16" s="12" customFormat="1" ht="18" x14ac:dyDescent="0.2">
      <c r="A224" s="606"/>
      <c r="B224" s="666"/>
      <c r="C224" s="666"/>
      <c r="D224" s="666"/>
      <c r="E224" s="634"/>
      <c r="F224" s="637"/>
      <c r="G224" s="637"/>
      <c r="H224" s="637"/>
      <c r="I224" s="637"/>
      <c r="J224" s="637"/>
      <c r="K224" s="637"/>
      <c r="L224" s="637"/>
      <c r="N224" s="637"/>
      <c r="O224" s="637"/>
      <c r="P224" s="637"/>
    </row>
    <row r="225" spans="1:16" s="12" customFormat="1" ht="18" x14ac:dyDescent="0.2">
      <c r="A225" s="606"/>
      <c r="B225" s="666"/>
      <c r="C225" s="666"/>
      <c r="D225" s="666"/>
      <c r="E225" s="634"/>
      <c r="F225" s="637"/>
      <c r="G225" s="637"/>
      <c r="H225" s="637"/>
      <c r="I225" s="637"/>
      <c r="J225" s="637"/>
      <c r="K225" s="637"/>
      <c r="L225" s="637"/>
      <c r="N225" s="637"/>
      <c r="O225" s="637"/>
      <c r="P225" s="637"/>
    </row>
    <row r="226" spans="1:16" s="12" customFormat="1" ht="18" x14ac:dyDescent="0.2">
      <c r="A226" s="606"/>
      <c r="B226" s="666"/>
      <c r="C226" s="666"/>
      <c r="D226" s="666"/>
      <c r="E226" s="634"/>
      <c r="F226" s="637"/>
      <c r="G226" s="637"/>
      <c r="H226" s="637"/>
      <c r="I226" s="637"/>
      <c r="J226" s="637"/>
      <c r="K226" s="637"/>
      <c r="L226" s="637"/>
      <c r="N226" s="637"/>
      <c r="O226" s="637"/>
      <c r="P226" s="637"/>
    </row>
    <row r="227" spans="1:16" s="12" customFormat="1" ht="18" x14ac:dyDescent="0.2">
      <c r="A227" s="606"/>
      <c r="B227" s="666"/>
      <c r="C227" s="666"/>
      <c r="D227" s="666"/>
      <c r="E227" s="634"/>
      <c r="F227" s="637"/>
      <c r="G227" s="637"/>
      <c r="H227" s="637"/>
      <c r="I227" s="637"/>
      <c r="J227" s="637"/>
      <c r="K227" s="637"/>
      <c r="L227" s="637"/>
      <c r="N227" s="637"/>
      <c r="O227" s="637"/>
      <c r="P227" s="637"/>
    </row>
    <row r="228" spans="1:16" s="12" customFormat="1" ht="18" x14ac:dyDescent="0.2">
      <c r="A228" s="606"/>
      <c r="B228" s="666"/>
      <c r="C228" s="666"/>
      <c r="D228" s="666"/>
      <c r="E228" s="634"/>
      <c r="F228" s="637"/>
      <c r="G228" s="637"/>
      <c r="H228" s="637"/>
      <c r="I228" s="637"/>
      <c r="J228" s="637"/>
      <c r="K228" s="637"/>
      <c r="L228" s="637"/>
      <c r="N228" s="637"/>
      <c r="O228" s="637"/>
      <c r="P228" s="637"/>
    </row>
    <row r="229" spans="1:16" s="12" customFormat="1" ht="18" x14ac:dyDescent="0.2">
      <c r="A229" s="606"/>
      <c r="B229" s="666"/>
      <c r="C229" s="666"/>
      <c r="D229" s="666"/>
      <c r="E229" s="634"/>
      <c r="F229" s="637"/>
      <c r="G229" s="637"/>
      <c r="H229" s="637"/>
      <c r="I229" s="637"/>
      <c r="J229" s="637"/>
      <c r="K229" s="637"/>
      <c r="L229" s="637"/>
      <c r="N229" s="637"/>
      <c r="O229" s="637"/>
      <c r="P229" s="637"/>
    </row>
    <row r="230" spans="1:16" s="12" customFormat="1" ht="18" x14ac:dyDescent="0.2">
      <c r="A230" s="606"/>
      <c r="B230" s="666"/>
      <c r="C230" s="666"/>
      <c r="D230" s="666"/>
      <c r="E230" s="634"/>
      <c r="F230" s="637"/>
      <c r="G230" s="637"/>
      <c r="H230" s="637"/>
      <c r="I230" s="637"/>
      <c r="J230" s="637"/>
      <c r="K230" s="637"/>
      <c r="L230" s="637"/>
      <c r="N230" s="637"/>
      <c r="O230" s="637"/>
      <c r="P230" s="637"/>
    </row>
    <row r="231" spans="1:16" s="12" customFormat="1" ht="18" x14ac:dyDescent="0.2">
      <c r="A231" s="606"/>
      <c r="B231" s="666"/>
      <c r="C231" s="666"/>
      <c r="D231" s="666"/>
      <c r="E231" s="634"/>
      <c r="F231" s="637"/>
      <c r="G231" s="637"/>
      <c r="H231" s="637"/>
      <c r="I231" s="637"/>
      <c r="J231" s="637"/>
      <c r="K231" s="637"/>
      <c r="L231" s="637"/>
      <c r="N231" s="637"/>
      <c r="O231" s="637"/>
      <c r="P231" s="637"/>
    </row>
    <row r="232" spans="1:16" s="12" customFormat="1" ht="18" x14ac:dyDescent="0.2">
      <c r="A232" s="606"/>
      <c r="B232" s="666"/>
      <c r="C232" s="666"/>
      <c r="D232" s="666"/>
      <c r="E232" s="634"/>
      <c r="F232" s="637"/>
      <c r="G232" s="637"/>
      <c r="H232" s="637"/>
      <c r="I232" s="637"/>
      <c r="J232" s="637"/>
      <c r="K232" s="637"/>
      <c r="L232" s="637"/>
      <c r="N232" s="637"/>
      <c r="O232" s="637"/>
      <c r="P232" s="637"/>
    </row>
    <row r="233" spans="1:16" s="12" customFormat="1" ht="18" x14ac:dyDescent="0.2">
      <c r="A233" s="606"/>
      <c r="B233" s="666"/>
      <c r="C233" s="666"/>
      <c r="D233" s="666"/>
      <c r="E233" s="634"/>
      <c r="F233" s="637"/>
      <c r="G233" s="637"/>
      <c r="H233" s="637"/>
      <c r="I233" s="637"/>
      <c r="J233" s="637"/>
      <c r="K233" s="637"/>
      <c r="L233" s="637"/>
      <c r="N233" s="637"/>
      <c r="O233" s="637"/>
      <c r="P233" s="637"/>
    </row>
    <row r="234" spans="1:16" s="12" customFormat="1" ht="18" x14ac:dyDescent="0.2">
      <c r="A234" s="606"/>
      <c r="B234" s="666"/>
      <c r="C234" s="666"/>
      <c r="D234" s="666"/>
      <c r="E234" s="634"/>
      <c r="F234" s="637"/>
      <c r="G234" s="637"/>
      <c r="H234" s="637"/>
      <c r="I234" s="637"/>
      <c r="J234" s="637"/>
      <c r="K234" s="637"/>
      <c r="L234" s="637"/>
      <c r="N234" s="637"/>
      <c r="O234" s="637"/>
      <c r="P234" s="637"/>
    </row>
    <row r="235" spans="1:16" s="12" customFormat="1" ht="18" x14ac:dyDescent="0.2">
      <c r="A235" s="606"/>
      <c r="B235" s="666"/>
      <c r="C235" s="666"/>
      <c r="D235" s="666"/>
      <c r="E235" s="634"/>
      <c r="F235" s="637"/>
      <c r="G235" s="637"/>
      <c r="H235" s="637"/>
      <c r="I235" s="637"/>
      <c r="J235" s="637"/>
      <c r="K235" s="637"/>
      <c r="L235" s="637"/>
      <c r="N235" s="637"/>
      <c r="O235" s="637"/>
      <c r="P235" s="637"/>
    </row>
    <row r="236" spans="1:16" s="12" customFormat="1" ht="18" x14ac:dyDescent="0.2">
      <c r="A236" s="606"/>
      <c r="B236" s="666"/>
      <c r="C236" s="666"/>
      <c r="D236" s="666"/>
      <c r="E236" s="634"/>
      <c r="F236" s="637"/>
      <c r="G236" s="637"/>
      <c r="H236" s="637"/>
      <c r="I236" s="637"/>
      <c r="J236" s="637"/>
      <c r="K236" s="637"/>
      <c r="L236" s="637"/>
      <c r="N236" s="637"/>
      <c r="O236" s="637"/>
      <c r="P236" s="637"/>
    </row>
    <row r="237" spans="1:16" s="12" customFormat="1" ht="18" x14ac:dyDescent="0.2">
      <c r="A237" s="606"/>
      <c r="B237" s="666"/>
      <c r="C237" s="666"/>
      <c r="D237" s="666"/>
      <c r="E237" s="634"/>
      <c r="F237" s="637"/>
      <c r="G237" s="637"/>
      <c r="H237" s="637"/>
      <c r="I237" s="637"/>
      <c r="J237" s="637"/>
      <c r="K237" s="637"/>
      <c r="L237" s="637"/>
      <c r="N237" s="637"/>
      <c r="O237" s="637"/>
      <c r="P237" s="637"/>
    </row>
    <row r="238" spans="1:16" s="12" customFormat="1" ht="18" x14ac:dyDescent="0.2">
      <c r="A238" s="606"/>
      <c r="B238" s="666"/>
      <c r="C238" s="666"/>
      <c r="D238" s="666"/>
      <c r="E238" s="634"/>
      <c r="F238" s="637"/>
      <c r="G238" s="637"/>
      <c r="H238" s="637"/>
      <c r="I238" s="637"/>
      <c r="J238" s="637"/>
      <c r="K238" s="637"/>
      <c r="L238" s="637"/>
      <c r="N238" s="637"/>
      <c r="O238" s="637"/>
      <c r="P238" s="637"/>
    </row>
    <row r="239" spans="1:16" s="12" customFormat="1" ht="18" x14ac:dyDescent="0.2">
      <c r="A239" s="606"/>
      <c r="B239" s="666"/>
      <c r="C239" s="666"/>
      <c r="D239" s="666"/>
      <c r="E239" s="634"/>
      <c r="F239" s="637"/>
      <c r="G239" s="637"/>
      <c r="H239" s="637"/>
      <c r="I239" s="637"/>
      <c r="J239" s="637"/>
      <c r="K239" s="637"/>
      <c r="L239" s="637"/>
      <c r="N239" s="637"/>
      <c r="O239" s="637"/>
      <c r="P239" s="637"/>
    </row>
    <row r="240" spans="1:16" s="12" customFormat="1" ht="18" x14ac:dyDescent="0.2">
      <c r="A240" s="606"/>
      <c r="B240" s="666"/>
      <c r="C240" s="666"/>
      <c r="D240" s="666"/>
      <c r="E240" s="634"/>
      <c r="F240" s="637"/>
      <c r="G240" s="637"/>
      <c r="H240" s="637"/>
      <c r="I240" s="637"/>
      <c r="J240" s="637"/>
      <c r="K240" s="637"/>
      <c r="L240" s="637"/>
      <c r="N240" s="637"/>
      <c r="O240" s="637"/>
      <c r="P240" s="637"/>
    </row>
    <row r="241" spans="1:16" s="12" customFormat="1" ht="18" x14ac:dyDescent="0.2">
      <c r="A241" s="606"/>
      <c r="B241" s="666"/>
      <c r="C241" s="666"/>
      <c r="D241" s="666"/>
      <c r="E241" s="634"/>
      <c r="F241" s="637"/>
      <c r="G241" s="637"/>
      <c r="H241" s="637"/>
      <c r="I241" s="637"/>
      <c r="J241" s="637"/>
      <c r="K241" s="637"/>
      <c r="L241" s="637"/>
      <c r="N241" s="637"/>
      <c r="O241" s="637"/>
      <c r="P241" s="637"/>
    </row>
    <row r="242" spans="1:16" s="12" customFormat="1" ht="18" x14ac:dyDescent="0.2">
      <c r="A242" s="606"/>
      <c r="B242" s="666"/>
      <c r="C242" s="666"/>
      <c r="D242" s="666"/>
      <c r="E242" s="634"/>
      <c r="F242" s="637"/>
      <c r="G242" s="637"/>
      <c r="H242" s="637"/>
      <c r="I242" s="637"/>
      <c r="J242" s="637"/>
      <c r="K242" s="637"/>
      <c r="L242" s="637"/>
      <c r="N242" s="637"/>
      <c r="O242" s="637"/>
      <c r="P242" s="637"/>
    </row>
    <row r="243" spans="1:16" s="12" customFormat="1" ht="18" x14ac:dyDescent="0.2">
      <c r="A243" s="606"/>
      <c r="B243" s="666"/>
      <c r="C243" s="666"/>
      <c r="D243" s="666"/>
      <c r="E243" s="634"/>
      <c r="F243" s="637"/>
      <c r="G243" s="637"/>
      <c r="H243" s="637"/>
      <c r="I243" s="637"/>
      <c r="J243" s="637"/>
      <c r="K243" s="637"/>
      <c r="L243" s="637"/>
      <c r="N243" s="637"/>
      <c r="O243" s="637"/>
      <c r="P243" s="637"/>
    </row>
    <row r="244" spans="1:16" s="12" customFormat="1" ht="18" x14ac:dyDescent="0.2">
      <c r="A244" s="606"/>
      <c r="B244" s="666"/>
      <c r="C244" s="666"/>
      <c r="D244" s="666"/>
      <c r="E244" s="634"/>
      <c r="F244" s="637"/>
      <c r="G244" s="637"/>
      <c r="H244" s="637"/>
      <c r="I244" s="637"/>
      <c r="J244" s="637"/>
      <c r="K244" s="637"/>
      <c r="L244" s="637"/>
      <c r="N244" s="637"/>
      <c r="O244" s="637"/>
      <c r="P244" s="637"/>
    </row>
    <row r="245" spans="1:16" s="12" customFormat="1" ht="18" x14ac:dyDescent="0.2">
      <c r="A245" s="606"/>
      <c r="B245" s="666"/>
      <c r="C245" s="666"/>
      <c r="D245" s="666"/>
      <c r="E245" s="634"/>
      <c r="F245" s="637"/>
      <c r="G245" s="637"/>
      <c r="H245" s="637"/>
      <c r="I245" s="637"/>
      <c r="J245" s="637"/>
      <c r="K245" s="637"/>
      <c r="L245" s="637"/>
      <c r="N245" s="637"/>
      <c r="O245" s="637"/>
      <c r="P245" s="637"/>
    </row>
    <row r="246" spans="1:16" s="12" customFormat="1" ht="18" x14ac:dyDescent="0.2">
      <c r="A246" s="606"/>
      <c r="B246" s="666"/>
      <c r="C246" s="666"/>
      <c r="D246" s="666"/>
      <c r="E246" s="634"/>
      <c r="F246" s="637"/>
      <c r="G246" s="637"/>
      <c r="H246" s="637"/>
      <c r="I246" s="637"/>
      <c r="J246" s="637"/>
      <c r="K246" s="637"/>
      <c r="L246" s="637"/>
      <c r="N246" s="637"/>
      <c r="O246" s="637"/>
      <c r="P246" s="637"/>
    </row>
    <row r="247" spans="1:16" s="12" customFormat="1" ht="18" x14ac:dyDescent="0.2">
      <c r="A247" s="606"/>
      <c r="B247" s="666"/>
      <c r="C247" s="666"/>
      <c r="D247" s="666"/>
      <c r="E247" s="634"/>
      <c r="F247" s="637"/>
      <c r="G247" s="637"/>
      <c r="H247" s="637"/>
      <c r="I247" s="637"/>
      <c r="J247" s="637"/>
      <c r="K247" s="637"/>
      <c r="L247" s="637"/>
      <c r="N247" s="637"/>
      <c r="O247" s="637"/>
      <c r="P247" s="637"/>
    </row>
    <row r="248" spans="1:16" s="12" customFormat="1" ht="18" x14ac:dyDescent="0.2">
      <c r="A248" s="606"/>
      <c r="B248" s="666"/>
      <c r="C248" s="666"/>
      <c r="D248" s="666"/>
      <c r="E248" s="634"/>
      <c r="F248" s="637"/>
      <c r="G248" s="637"/>
      <c r="H248" s="637"/>
      <c r="I248" s="637"/>
      <c r="J248" s="637"/>
      <c r="K248" s="637"/>
      <c r="L248" s="637"/>
      <c r="N248" s="637"/>
      <c r="O248" s="637"/>
      <c r="P248" s="637"/>
    </row>
    <row r="249" spans="1:16" s="12" customFormat="1" ht="18" x14ac:dyDescent="0.2">
      <c r="A249" s="606"/>
      <c r="B249" s="666"/>
      <c r="C249" s="666"/>
      <c r="D249" s="666"/>
      <c r="E249" s="634"/>
      <c r="F249" s="637"/>
      <c r="G249" s="637"/>
      <c r="H249" s="637"/>
      <c r="I249" s="637"/>
      <c r="J249" s="637"/>
      <c r="K249" s="637"/>
      <c r="L249" s="637"/>
      <c r="N249" s="637"/>
      <c r="O249" s="637"/>
      <c r="P249" s="637"/>
    </row>
    <row r="250" spans="1:16" s="12" customFormat="1" ht="18" x14ac:dyDescent="0.2">
      <c r="A250" s="606"/>
      <c r="B250" s="666"/>
      <c r="C250" s="666"/>
      <c r="D250" s="666"/>
      <c r="E250" s="634"/>
      <c r="F250" s="637"/>
      <c r="G250" s="637"/>
      <c r="H250" s="637"/>
      <c r="I250" s="637"/>
      <c r="J250" s="637"/>
      <c r="K250" s="637"/>
      <c r="L250" s="637"/>
      <c r="N250" s="637"/>
      <c r="O250" s="637"/>
      <c r="P250" s="637"/>
    </row>
    <row r="251" spans="1:16" s="12" customFormat="1" ht="18" x14ac:dyDescent="0.2">
      <c r="A251" s="606"/>
      <c r="B251" s="666"/>
      <c r="C251" s="666"/>
      <c r="D251" s="666"/>
      <c r="E251" s="634"/>
      <c r="F251" s="637"/>
      <c r="G251" s="637"/>
      <c r="H251" s="637"/>
      <c r="I251" s="637"/>
      <c r="J251" s="637"/>
      <c r="K251" s="637"/>
      <c r="L251" s="637"/>
      <c r="N251" s="637"/>
      <c r="O251" s="637"/>
      <c r="P251" s="637"/>
    </row>
    <row r="252" spans="1:16" s="12" customFormat="1" ht="18" x14ac:dyDescent="0.2">
      <c r="A252" s="606"/>
      <c r="B252" s="666"/>
      <c r="C252" s="666"/>
      <c r="D252" s="666"/>
      <c r="E252" s="634"/>
      <c r="F252" s="637"/>
      <c r="G252" s="637"/>
      <c r="H252" s="637"/>
      <c r="I252" s="637"/>
      <c r="J252" s="637"/>
      <c r="K252" s="637"/>
      <c r="L252" s="637"/>
      <c r="N252" s="637"/>
      <c r="O252" s="637"/>
      <c r="P252" s="637"/>
    </row>
    <row r="253" spans="1:16" s="12" customFormat="1" ht="18" x14ac:dyDescent="0.2">
      <c r="A253" s="606"/>
      <c r="B253" s="666"/>
      <c r="C253" s="666"/>
      <c r="D253" s="666"/>
      <c r="E253" s="634"/>
      <c r="F253" s="637"/>
      <c r="G253" s="637"/>
      <c r="H253" s="637"/>
      <c r="I253" s="637"/>
      <c r="J253" s="637"/>
      <c r="K253" s="637"/>
      <c r="L253" s="637"/>
      <c r="N253" s="637"/>
      <c r="O253" s="637"/>
      <c r="P253" s="637"/>
    </row>
    <row r="254" spans="1:16" s="12" customFormat="1" ht="18" x14ac:dyDescent="0.2">
      <c r="A254" s="606"/>
      <c r="B254" s="666"/>
      <c r="C254" s="666"/>
      <c r="D254" s="666"/>
      <c r="E254" s="634"/>
      <c r="F254" s="637"/>
      <c r="G254" s="637"/>
      <c r="H254" s="637"/>
      <c r="I254" s="637"/>
      <c r="J254" s="637"/>
      <c r="K254" s="637"/>
      <c r="L254" s="637"/>
      <c r="N254" s="637"/>
      <c r="O254" s="637"/>
      <c r="P254" s="637"/>
    </row>
    <row r="255" spans="1:16" s="12" customFormat="1" ht="18" x14ac:dyDescent="0.2">
      <c r="A255" s="606"/>
      <c r="B255" s="666"/>
      <c r="C255" s="666"/>
      <c r="D255" s="666"/>
      <c r="E255" s="634"/>
      <c r="F255" s="637"/>
      <c r="G255" s="637"/>
      <c r="H255" s="637"/>
      <c r="I255" s="637"/>
      <c r="J255" s="637"/>
      <c r="K255" s="637"/>
      <c r="L255" s="637"/>
      <c r="N255" s="637"/>
      <c r="O255" s="637"/>
      <c r="P255" s="637"/>
    </row>
    <row r="256" spans="1:16" s="12" customFormat="1" ht="18" x14ac:dyDescent="0.2">
      <c r="A256" s="606"/>
      <c r="B256" s="666"/>
      <c r="C256" s="666"/>
      <c r="D256" s="666"/>
      <c r="E256" s="634"/>
      <c r="F256" s="637"/>
      <c r="G256" s="637"/>
      <c r="H256" s="637"/>
      <c r="I256" s="637"/>
      <c r="J256" s="637"/>
      <c r="K256" s="637"/>
      <c r="L256" s="637"/>
      <c r="N256" s="637"/>
      <c r="O256" s="637"/>
      <c r="P256" s="637"/>
    </row>
    <row r="257" spans="1:16" s="12" customFormat="1" ht="18" x14ac:dyDescent="0.2">
      <c r="A257" s="606"/>
      <c r="B257" s="666"/>
      <c r="C257" s="666"/>
      <c r="D257" s="666"/>
      <c r="E257" s="634"/>
      <c r="F257" s="637"/>
      <c r="G257" s="637"/>
      <c r="H257" s="637"/>
      <c r="I257" s="637"/>
      <c r="J257" s="637"/>
      <c r="K257" s="637"/>
      <c r="L257" s="637"/>
      <c r="N257" s="637"/>
      <c r="O257" s="637"/>
      <c r="P257" s="637"/>
    </row>
    <row r="258" spans="1:16" s="12" customFormat="1" ht="18" x14ac:dyDescent="0.2">
      <c r="A258" s="606"/>
      <c r="B258" s="666"/>
      <c r="C258" s="666"/>
      <c r="D258" s="666"/>
      <c r="E258" s="634"/>
      <c r="F258" s="637"/>
      <c r="G258" s="637"/>
      <c r="H258" s="637"/>
      <c r="I258" s="637"/>
      <c r="J258" s="637"/>
      <c r="K258" s="637"/>
      <c r="L258" s="637"/>
      <c r="N258" s="637"/>
      <c r="O258" s="637"/>
      <c r="P258" s="637"/>
    </row>
    <row r="259" spans="1:16" s="12" customFormat="1" ht="18" x14ac:dyDescent="0.2">
      <c r="A259" s="606"/>
      <c r="B259" s="666"/>
      <c r="C259" s="666"/>
      <c r="D259" s="666"/>
      <c r="E259" s="634"/>
      <c r="F259" s="637"/>
      <c r="G259" s="637"/>
      <c r="H259" s="637"/>
      <c r="I259" s="637"/>
      <c r="J259" s="637"/>
      <c r="K259" s="637"/>
      <c r="L259" s="637"/>
      <c r="N259" s="637"/>
      <c r="O259" s="637"/>
      <c r="P259" s="637"/>
    </row>
    <row r="260" spans="1:16" s="12" customFormat="1" ht="18" x14ac:dyDescent="0.2">
      <c r="A260" s="606"/>
      <c r="B260" s="666"/>
      <c r="C260" s="666"/>
      <c r="D260" s="666"/>
      <c r="E260" s="634"/>
      <c r="F260" s="637"/>
      <c r="G260" s="637"/>
      <c r="H260" s="637"/>
      <c r="I260" s="637"/>
      <c r="J260" s="637"/>
      <c r="K260" s="637"/>
      <c r="L260" s="637"/>
      <c r="N260" s="637"/>
      <c r="O260" s="637"/>
      <c r="P260" s="637"/>
    </row>
    <row r="261" spans="1:16" s="12" customFormat="1" ht="18" x14ac:dyDescent="0.2">
      <c r="A261" s="606"/>
      <c r="B261" s="666"/>
      <c r="C261" s="666"/>
      <c r="D261" s="666"/>
      <c r="E261" s="634"/>
      <c r="F261" s="637"/>
      <c r="G261" s="637"/>
      <c r="H261" s="637"/>
      <c r="I261" s="637"/>
      <c r="J261" s="637"/>
      <c r="K261" s="637"/>
      <c r="L261" s="637"/>
      <c r="N261" s="637"/>
      <c r="O261" s="637"/>
      <c r="P261" s="637"/>
    </row>
    <row r="262" spans="1:16" s="12" customFormat="1" ht="18" x14ac:dyDescent="0.2">
      <c r="A262" s="606"/>
      <c r="B262" s="666"/>
      <c r="C262" s="666"/>
      <c r="D262" s="666"/>
      <c r="E262" s="634"/>
      <c r="F262" s="637"/>
      <c r="G262" s="637"/>
      <c r="H262" s="637"/>
      <c r="I262" s="637"/>
      <c r="J262" s="637"/>
      <c r="K262" s="637"/>
      <c r="L262" s="637"/>
      <c r="N262" s="637"/>
      <c r="O262" s="637"/>
      <c r="P262" s="637"/>
    </row>
    <row r="263" spans="1:16" s="12" customFormat="1" ht="18" x14ac:dyDescent="0.2">
      <c r="A263" s="606"/>
      <c r="B263" s="666"/>
      <c r="C263" s="666"/>
      <c r="D263" s="666"/>
      <c r="E263" s="634"/>
      <c r="F263" s="637"/>
      <c r="G263" s="637"/>
      <c r="H263" s="637"/>
      <c r="I263" s="637"/>
      <c r="J263" s="637"/>
      <c r="K263" s="637"/>
      <c r="L263" s="637"/>
      <c r="N263" s="637"/>
      <c r="O263" s="637"/>
      <c r="P263" s="637"/>
    </row>
    <row r="264" spans="1:16" s="12" customFormat="1" ht="18" x14ac:dyDescent="0.2">
      <c r="A264" s="606"/>
      <c r="B264" s="666"/>
      <c r="C264" s="666"/>
      <c r="D264" s="666"/>
      <c r="E264" s="634"/>
      <c r="F264" s="637"/>
      <c r="G264" s="637"/>
      <c r="H264" s="637"/>
      <c r="I264" s="637"/>
      <c r="J264" s="637"/>
      <c r="K264" s="637"/>
      <c r="L264" s="637"/>
      <c r="N264" s="637"/>
      <c r="O264" s="637"/>
      <c r="P264" s="637"/>
    </row>
    <row r="265" spans="1:16" s="12" customFormat="1" ht="18" x14ac:dyDescent="0.2">
      <c r="A265" s="606"/>
      <c r="B265" s="666"/>
      <c r="C265" s="666"/>
      <c r="D265" s="666"/>
      <c r="E265" s="634"/>
      <c r="F265" s="637"/>
      <c r="G265" s="637"/>
      <c r="H265" s="637"/>
      <c r="I265" s="637"/>
      <c r="J265" s="637"/>
      <c r="K265" s="637"/>
      <c r="L265" s="637"/>
      <c r="N265" s="637"/>
      <c r="O265" s="637"/>
      <c r="P265" s="637"/>
    </row>
    <row r="266" spans="1:16" s="12" customFormat="1" ht="18" x14ac:dyDescent="0.2">
      <c r="A266" s="606"/>
      <c r="B266" s="666"/>
      <c r="C266" s="666"/>
      <c r="D266" s="666"/>
      <c r="E266" s="634"/>
      <c r="F266" s="637"/>
      <c r="G266" s="637"/>
      <c r="H266" s="637"/>
      <c r="I266" s="637"/>
      <c r="J266" s="637"/>
      <c r="K266" s="637"/>
      <c r="L266" s="637"/>
      <c r="N266" s="637"/>
      <c r="O266" s="637"/>
      <c r="P266" s="637"/>
    </row>
    <row r="267" spans="1:16" s="12" customFormat="1" ht="18" x14ac:dyDescent="0.2">
      <c r="A267" s="606"/>
      <c r="B267" s="666"/>
      <c r="C267" s="666"/>
      <c r="D267" s="666"/>
      <c r="E267" s="634"/>
      <c r="F267" s="637"/>
      <c r="G267" s="637"/>
      <c r="H267" s="637"/>
      <c r="I267" s="637"/>
      <c r="J267" s="637"/>
      <c r="K267" s="637"/>
      <c r="L267" s="637"/>
      <c r="N267" s="637"/>
      <c r="O267" s="637"/>
      <c r="P267" s="637"/>
    </row>
    <row r="268" spans="1:16" s="12" customFormat="1" ht="18" x14ac:dyDescent="0.2">
      <c r="A268" s="606"/>
      <c r="B268" s="666"/>
      <c r="C268" s="666"/>
      <c r="D268" s="666"/>
      <c r="E268" s="634"/>
      <c r="F268" s="637"/>
      <c r="G268" s="637"/>
      <c r="H268" s="637"/>
      <c r="I268" s="637"/>
      <c r="J268" s="637"/>
      <c r="K268" s="637"/>
      <c r="L268" s="637"/>
      <c r="N268" s="637"/>
      <c r="O268" s="637"/>
      <c r="P268" s="637"/>
    </row>
    <row r="269" spans="1:16" s="12" customFormat="1" ht="18" x14ac:dyDescent="0.2">
      <c r="A269" s="606"/>
      <c r="B269" s="666"/>
      <c r="C269" s="666"/>
      <c r="D269" s="666"/>
      <c r="E269" s="634"/>
      <c r="F269" s="637"/>
      <c r="G269" s="637"/>
      <c r="H269" s="637"/>
      <c r="I269" s="637"/>
      <c r="J269" s="637"/>
      <c r="K269" s="637"/>
      <c r="L269" s="637"/>
      <c r="N269" s="637"/>
      <c r="O269" s="637"/>
      <c r="P269" s="637"/>
    </row>
    <row r="270" spans="1:16" s="12" customFormat="1" ht="18" x14ac:dyDescent="0.2">
      <c r="A270" s="606"/>
      <c r="B270" s="666"/>
      <c r="C270" s="666"/>
      <c r="D270" s="666"/>
      <c r="E270" s="634"/>
      <c r="F270" s="637"/>
      <c r="G270" s="637"/>
      <c r="H270" s="637"/>
      <c r="I270" s="637"/>
      <c r="J270" s="637"/>
      <c r="K270" s="637"/>
      <c r="L270" s="637"/>
      <c r="N270" s="637"/>
      <c r="O270" s="637"/>
      <c r="P270" s="637"/>
    </row>
    <row r="271" spans="1:16" s="12" customFormat="1" ht="18" x14ac:dyDescent="0.2">
      <c r="A271" s="606"/>
      <c r="B271" s="666"/>
      <c r="C271" s="666"/>
      <c r="D271" s="666"/>
      <c r="E271" s="634"/>
      <c r="F271" s="637"/>
      <c r="G271" s="637"/>
      <c r="H271" s="637"/>
      <c r="I271" s="637"/>
      <c r="J271" s="637"/>
      <c r="K271" s="637"/>
      <c r="L271" s="637"/>
      <c r="N271" s="637"/>
      <c r="O271" s="637"/>
      <c r="P271" s="637"/>
    </row>
    <row r="272" spans="1:16" s="12" customFormat="1" ht="18" x14ac:dyDescent="0.2">
      <c r="A272" s="606"/>
      <c r="B272" s="666"/>
      <c r="C272" s="666"/>
      <c r="D272" s="666"/>
      <c r="E272" s="634"/>
      <c r="F272" s="637"/>
      <c r="G272" s="637"/>
      <c r="H272" s="637"/>
      <c r="I272" s="637"/>
      <c r="J272" s="637"/>
      <c r="K272" s="637"/>
      <c r="L272" s="637"/>
      <c r="N272" s="637"/>
      <c r="O272" s="637"/>
      <c r="P272" s="637"/>
    </row>
    <row r="273" spans="1:16" s="12" customFormat="1" ht="18" x14ac:dyDescent="0.2">
      <c r="A273" s="606"/>
      <c r="B273" s="666"/>
      <c r="C273" s="666"/>
      <c r="D273" s="666"/>
      <c r="E273" s="634"/>
      <c r="F273" s="637"/>
      <c r="G273" s="637"/>
      <c r="H273" s="637"/>
      <c r="I273" s="637"/>
      <c r="J273" s="637"/>
      <c r="K273" s="637"/>
      <c r="L273" s="637"/>
      <c r="N273" s="637"/>
      <c r="O273" s="637"/>
      <c r="P273" s="637"/>
    </row>
    <row r="274" spans="1:16" s="12" customFormat="1" ht="18" x14ac:dyDescent="0.2">
      <c r="A274" s="606"/>
      <c r="B274" s="666"/>
      <c r="C274" s="666"/>
      <c r="D274" s="666"/>
      <c r="E274" s="634"/>
      <c r="F274" s="637"/>
      <c r="G274" s="637"/>
      <c r="H274" s="637"/>
      <c r="I274" s="637"/>
      <c r="J274" s="637"/>
      <c r="K274" s="637"/>
      <c r="L274" s="637"/>
      <c r="N274" s="637"/>
      <c r="O274" s="637"/>
      <c r="P274" s="637"/>
    </row>
    <row r="275" spans="1:16" s="12" customFormat="1" ht="18" x14ac:dyDescent="0.2">
      <c r="A275" s="606"/>
      <c r="B275" s="666"/>
      <c r="C275" s="666"/>
      <c r="D275" s="666"/>
      <c r="E275" s="634"/>
      <c r="F275" s="637"/>
      <c r="G275" s="637"/>
      <c r="H275" s="637"/>
      <c r="I275" s="637"/>
      <c r="J275" s="637"/>
      <c r="K275" s="637"/>
      <c r="L275" s="637"/>
      <c r="N275" s="637"/>
      <c r="O275" s="637"/>
      <c r="P275" s="637"/>
    </row>
    <row r="276" spans="1:16" s="12" customFormat="1" ht="18" x14ac:dyDescent="0.2">
      <c r="A276" s="606"/>
      <c r="B276" s="666"/>
      <c r="C276" s="666"/>
      <c r="D276" s="666"/>
      <c r="E276" s="634"/>
      <c r="F276" s="637"/>
      <c r="G276" s="637"/>
      <c r="H276" s="637"/>
      <c r="I276" s="637"/>
      <c r="J276" s="637"/>
      <c r="K276" s="637"/>
      <c r="L276" s="637"/>
      <c r="N276" s="637"/>
      <c r="O276" s="637"/>
      <c r="P276" s="637"/>
    </row>
    <row r="277" spans="1:16" s="12" customFormat="1" ht="18" x14ac:dyDescent="0.2">
      <c r="A277" s="606"/>
      <c r="B277" s="666"/>
      <c r="C277" s="666"/>
      <c r="D277" s="666"/>
      <c r="E277" s="634"/>
      <c r="F277" s="637"/>
      <c r="G277" s="637"/>
      <c r="H277" s="637"/>
      <c r="I277" s="637"/>
      <c r="J277" s="637"/>
      <c r="K277" s="637"/>
      <c r="L277" s="637"/>
      <c r="N277" s="637"/>
      <c r="O277" s="637"/>
      <c r="P277" s="637"/>
    </row>
    <row r="278" spans="1:16" s="12" customFormat="1" ht="18" x14ac:dyDescent="0.2">
      <c r="A278" s="606"/>
      <c r="B278" s="666"/>
      <c r="C278" s="666"/>
      <c r="D278" s="666"/>
      <c r="E278" s="634"/>
      <c r="F278" s="637"/>
      <c r="G278" s="637"/>
      <c r="H278" s="637"/>
      <c r="I278" s="637"/>
      <c r="J278" s="637"/>
      <c r="K278" s="637"/>
      <c r="L278" s="637"/>
      <c r="N278" s="637"/>
      <c r="O278" s="637"/>
      <c r="P278" s="637"/>
    </row>
    <row r="279" spans="1:16" s="12" customFormat="1" ht="18" x14ac:dyDescent="0.2">
      <c r="A279" s="606"/>
      <c r="B279" s="666"/>
      <c r="C279" s="666"/>
      <c r="D279" s="666"/>
      <c r="E279" s="634"/>
      <c r="F279" s="637"/>
      <c r="G279" s="637"/>
      <c r="H279" s="637"/>
      <c r="I279" s="637"/>
      <c r="J279" s="637"/>
      <c r="K279" s="637"/>
      <c r="L279" s="637"/>
      <c r="N279" s="637"/>
      <c r="O279" s="637"/>
      <c r="P279" s="637"/>
    </row>
    <row r="280" spans="1:16" s="12" customFormat="1" ht="18" x14ac:dyDescent="0.2">
      <c r="A280" s="606"/>
      <c r="B280" s="666"/>
      <c r="C280" s="666"/>
      <c r="D280" s="666"/>
      <c r="E280" s="634"/>
      <c r="F280" s="637"/>
      <c r="G280" s="637"/>
      <c r="H280" s="637"/>
      <c r="I280" s="637"/>
      <c r="J280" s="637"/>
      <c r="K280" s="637"/>
      <c r="L280" s="637"/>
      <c r="N280" s="637"/>
      <c r="O280" s="637"/>
      <c r="P280" s="637"/>
    </row>
    <row r="281" spans="1:16" s="12" customFormat="1" ht="18" x14ac:dyDescent="0.2">
      <c r="A281" s="606"/>
      <c r="B281" s="666"/>
      <c r="C281" s="666"/>
      <c r="D281" s="666"/>
      <c r="E281" s="634"/>
      <c r="F281" s="637"/>
      <c r="G281" s="637"/>
      <c r="H281" s="637"/>
      <c r="I281" s="637"/>
      <c r="J281" s="637"/>
      <c r="K281" s="637"/>
      <c r="L281" s="637"/>
      <c r="N281" s="637"/>
      <c r="O281" s="637"/>
      <c r="P281" s="637"/>
    </row>
    <row r="282" spans="1:16" s="12" customFormat="1" ht="18" x14ac:dyDescent="0.2">
      <c r="A282" s="606"/>
      <c r="B282" s="666"/>
      <c r="C282" s="666"/>
      <c r="D282" s="666"/>
      <c r="E282" s="634"/>
      <c r="F282" s="637"/>
      <c r="G282" s="637"/>
      <c r="H282" s="637"/>
      <c r="I282" s="637"/>
      <c r="J282" s="637"/>
      <c r="K282" s="637"/>
      <c r="L282" s="637"/>
      <c r="N282" s="637"/>
      <c r="O282" s="637"/>
      <c r="P282" s="637"/>
    </row>
    <row r="283" spans="1:16" s="12" customFormat="1" ht="18" x14ac:dyDescent="0.2">
      <c r="A283" s="606"/>
      <c r="B283" s="666"/>
      <c r="C283" s="666"/>
      <c r="D283" s="666"/>
      <c r="E283" s="634"/>
      <c r="F283" s="637"/>
      <c r="G283" s="637"/>
      <c r="H283" s="637"/>
      <c r="I283" s="637"/>
      <c r="J283" s="637"/>
      <c r="K283" s="637"/>
      <c r="L283" s="637"/>
      <c r="N283" s="637"/>
      <c r="O283" s="637"/>
      <c r="P283" s="637"/>
    </row>
    <row r="284" spans="1:16" s="12" customFormat="1" ht="18" x14ac:dyDescent="0.2">
      <c r="A284" s="606"/>
      <c r="B284" s="666"/>
      <c r="C284" s="666"/>
      <c r="D284" s="666"/>
      <c r="E284" s="634"/>
      <c r="F284" s="637"/>
      <c r="G284" s="637"/>
      <c r="H284" s="637"/>
      <c r="I284" s="637"/>
      <c r="J284" s="637"/>
      <c r="K284" s="637"/>
      <c r="L284" s="637"/>
      <c r="N284" s="637"/>
      <c r="O284" s="637"/>
      <c r="P284" s="637"/>
    </row>
    <row r="285" spans="1:16" s="12" customFormat="1" ht="18" x14ac:dyDescent="0.2">
      <c r="A285" s="606"/>
      <c r="B285" s="666"/>
      <c r="C285" s="666"/>
      <c r="D285" s="666"/>
      <c r="E285" s="634"/>
      <c r="F285" s="637"/>
      <c r="G285" s="637"/>
      <c r="H285" s="637"/>
      <c r="I285" s="637"/>
      <c r="J285" s="637"/>
      <c r="K285" s="637"/>
      <c r="L285" s="637"/>
      <c r="N285" s="637"/>
      <c r="O285" s="637"/>
      <c r="P285" s="637"/>
    </row>
    <row r="286" spans="1:16" s="12" customFormat="1" ht="18" x14ac:dyDescent="0.2">
      <c r="A286" s="606"/>
      <c r="B286" s="666"/>
      <c r="C286" s="666"/>
      <c r="D286" s="666"/>
      <c r="E286" s="634"/>
      <c r="F286" s="637"/>
      <c r="G286" s="637"/>
      <c r="H286" s="637"/>
      <c r="I286" s="637"/>
      <c r="J286" s="637"/>
      <c r="K286" s="637"/>
      <c r="L286" s="637"/>
      <c r="N286" s="637"/>
      <c r="O286" s="637"/>
      <c r="P286" s="637"/>
    </row>
    <row r="287" spans="1:16" s="12" customFormat="1" ht="18" x14ac:dyDescent="0.2">
      <c r="A287" s="606"/>
      <c r="B287" s="666"/>
      <c r="C287" s="666"/>
      <c r="D287" s="666"/>
      <c r="E287" s="634"/>
      <c r="F287" s="637"/>
      <c r="G287" s="637"/>
      <c r="H287" s="637"/>
      <c r="I287" s="637"/>
      <c r="J287" s="637"/>
      <c r="K287" s="637"/>
      <c r="L287" s="637"/>
      <c r="N287" s="637"/>
      <c r="O287" s="637"/>
      <c r="P287" s="637"/>
    </row>
    <row r="288" spans="1:16" s="12" customFormat="1" ht="18" x14ac:dyDescent="0.2">
      <c r="A288" s="606"/>
      <c r="B288" s="666"/>
      <c r="C288" s="666"/>
      <c r="D288" s="666"/>
      <c r="E288" s="634"/>
      <c r="F288" s="637"/>
      <c r="G288" s="637"/>
      <c r="H288" s="637"/>
      <c r="I288" s="637"/>
      <c r="J288" s="637"/>
      <c r="K288" s="637"/>
      <c r="L288" s="637"/>
      <c r="N288" s="637"/>
      <c r="O288" s="637"/>
      <c r="P288" s="637"/>
    </row>
    <row r="289" spans="1:16" s="12" customFormat="1" ht="18" x14ac:dyDescent="0.2">
      <c r="A289" s="606"/>
      <c r="B289" s="666"/>
      <c r="C289" s="666"/>
      <c r="D289" s="666"/>
      <c r="E289" s="634"/>
      <c r="F289" s="637"/>
      <c r="G289" s="637"/>
      <c r="H289" s="637"/>
      <c r="I289" s="637"/>
      <c r="J289" s="637"/>
      <c r="K289" s="637"/>
      <c r="L289" s="637"/>
      <c r="N289" s="637"/>
      <c r="O289" s="637"/>
      <c r="P289" s="637"/>
    </row>
    <row r="290" spans="1:16" s="12" customFormat="1" ht="18" x14ac:dyDescent="0.2">
      <c r="A290" s="606"/>
      <c r="B290" s="666"/>
      <c r="C290" s="666"/>
      <c r="D290" s="666"/>
      <c r="E290" s="634"/>
      <c r="F290" s="637"/>
      <c r="G290" s="637"/>
      <c r="H290" s="637"/>
      <c r="I290" s="637"/>
      <c r="J290" s="637"/>
      <c r="K290" s="637"/>
      <c r="L290" s="637"/>
      <c r="N290" s="637"/>
      <c r="O290" s="637"/>
      <c r="P290" s="637"/>
    </row>
    <row r="291" spans="1:16" s="12" customFormat="1" ht="18" x14ac:dyDescent="0.2">
      <c r="A291" s="606"/>
      <c r="B291" s="666"/>
      <c r="C291" s="666"/>
      <c r="D291" s="666"/>
      <c r="E291" s="634"/>
      <c r="F291" s="637"/>
      <c r="G291" s="637"/>
      <c r="H291" s="637"/>
      <c r="I291" s="637"/>
      <c r="J291" s="637"/>
      <c r="K291" s="637"/>
      <c r="L291" s="637"/>
      <c r="N291" s="637"/>
      <c r="O291" s="637"/>
      <c r="P291" s="637"/>
    </row>
    <row r="292" spans="1:16" s="12" customFormat="1" ht="18" x14ac:dyDescent="0.2">
      <c r="A292" s="606"/>
      <c r="B292" s="666"/>
      <c r="C292" s="666"/>
      <c r="D292" s="666"/>
      <c r="E292" s="634"/>
      <c r="F292" s="637"/>
      <c r="G292" s="637"/>
      <c r="H292" s="637"/>
      <c r="I292" s="637"/>
      <c r="J292" s="637"/>
      <c r="K292" s="637"/>
      <c r="L292" s="637"/>
      <c r="N292" s="637"/>
      <c r="O292" s="637"/>
      <c r="P292" s="637"/>
    </row>
    <row r="293" spans="1:16" s="12" customFormat="1" ht="18" x14ac:dyDescent="0.2">
      <c r="A293" s="606"/>
      <c r="B293" s="666"/>
      <c r="C293" s="666"/>
      <c r="D293" s="666"/>
      <c r="E293" s="634"/>
      <c r="F293" s="637"/>
      <c r="G293" s="637"/>
      <c r="H293" s="637"/>
      <c r="I293" s="637"/>
      <c r="J293" s="637"/>
      <c r="K293" s="637"/>
      <c r="L293" s="637"/>
      <c r="N293" s="637"/>
      <c r="O293" s="637"/>
      <c r="P293" s="637"/>
    </row>
    <row r="294" spans="1:16" s="12" customFormat="1" ht="18" x14ac:dyDescent="0.2">
      <c r="A294" s="606"/>
      <c r="B294" s="666"/>
      <c r="C294" s="666"/>
      <c r="D294" s="666"/>
      <c r="E294" s="634"/>
      <c r="F294" s="637"/>
      <c r="G294" s="637"/>
      <c r="H294" s="637"/>
      <c r="I294" s="637"/>
      <c r="J294" s="637"/>
      <c r="K294" s="637"/>
      <c r="L294" s="637"/>
      <c r="N294" s="637"/>
      <c r="O294" s="637"/>
      <c r="P294" s="637"/>
    </row>
    <row r="295" spans="1:16" s="12" customFormat="1" ht="18" x14ac:dyDescent="0.2">
      <c r="A295" s="606"/>
      <c r="B295" s="666"/>
      <c r="C295" s="666"/>
      <c r="D295" s="666"/>
      <c r="E295" s="634"/>
      <c r="F295" s="637"/>
      <c r="G295" s="637"/>
      <c r="H295" s="637"/>
      <c r="I295" s="637"/>
      <c r="J295" s="637"/>
      <c r="K295" s="637"/>
      <c r="L295" s="637"/>
      <c r="N295" s="637"/>
      <c r="O295" s="637"/>
      <c r="P295" s="637"/>
    </row>
    <row r="296" spans="1:16" s="12" customFormat="1" ht="18" x14ac:dyDescent="0.2">
      <c r="A296" s="606"/>
      <c r="B296" s="666"/>
      <c r="C296" s="666"/>
      <c r="D296" s="666"/>
      <c r="E296" s="634"/>
      <c r="F296" s="637"/>
      <c r="G296" s="637"/>
      <c r="H296" s="637"/>
      <c r="I296" s="637"/>
      <c r="J296" s="637"/>
      <c r="K296" s="637"/>
      <c r="L296" s="637"/>
      <c r="N296" s="637"/>
      <c r="O296" s="637"/>
      <c r="P296" s="637"/>
    </row>
    <row r="297" spans="1:16" s="12" customFormat="1" ht="18" x14ac:dyDescent="0.2">
      <c r="A297" s="606"/>
      <c r="B297" s="666"/>
      <c r="C297" s="666"/>
      <c r="D297" s="666"/>
      <c r="E297" s="634"/>
      <c r="F297" s="637"/>
      <c r="G297" s="637"/>
      <c r="H297" s="637"/>
      <c r="I297" s="637"/>
      <c r="J297" s="637"/>
      <c r="K297" s="637"/>
      <c r="L297" s="637"/>
      <c r="N297" s="637"/>
      <c r="O297" s="637"/>
      <c r="P297" s="637"/>
    </row>
    <row r="298" spans="1:16" s="12" customFormat="1" ht="18" x14ac:dyDescent="0.2">
      <c r="A298" s="606"/>
      <c r="B298" s="666"/>
      <c r="C298" s="666"/>
      <c r="D298" s="666"/>
      <c r="E298" s="634"/>
      <c r="F298" s="637"/>
      <c r="G298" s="637"/>
      <c r="H298" s="637"/>
      <c r="I298" s="637"/>
      <c r="J298" s="637"/>
      <c r="K298" s="637"/>
      <c r="L298" s="637"/>
      <c r="N298" s="637"/>
      <c r="O298" s="637"/>
      <c r="P298" s="637"/>
    </row>
    <row r="299" spans="1:16" s="12" customFormat="1" ht="18" x14ac:dyDescent="0.2">
      <c r="A299" s="606"/>
      <c r="B299" s="666"/>
      <c r="C299" s="666"/>
      <c r="D299" s="666"/>
      <c r="E299" s="634"/>
      <c r="F299" s="637"/>
      <c r="G299" s="637"/>
      <c r="H299" s="637"/>
      <c r="I299" s="637"/>
      <c r="J299" s="637"/>
      <c r="K299" s="637"/>
      <c r="L299" s="637"/>
      <c r="N299" s="637"/>
      <c r="O299" s="637"/>
      <c r="P299" s="637"/>
    </row>
    <row r="300" spans="1:16" s="12" customFormat="1" ht="18" x14ac:dyDescent="0.2">
      <c r="A300" s="606"/>
      <c r="B300" s="666"/>
      <c r="C300" s="666"/>
      <c r="D300" s="666"/>
      <c r="E300" s="634"/>
      <c r="F300" s="637"/>
      <c r="G300" s="637"/>
      <c r="H300" s="637"/>
      <c r="I300" s="637"/>
      <c r="J300" s="637"/>
      <c r="K300" s="637"/>
      <c r="L300" s="637"/>
      <c r="N300" s="637"/>
      <c r="O300" s="637"/>
      <c r="P300" s="637"/>
    </row>
    <row r="301" spans="1:16" s="12" customFormat="1" ht="18" x14ac:dyDescent="0.2">
      <c r="A301" s="606"/>
      <c r="B301" s="666"/>
      <c r="C301" s="666"/>
      <c r="D301" s="666"/>
      <c r="E301" s="634"/>
      <c r="F301" s="637"/>
      <c r="G301" s="637"/>
      <c r="H301" s="637"/>
      <c r="I301" s="637"/>
      <c r="J301" s="637"/>
      <c r="K301" s="637"/>
      <c r="L301" s="637"/>
      <c r="N301" s="637"/>
      <c r="O301" s="637"/>
      <c r="P301" s="637"/>
    </row>
    <row r="302" spans="1:16" s="12" customFormat="1" ht="18" x14ac:dyDescent="0.2">
      <c r="A302" s="606"/>
      <c r="B302" s="666"/>
      <c r="C302" s="666"/>
      <c r="D302" s="666"/>
      <c r="E302" s="634"/>
      <c r="F302" s="637"/>
      <c r="G302" s="637"/>
      <c r="H302" s="637"/>
      <c r="I302" s="637"/>
      <c r="J302" s="637"/>
      <c r="K302" s="637"/>
      <c r="L302" s="637"/>
      <c r="N302" s="637"/>
      <c r="O302" s="637"/>
      <c r="P302" s="637"/>
    </row>
    <row r="303" spans="1:16" s="12" customFormat="1" ht="18" x14ac:dyDescent="0.2">
      <c r="A303" s="606"/>
      <c r="B303" s="666"/>
      <c r="C303" s="666"/>
      <c r="D303" s="666"/>
      <c r="E303" s="634"/>
      <c r="F303" s="637"/>
      <c r="G303" s="637"/>
      <c r="H303" s="637"/>
      <c r="I303" s="637"/>
      <c r="J303" s="637"/>
      <c r="K303" s="637"/>
      <c r="L303" s="637"/>
      <c r="N303" s="637"/>
      <c r="O303" s="637"/>
      <c r="P303" s="637"/>
    </row>
    <row r="304" spans="1:16" s="12" customFormat="1" ht="18" x14ac:dyDescent="0.2">
      <c r="A304" s="606"/>
      <c r="B304" s="666"/>
      <c r="C304" s="666"/>
      <c r="D304" s="666"/>
      <c r="E304" s="634"/>
      <c r="F304" s="637"/>
      <c r="G304" s="637"/>
      <c r="H304" s="637"/>
      <c r="I304" s="637"/>
      <c r="J304" s="637"/>
      <c r="K304" s="637"/>
      <c r="L304" s="637"/>
      <c r="N304" s="637"/>
      <c r="O304" s="637"/>
      <c r="P304" s="637"/>
    </row>
    <row r="305" spans="1:16" s="12" customFormat="1" ht="18" x14ac:dyDescent="0.2">
      <c r="A305" s="606"/>
      <c r="B305" s="666"/>
      <c r="C305" s="666"/>
      <c r="D305" s="666"/>
      <c r="E305" s="634"/>
      <c r="F305" s="637"/>
      <c r="G305" s="637"/>
      <c r="H305" s="637"/>
      <c r="I305" s="637"/>
      <c r="J305" s="637"/>
      <c r="K305" s="637"/>
      <c r="L305" s="637"/>
      <c r="N305" s="637"/>
      <c r="O305" s="637"/>
      <c r="P305" s="637"/>
    </row>
    <row r="306" spans="1:16" s="12" customFormat="1" ht="18" x14ac:dyDescent="0.2">
      <c r="A306" s="606"/>
      <c r="B306" s="666"/>
      <c r="C306" s="666"/>
      <c r="D306" s="666"/>
      <c r="E306" s="634"/>
      <c r="F306" s="637"/>
      <c r="G306" s="637"/>
      <c r="H306" s="637"/>
      <c r="I306" s="637"/>
      <c r="J306" s="637"/>
      <c r="K306" s="637"/>
      <c r="L306" s="637"/>
      <c r="N306" s="637"/>
      <c r="O306" s="637"/>
      <c r="P306" s="637"/>
    </row>
    <row r="307" spans="1:16" s="12" customFormat="1" ht="18" x14ac:dyDescent="0.2">
      <c r="A307" s="606"/>
      <c r="B307" s="666"/>
      <c r="C307" s="666"/>
      <c r="D307" s="666"/>
      <c r="E307" s="634"/>
      <c r="F307" s="637"/>
      <c r="G307" s="637"/>
      <c r="H307" s="637"/>
      <c r="I307" s="637"/>
      <c r="J307" s="637"/>
      <c r="K307" s="637"/>
      <c r="L307" s="637"/>
      <c r="N307" s="637"/>
      <c r="O307" s="637"/>
      <c r="P307" s="637"/>
    </row>
    <row r="308" spans="1:16" s="12" customFormat="1" ht="18" x14ac:dyDescent="0.2">
      <c r="A308" s="606"/>
      <c r="B308" s="666"/>
      <c r="C308" s="666"/>
      <c r="D308" s="666"/>
      <c r="E308" s="634"/>
      <c r="F308" s="637"/>
      <c r="G308" s="637"/>
      <c r="H308" s="637"/>
      <c r="I308" s="637"/>
      <c r="J308" s="637"/>
      <c r="K308" s="637"/>
      <c r="L308" s="637"/>
      <c r="N308" s="637"/>
      <c r="O308" s="637"/>
      <c r="P308" s="637"/>
    </row>
    <row r="309" spans="1:16" s="12" customFormat="1" ht="18" x14ac:dyDescent="0.2">
      <c r="A309" s="606"/>
      <c r="B309" s="666"/>
      <c r="C309" s="666"/>
      <c r="D309" s="666"/>
      <c r="E309" s="634"/>
      <c r="F309" s="637"/>
      <c r="G309" s="637"/>
      <c r="H309" s="637"/>
      <c r="I309" s="637"/>
      <c r="J309" s="637"/>
      <c r="K309" s="637"/>
      <c r="L309" s="637"/>
      <c r="N309" s="637"/>
      <c r="O309" s="637"/>
      <c r="P309" s="637"/>
    </row>
    <row r="310" spans="1:16" s="12" customFormat="1" ht="18" x14ac:dyDescent="0.2">
      <c r="A310" s="606"/>
      <c r="B310" s="666"/>
      <c r="C310" s="666"/>
      <c r="D310" s="666"/>
      <c r="E310" s="634"/>
      <c r="F310" s="637"/>
      <c r="G310" s="637"/>
      <c r="H310" s="637"/>
      <c r="I310" s="637"/>
      <c r="J310" s="637"/>
      <c r="K310" s="637"/>
      <c r="L310" s="637"/>
      <c r="N310" s="637"/>
      <c r="O310" s="637"/>
      <c r="P310" s="637"/>
    </row>
    <row r="311" spans="1:16" s="12" customFormat="1" ht="18" x14ac:dyDescent="0.2">
      <c r="A311" s="606"/>
      <c r="B311" s="666"/>
      <c r="C311" s="666"/>
      <c r="D311" s="666"/>
      <c r="E311" s="634"/>
      <c r="F311" s="637"/>
      <c r="G311" s="637"/>
      <c r="H311" s="637"/>
      <c r="I311" s="637"/>
      <c r="J311" s="637"/>
      <c r="K311" s="637"/>
      <c r="L311" s="637"/>
      <c r="N311" s="637"/>
      <c r="O311" s="637"/>
      <c r="P311" s="637"/>
    </row>
    <row r="312" spans="1:16" s="12" customFormat="1" ht="18" x14ac:dyDescent="0.2">
      <c r="A312" s="606"/>
      <c r="B312" s="666"/>
      <c r="C312" s="666"/>
      <c r="D312" s="666"/>
      <c r="E312" s="634"/>
      <c r="F312" s="637"/>
      <c r="G312" s="637"/>
      <c r="H312" s="637"/>
      <c r="I312" s="637"/>
      <c r="J312" s="637"/>
      <c r="K312" s="637"/>
      <c r="L312" s="637"/>
      <c r="N312" s="637"/>
      <c r="O312" s="637"/>
      <c r="P312" s="637"/>
    </row>
    <row r="313" spans="1:16" s="12" customFormat="1" ht="18" x14ac:dyDescent="0.2">
      <c r="A313" s="606"/>
      <c r="B313" s="666"/>
      <c r="C313" s="666"/>
      <c r="D313" s="666"/>
      <c r="E313" s="634"/>
      <c r="F313" s="637"/>
      <c r="G313" s="637"/>
      <c r="H313" s="637"/>
      <c r="I313" s="637"/>
      <c r="J313" s="637"/>
      <c r="K313" s="637"/>
      <c r="L313" s="637"/>
      <c r="N313" s="637"/>
      <c r="O313" s="637"/>
      <c r="P313" s="637"/>
    </row>
    <row r="314" spans="1:16" s="12" customFormat="1" ht="18" x14ac:dyDescent="0.2">
      <c r="A314" s="606"/>
      <c r="B314" s="666"/>
      <c r="C314" s="666"/>
      <c r="D314" s="666"/>
      <c r="E314" s="634"/>
      <c r="F314" s="637"/>
      <c r="G314" s="637"/>
      <c r="H314" s="637"/>
      <c r="I314" s="637"/>
      <c r="J314" s="637"/>
      <c r="K314" s="637"/>
      <c r="L314" s="637"/>
      <c r="N314" s="637"/>
      <c r="O314" s="637"/>
      <c r="P314" s="637"/>
    </row>
    <row r="315" spans="1:16" s="12" customFormat="1" ht="18" x14ac:dyDescent="0.2">
      <c r="A315" s="606"/>
      <c r="B315" s="666"/>
      <c r="C315" s="666"/>
      <c r="D315" s="666"/>
      <c r="E315" s="634"/>
      <c r="F315" s="637"/>
      <c r="G315" s="637"/>
      <c r="H315" s="637"/>
      <c r="I315" s="637"/>
      <c r="J315" s="637"/>
      <c r="K315" s="637"/>
      <c r="L315" s="637"/>
      <c r="N315" s="637"/>
      <c r="O315" s="637"/>
      <c r="P315" s="637"/>
    </row>
    <row r="316" spans="1:16" s="12" customFormat="1" ht="18" x14ac:dyDescent="0.2">
      <c r="A316" s="606"/>
      <c r="B316" s="666"/>
      <c r="C316" s="666"/>
      <c r="D316" s="666"/>
      <c r="E316" s="634"/>
      <c r="F316" s="637"/>
      <c r="G316" s="637"/>
      <c r="H316" s="637"/>
      <c r="I316" s="637"/>
      <c r="J316" s="637"/>
      <c r="K316" s="637"/>
      <c r="L316" s="637"/>
      <c r="N316" s="637"/>
      <c r="O316" s="637"/>
      <c r="P316" s="637"/>
    </row>
    <row r="317" spans="1:16" s="12" customFormat="1" ht="18" x14ac:dyDescent="0.2">
      <c r="A317" s="606"/>
      <c r="B317" s="666"/>
      <c r="C317" s="666"/>
      <c r="D317" s="666"/>
      <c r="E317" s="634"/>
      <c r="F317" s="637"/>
      <c r="G317" s="637"/>
      <c r="H317" s="637"/>
      <c r="I317" s="637"/>
      <c r="J317" s="637"/>
      <c r="K317" s="637"/>
      <c r="L317" s="637"/>
      <c r="N317" s="637"/>
      <c r="O317" s="637"/>
      <c r="P317" s="637"/>
    </row>
    <row r="318" spans="1:16" s="12" customFormat="1" ht="18" x14ac:dyDescent="0.2">
      <c r="A318" s="606"/>
      <c r="B318" s="666"/>
      <c r="C318" s="666"/>
      <c r="D318" s="666"/>
      <c r="E318" s="634"/>
      <c r="F318" s="637"/>
      <c r="G318" s="637"/>
      <c r="H318" s="637"/>
      <c r="I318" s="637"/>
      <c r="J318" s="637"/>
      <c r="K318" s="637"/>
      <c r="L318" s="637"/>
      <c r="N318" s="637"/>
      <c r="O318" s="637"/>
      <c r="P318" s="637"/>
    </row>
    <row r="319" spans="1:16" s="12" customFormat="1" ht="18" x14ac:dyDescent="0.2">
      <c r="A319" s="606"/>
      <c r="B319" s="666"/>
      <c r="C319" s="666"/>
      <c r="D319" s="666"/>
      <c r="E319" s="634"/>
      <c r="F319" s="637"/>
      <c r="G319" s="637"/>
      <c r="H319" s="637"/>
      <c r="I319" s="637"/>
      <c r="J319" s="637"/>
      <c r="K319" s="637"/>
      <c r="L319" s="637"/>
      <c r="N319" s="637"/>
      <c r="O319" s="637"/>
      <c r="P319" s="637"/>
    </row>
    <row r="320" spans="1:16" s="12" customFormat="1" ht="18" x14ac:dyDescent="0.2">
      <c r="A320" s="606"/>
      <c r="B320" s="666"/>
      <c r="C320" s="666"/>
      <c r="D320" s="666"/>
      <c r="E320" s="634"/>
      <c r="F320" s="637"/>
      <c r="G320" s="637"/>
      <c r="H320" s="637"/>
      <c r="I320" s="637"/>
      <c r="J320" s="637"/>
      <c r="K320" s="637"/>
      <c r="L320" s="637"/>
      <c r="N320" s="637"/>
      <c r="O320" s="637"/>
      <c r="P320" s="637"/>
    </row>
    <row r="321" spans="1:16" s="12" customFormat="1" ht="18" x14ac:dyDescent="0.2">
      <c r="A321" s="606"/>
      <c r="B321" s="666"/>
      <c r="C321" s="666"/>
      <c r="D321" s="666"/>
      <c r="E321" s="634"/>
      <c r="F321" s="637"/>
      <c r="G321" s="637"/>
      <c r="H321" s="637"/>
      <c r="I321" s="637"/>
      <c r="J321" s="637"/>
      <c r="K321" s="637"/>
      <c r="L321" s="637"/>
      <c r="N321" s="637"/>
      <c r="O321" s="637"/>
      <c r="P321" s="637"/>
    </row>
    <row r="322" spans="1:16" s="12" customFormat="1" ht="18" x14ac:dyDescent="0.2">
      <c r="A322" s="606"/>
      <c r="B322" s="666"/>
      <c r="C322" s="666"/>
      <c r="D322" s="666"/>
      <c r="E322" s="634"/>
      <c r="F322" s="637"/>
      <c r="G322" s="637"/>
      <c r="H322" s="637"/>
      <c r="I322" s="637"/>
      <c r="J322" s="637"/>
      <c r="K322" s="637"/>
      <c r="L322" s="637"/>
      <c r="N322" s="637"/>
      <c r="O322" s="637"/>
      <c r="P322" s="637"/>
    </row>
    <row r="323" spans="1:16" s="12" customFormat="1" ht="18" x14ac:dyDescent="0.2">
      <c r="A323" s="606"/>
      <c r="B323" s="666"/>
      <c r="C323" s="666"/>
      <c r="D323" s="666"/>
      <c r="E323" s="634"/>
      <c r="F323" s="637"/>
      <c r="G323" s="637"/>
      <c r="H323" s="637"/>
      <c r="I323" s="637"/>
      <c r="J323" s="637"/>
      <c r="K323" s="637"/>
      <c r="L323" s="637"/>
      <c r="N323" s="637"/>
      <c r="O323" s="637"/>
      <c r="P323" s="637"/>
    </row>
    <row r="324" spans="1:16" s="12" customFormat="1" ht="18" x14ac:dyDescent="0.2">
      <c r="A324" s="606"/>
      <c r="B324" s="666"/>
      <c r="C324" s="666"/>
      <c r="D324" s="666"/>
      <c r="E324" s="634"/>
      <c r="F324" s="637"/>
      <c r="G324" s="637"/>
      <c r="H324" s="637"/>
      <c r="I324" s="637"/>
      <c r="J324" s="637"/>
      <c r="K324" s="637"/>
      <c r="L324" s="637"/>
      <c r="N324" s="637"/>
      <c r="O324" s="637"/>
      <c r="P324" s="637"/>
    </row>
    <row r="325" spans="1:16" s="12" customFormat="1" ht="18" x14ac:dyDescent="0.2">
      <c r="A325" s="606"/>
      <c r="B325" s="666"/>
      <c r="C325" s="666"/>
      <c r="D325" s="666"/>
      <c r="E325" s="634"/>
      <c r="F325" s="637"/>
      <c r="G325" s="637"/>
      <c r="H325" s="637"/>
      <c r="I325" s="637"/>
      <c r="J325" s="637"/>
      <c r="K325" s="637"/>
      <c r="L325" s="637"/>
      <c r="N325" s="637"/>
      <c r="O325" s="637"/>
      <c r="P325" s="637"/>
    </row>
    <row r="326" spans="1:16" s="12" customFormat="1" ht="18" x14ac:dyDescent="0.2">
      <c r="A326" s="606"/>
      <c r="B326" s="666"/>
      <c r="C326" s="666"/>
      <c r="D326" s="666"/>
      <c r="E326" s="634"/>
      <c r="F326" s="637"/>
      <c r="G326" s="637"/>
      <c r="H326" s="637"/>
      <c r="I326" s="637"/>
      <c r="J326" s="637"/>
      <c r="K326" s="637"/>
      <c r="L326" s="637"/>
      <c r="N326" s="637"/>
      <c r="O326" s="637"/>
      <c r="P326" s="637"/>
    </row>
    <row r="327" spans="1:16" s="12" customFormat="1" ht="18" x14ac:dyDescent="0.2">
      <c r="A327" s="606"/>
      <c r="B327" s="666"/>
      <c r="C327" s="666"/>
      <c r="D327" s="666"/>
      <c r="E327" s="634"/>
      <c r="F327" s="637"/>
      <c r="G327" s="637"/>
      <c r="H327" s="637"/>
      <c r="I327" s="637"/>
      <c r="J327" s="637"/>
      <c r="K327" s="637"/>
      <c r="L327" s="637"/>
      <c r="N327" s="637"/>
      <c r="O327" s="637"/>
      <c r="P327" s="637"/>
    </row>
    <row r="328" spans="1:16" s="12" customFormat="1" ht="18" x14ac:dyDescent="0.2">
      <c r="A328" s="606"/>
      <c r="B328" s="666"/>
      <c r="C328" s="666"/>
      <c r="D328" s="666"/>
      <c r="E328" s="634"/>
      <c r="F328" s="637"/>
      <c r="G328" s="637"/>
      <c r="H328" s="637"/>
      <c r="I328" s="637"/>
      <c r="J328" s="637"/>
      <c r="K328" s="637"/>
      <c r="L328" s="637"/>
      <c r="N328" s="637"/>
      <c r="O328" s="637"/>
      <c r="P328" s="637"/>
    </row>
    <row r="329" spans="1:16" s="12" customFormat="1" ht="18" x14ac:dyDescent="0.2">
      <c r="A329" s="606"/>
      <c r="B329" s="666"/>
      <c r="C329" s="666"/>
      <c r="D329" s="666"/>
      <c r="E329" s="634"/>
      <c r="F329" s="637"/>
      <c r="G329" s="637"/>
      <c r="H329" s="637"/>
      <c r="I329" s="637"/>
      <c r="J329" s="637"/>
      <c r="K329" s="637"/>
      <c r="L329" s="637"/>
      <c r="N329" s="637"/>
      <c r="O329" s="637"/>
      <c r="P329" s="637"/>
    </row>
    <row r="330" spans="1:16" s="12" customFormat="1" ht="18" x14ac:dyDescent="0.2">
      <c r="A330" s="606"/>
      <c r="B330" s="666"/>
      <c r="C330" s="666"/>
      <c r="D330" s="666"/>
      <c r="E330" s="634"/>
      <c r="F330" s="637"/>
      <c r="G330" s="637"/>
      <c r="H330" s="637"/>
      <c r="I330" s="637"/>
      <c r="J330" s="637"/>
      <c r="K330" s="637"/>
      <c r="L330" s="637"/>
      <c r="N330" s="637"/>
      <c r="O330" s="637"/>
      <c r="P330" s="637"/>
    </row>
    <row r="331" spans="1:16" s="12" customFormat="1" ht="18" x14ac:dyDescent="0.2">
      <c r="A331" s="606"/>
      <c r="B331" s="666"/>
      <c r="C331" s="666"/>
      <c r="D331" s="666"/>
      <c r="E331" s="634"/>
      <c r="F331" s="637"/>
      <c r="G331" s="637"/>
      <c r="H331" s="637"/>
      <c r="I331" s="637"/>
      <c r="J331" s="637"/>
      <c r="K331" s="637"/>
      <c r="L331" s="637"/>
      <c r="N331" s="637"/>
      <c r="O331" s="637"/>
      <c r="P331" s="637"/>
    </row>
    <row r="332" spans="1:16" s="12" customFormat="1" ht="18" x14ac:dyDescent="0.2">
      <c r="A332" s="606"/>
      <c r="B332" s="666"/>
      <c r="C332" s="666"/>
      <c r="D332" s="666"/>
      <c r="E332" s="634"/>
      <c r="F332" s="637"/>
      <c r="G332" s="637"/>
      <c r="H332" s="637"/>
      <c r="I332" s="637"/>
      <c r="J332" s="637"/>
      <c r="K332" s="637"/>
      <c r="L332" s="637"/>
      <c r="N332" s="637"/>
      <c r="O332" s="637"/>
      <c r="P332" s="637"/>
    </row>
    <row r="333" spans="1:16" s="12" customFormat="1" ht="18" x14ac:dyDescent="0.2">
      <c r="A333" s="606"/>
      <c r="B333" s="666"/>
      <c r="C333" s="666"/>
      <c r="D333" s="666"/>
      <c r="E333" s="634"/>
      <c r="F333" s="637"/>
      <c r="G333" s="637"/>
      <c r="H333" s="637"/>
      <c r="I333" s="637"/>
      <c r="J333" s="637"/>
      <c r="K333" s="637"/>
      <c r="L333" s="637"/>
      <c r="N333" s="637"/>
      <c r="O333" s="637"/>
      <c r="P333" s="637"/>
    </row>
    <row r="334" spans="1:16" s="12" customFormat="1" ht="18" x14ac:dyDescent="0.2">
      <c r="A334" s="606"/>
      <c r="B334" s="666"/>
      <c r="C334" s="666"/>
      <c r="D334" s="666"/>
      <c r="E334" s="634"/>
      <c r="F334" s="637"/>
      <c r="G334" s="637"/>
      <c r="H334" s="637"/>
      <c r="I334" s="637"/>
      <c r="J334" s="637"/>
      <c r="K334" s="637"/>
      <c r="L334" s="637"/>
      <c r="N334" s="637"/>
      <c r="O334" s="637"/>
      <c r="P334" s="637"/>
    </row>
    <row r="335" spans="1:16" s="12" customFormat="1" ht="18" x14ac:dyDescent="0.2">
      <c r="A335" s="606"/>
      <c r="B335" s="666"/>
      <c r="C335" s="666"/>
      <c r="D335" s="666"/>
      <c r="E335" s="634"/>
      <c r="F335" s="637"/>
      <c r="G335" s="637"/>
      <c r="H335" s="637"/>
      <c r="I335" s="637"/>
      <c r="J335" s="637"/>
      <c r="K335" s="637"/>
      <c r="L335" s="637"/>
      <c r="N335" s="637"/>
      <c r="O335" s="637"/>
      <c r="P335" s="637"/>
    </row>
    <row r="336" spans="1:16" s="12" customFormat="1" ht="18" x14ac:dyDescent="0.2">
      <c r="A336" s="606"/>
      <c r="B336" s="666"/>
      <c r="C336" s="666"/>
      <c r="D336" s="666"/>
      <c r="E336" s="634"/>
      <c r="F336" s="637"/>
      <c r="G336" s="637"/>
      <c r="H336" s="637"/>
      <c r="I336" s="637"/>
      <c r="J336" s="637"/>
      <c r="K336" s="637"/>
      <c r="L336" s="637"/>
      <c r="N336" s="637"/>
      <c r="O336" s="637"/>
      <c r="P336" s="637"/>
    </row>
    <row r="337" spans="1:16" s="12" customFormat="1" ht="18" x14ac:dyDescent="0.2">
      <c r="A337" s="606"/>
      <c r="B337" s="666"/>
      <c r="C337" s="666"/>
      <c r="D337" s="666"/>
      <c r="E337" s="634"/>
      <c r="F337" s="637"/>
      <c r="G337" s="637"/>
      <c r="H337" s="637"/>
      <c r="I337" s="637"/>
      <c r="J337" s="637"/>
      <c r="K337" s="637"/>
      <c r="L337" s="637"/>
      <c r="N337" s="637"/>
      <c r="O337" s="637"/>
      <c r="P337" s="637"/>
    </row>
    <row r="338" spans="1:16" s="12" customFormat="1" ht="18" x14ac:dyDescent="0.2">
      <c r="A338" s="606"/>
      <c r="B338" s="666"/>
      <c r="C338" s="666"/>
      <c r="D338" s="666"/>
      <c r="E338" s="634"/>
      <c r="F338" s="637"/>
      <c r="G338" s="637"/>
      <c r="H338" s="637"/>
      <c r="I338" s="637"/>
      <c r="J338" s="637"/>
      <c r="K338" s="637"/>
      <c r="L338" s="637"/>
      <c r="N338" s="637"/>
      <c r="O338" s="637"/>
      <c r="P338" s="637"/>
    </row>
    <row r="339" spans="1:16" s="12" customFormat="1" ht="18" x14ac:dyDescent="0.2">
      <c r="A339" s="606"/>
      <c r="B339" s="666"/>
      <c r="C339" s="666"/>
      <c r="D339" s="666"/>
      <c r="E339" s="634"/>
      <c r="F339" s="637"/>
      <c r="G339" s="637"/>
      <c r="H339" s="637"/>
      <c r="I339" s="637"/>
      <c r="J339" s="637"/>
      <c r="K339" s="637"/>
      <c r="L339" s="637"/>
      <c r="N339" s="637"/>
      <c r="O339" s="637"/>
      <c r="P339" s="637"/>
    </row>
    <row r="340" spans="1:16" s="12" customFormat="1" ht="18" x14ac:dyDescent="0.2">
      <c r="A340" s="606"/>
      <c r="B340" s="666"/>
      <c r="C340" s="666"/>
      <c r="D340" s="666"/>
      <c r="E340" s="634"/>
      <c r="F340" s="637"/>
      <c r="G340" s="637"/>
      <c r="H340" s="637"/>
      <c r="I340" s="637"/>
      <c r="J340" s="637"/>
      <c r="K340" s="637"/>
      <c r="L340" s="637"/>
      <c r="N340" s="637"/>
      <c r="O340" s="637"/>
      <c r="P340" s="637"/>
    </row>
    <row r="341" spans="1:16" s="12" customFormat="1" ht="18" x14ac:dyDescent="0.2">
      <c r="A341" s="606"/>
      <c r="B341" s="666"/>
      <c r="C341" s="666"/>
      <c r="D341" s="666"/>
      <c r="E341" s="634"/>
      <c r="F341" s="637"/>
      <c r="G341" s="637"/>
      <c r="H341" s="637"/>
      <c r="I341" s="637"/>
      <c r="J341" s="637"/>
      <c r="K341" s="637"/>
      <c r="L341" s="637"/>
      <c r="N341" s="637"/>
      <c r="O341" s="637"/>
      <c r="P341" s="637"/>
    </row>
    <row r="342" spans="1:16" s="12" customFormat="1" ht="18" x14ac:dyDescent="0.2">
      <c r="A342" s="606"/>
      <c r="B342" s="666"/>
      <c r="C342" s="666"/>
      <c r="D342" s="666"/>
      <c r="E342" s="634"/>
      <c r="F342" s="637"/>
      <c r="G342" s="637"/>
      <c r="H342" s="637"/>
      <c r="I342" s="637"/>
      <c r="J342" s="637"/>
      <c r="K342" s="637"/>
      <c r="L342" s="637"/>
      <c r="N342" s="637"/>
      <c r="O342" s="637"/>
      <c r="P342" s="637"/>
    </row>
    <row r="343" spans="1:16" s="12" customFormat="1" ht="18" x14ac:dyDescent="0.2">
      <c r="A343" s="606"/>
      <c r="B343" s="666"/>
      <c r="C343" s="666"/>
      <c r="D343" s="666"/>
      <c r="E343" s="634"/>
      <c r="F343" s="637"/>
      <c r="G343" s="637"/>
      <c r="H343" s="637"/>
      <c r="I343" s="637"/>
      <c r="J343" s="637"/>
      <c r="K343" s="637"/>
      <c r="L343" s="637"/>
      <c r="N343" s="637"/>
      <c r="O343" s="637"/>
      <c r="P343" s="637"/>
    </row>
    <row r="344" spans="1:16" s="12" customFormat="1" ht="18" x14ac:dyDescent="0.2">
      <c r="A344" s="606"/>
      <c r="B344" s="666"/>
      <c r="C344" s="666"/>
      <c r="D344" s="666"/>
      <c r="E344" s="634"/>
      <c r="F344" s="637"/>
      <c r="G344" s="637"/>
      <c r="H344" s="637"/>
      <c r="I344" s="637"/>
      <c r="J344" s="637"/>
      <c r="K344" s="637"/>
      <c r="L344" s="637"/>
      <c r="N344" s="637"/>
      <c r="O344" s="637"/>
      <c r="P344" s="637"/>
    </row>
    <row r="345" spans="1:16" s="12" customFormat="1" ht="18" x14ac:dyDescent="0.2">
      <c r="A345" s="606"/>
      <c r="B345" s="666"/>
      <c r="C345" s="666"/>
      <c r="D345" s="666"/>
      <c r="E345" s="634"/>
      <c r="F345" s="637"/>
      <c r="G345" s="637"/>
      <c r="H345" s="637"/>
      <c r="I345" s="637"/>
      <c r="J345" s="637"/>
      <c r="K345" s="637"/>
      <c r="L345" s="637"/>
      <c r="N345" s="637"/>
      <c r="O345" s="637"/>
      <c r="P345" s="637"/>
    </row>
    <row r="346" spans="1:16" s="12" customFormat="1" ht="18" x14ac:dyDescent="0.2">
      <c r="A346" s="606"/>
      <c r="B346" s="666"/>
      <c r="C346" s="666"/>
      <c r="D346" s="666"/>
      <c r="E346" s="634"/>
      <c r="F346" s="637"/>
      <c r="G346" s="637"/>
      <c r="H346" s="637"/>
      <c r="I346" s="637"/>
      <c r="J346" s="637"/>
      <c r="K346" s="637"/>
      <c r="L346" s="637"/>
      <c r="N346" s="637"/>
      <c r="O346" s="637"/>
      <c r="P346" s="637"/>
    </row>
    <row r="347" spans="1:16" s="12" customFormat="1" ht="18" x14ac:dyDescent="0.2">
      <c r="A347" s="606"/>
      <c r="B347" s="666"/>
      <c r="C347" s="666"/>
      <c r="D347" s="666"/>
      <c r="E347" s="634"/>
      <c r="F347" s="637"/>
      <c r="G347" s="637"/>
      <c r="H347" s="637"/>
      <c r="I347" s="637"/>
      <c r="J347" s="637"/>
      <c r="K347" s="637"/>
      <c r="L347" s="637"/>
      <c r="N347" s="637"/>
      <c r="O347" s="637"/>
      <c r="P347" s="637"/>
    </row>
    <row r="348" spans="1:16" s="12" customFormat="1" ht="18" x14ac:dyDescent="0.2">
      <c r="A348" s="606"/>
      <c r="B348" s="666"/>
      <c r="C348" s="666"/>
      <c r="D348" s="666"/>
      <c r="E348" s="634"/>
      <c r="F348" s="637"/>
      <c r="G348" s="637"/>
      <c r="H348" s="637"/>
      <c r="I348" s="637"/>
      <c r="J348" s="637"/>
      <c r="K348" s="637"/>
      <c r="L348" s="637"/>
      <c r="N348" s="637"/>
      <c r="O348" s="637"/>
      <c r="P348" s="637"/>
    </row>
    <row r="349" spans="1:16" s="12" customFormat="1" ht="18" x14ac:dyDescent="0.2">
      <c r="A349" s="606"/>
      <c r="B349" s="666"/>
      <c r="C349" s="666"/>
      <c r="D349" s="666"/>
      <c r="E349" s="634"/>
      <c r="F349" s="637"/>
      <c r="G349" s="637"/>
      <c r="H349" s="637"/>
      <c r="I349" s="637"/>
      <c r="J349" s="637"/>
      <c r="K349" s="637"/>
      <c r="L349" s="637"/>
      <c r="N349" s="637"/>
      <c r="O349" s="637"/>
      <c r="P349" s="637"/>
    </row>
    <row r="350" spans="1:16" s="12" customFormat="1" ht="18" x14ac:dyDescent="0.2">
      <c r="A350" s="606"/>
      <c r="B350" s="666"/>
      <c r="C350" s="666"/>
      <c r="D350" s="666"/>
      <c r="E350" s="634"/>
      <c r="F350" s="637"/>
      <c r="G350" s="637"/>
      <c r="H350" s="637"/>
      <c r="I350" s="637"/>
      <c r="J350" s="637"/>
      <c r="K350" s="637"/>
      <c r="L350" s="637"/>
      <c r="N350" s="637"/>
      <c r="O350" s="637"/>
      <c r="P350" s="637"/>
    </row>
    <row r="351" spans="1:16" s="12" customFormat="1" ht="18" x14ac:dyDescent="0.2">
      <c r="A351" s="606"/>
      <c r="B351" s="666"/>
      <c r="C351" s="666"/>
      <c r="D351" s="666"/>
      <c r="E351" s="634"/>
      <c r="F351" s="637"/>
      <c r="G351" s="637"/>
      <c r="H351" s="637"/>
      <c r="I351" s="637"/>
      <c r="J351" s="637"/>
      <c r="K351" s="637"/>
      <c r="L351" s="637"/>
      <c r="N351" s="637"/>
      <c r="O351" s="637"/>
      <c r="P351" s="637"/>
    </row>
    <row r="352" spans="1:16" s="12" customFormat="1" ht="18" x14ac:dyDescent="0.2">
      <c r="A352" s="606"/>
      <c r="B352" s="666"/>
      <c r="C352" s="666"/>
      <c r="D352" s="666"/>
      <c r="E352" s="634"/>
      <c r="F352" s="637"/>
      <c r="G352" s="637"/>
      <c r="H352" s="637"/>
      <c r="I352" s="637"/>
      <c r="J352" s="637"/>
      <c r="K352" s="637"/>
      <c r="L352" s="637"/>
      <c r="N352" s="637"/>
      <c r="O352" s="637"/>
      <c r="P352" s="637"/>
    </row>
    <row r="353" spans="1:16" s="12" customFormat="1" ht="18" x14ac:dyDescent="0.2">
      <c r="A353" s="606"/>
      <c r="B353" s="666"/>
      <c r="C353" s="666"/>
      <c r="D353" s="666"/>
      <c r="E353" s="634"/>
      <c r="F353" s="637"/>
      <c r="G353" s="637"/>
      <c r="H353" s="637"/>
      <c r="I353" s="637"/>
      <c r="J353" s="637"/>
      <c r="K353" s="637"/>
      <c r="L353" s="637"/>
      <c r="N353" s="637"/>
      <c r="O353" s="637"/>
      <c r="P353" s="637"/>
    </row>
    <row r="354" spans="1:16" s="12" customFormat="1" ht="18" x14ac:dyDescent="0.2">
      <c r="A354" s="606"/>
      <c r="B354" s="666"/>
      <c r="C354" s="666"/>
      <c r="D354" s="666"/>
      <c r="E354" s="634"/>
      <c r="F354" s="637"/>
      <c r="G354" s="637"/>
      <c r="H354" s="637"/>
      <c r="I354" s="637"/>
      <c r="J354" s="637"/>
      <c r="K354" s="637"/>
      <c r="L354" s="637"/>
      <c r="N354" s="637"/>
      <c r="O354" s="637"/>
      <c r="P354" s="637"/>
    </row>
    <row r="355" spans="1:16" s="12" customFormat="1" ht="18" x14ac:dyDescent="0.2">
      <c r="A355" s="606"/>
      <c r="B355" s="666"/>
      <c r="C355" s="666"/>
      <c r="D355" s="666"/>
      <c r="E355" s="634"/>
      <c r="F355" s="637"/>
      <c r="G355" s="637"/>
      <c r="H355" s="637"/>
      <c r="I355" s="637"/>
      <c r="J355" s="637"/>
      <c r="K355" s="637"/>
      <c r="L355" s="637"/>
      <c r="N355" s="637"/>
      <c r="O355" s="637"/>
      <c r="P355" s="637"/>
    </row>
    <row r="356" spans="1:16" s="12" customFormat="1" ht="18" x14ac:dyDescent="0.2">
      <c r="A356" s="606"/>
      <c r="B356" s="666"/>
      <c r="C356" s="666"/>
      <c r="D356" s="666"/>
      <c r="E356" s="634"/>
      <c r="F356" s="637"/>
      <c r="G356" s="637"/>
      <c r="H356" s="637"/>
      <c r="I356" s="637"/>
      <c r="J356" s="637"/>
      <c r="K356" s="637"/>
      <c r="L356" s="637"/>
      <c r="N356" s="637"/>
      <c r="O356" s="637"/>
      <c r="P356" s="637"/>
    </row>
    <row r="357" spans="1:16" s="12" customFormat="1" ht="18" x14ac:dyDescent="0.2">
      <c r="A357" s="606"/>
      <c r="B357" s="666"/>
      <c r="C357" s="666"/>
      <c r="D357" s="666"/>
      <c r="E357" s="634"/>
      <c r="F357" s="637"/>
      <c r="G357" s="637"/>
      <c r="H357" s="637"/>
      <c r="I357" s="637"/>
      <c r="J357" s="637"/>
      <c r="K357" s="637"/>
      <c r="L357" s="637"/>
      <c r="N357" s="637"/>
      <c r="O357" s="637"/>
      <c r="P357" s="637"/>
    </row>
    <row r="358" spans="1:16" s="12" customFormat="1" ht="18" x14ac:dyDescent="0.2">
      <c r="A358" s="606"/>
      <c r="B358" s="666"/>
      <c r="C358" s="666"/>
      <c r="D358" s="666"/>
      <c r="E358" s="634"/>
      <c r="F358" s="637"/>
      <c r="G358" s="637"/>
      <c r="H358" s="637"/>
      <c r="I358" s="637"/>
      <c r="J358" s="637"/>
      <c r="K358" s="637"/>
      <c r="L358" s="637"/>
      <c r="N358" s="637"/>
      <c r="O358" s="637"/>
      <c r="P358" s="637"/>
    </row>
    <row r="359" spans="1:16" s="12" customFormat="1" ht="18" x14ac:dyDescent="0.2">
      <c r="A359" s="606"/>
      <c r="B359" s="666"/>
      <c r="C359" s="666"/>
      <c r="D359" s="666"/>
      <c r="E359" s="634"/>
      <c r="F359" s="637"/>
      <c r="G359" s="637"/>
      <c r="H359" s="637"/>
      <c r="I359" s="637"/>
      <c r="J359" s="637"/>
      <c r="K359" s="637"/>
      <c r="L359" s="637"/>
      <c r="N359" s="637"/>
      <c r="O359" s="637"/>
      <c r="P359" s="637"/>
    </row>
    <row r="360" spans="1:16" s="12" customFormat="1" ht="18" x14ac:dyDescent="0.2">
      <c r="A360" s="606"/>
      <c r="B360" s="666"/>
      <c r="C360" s="666"/>
      <c r="D360" s="666"/>
      <c r="E360" s="634"/>
      <c r="F360" s="637"/>
      <c r="G360" s="637"/>
      <c r="H360" s="637"/>
      <c r="I360" s="637"/>
      <c r="J360" s="637"/>
      <c r="K360" s="637"/>
      <c r="L360" s="637"/>
      <c r="N360" s="637"/>
      <c r="O360" s="637"/>
      <c r="P360" s="637"/>
    </row>
    <row r="361" spans="1:16" s="12" customFormat="1" ht="18" x14ac:dyDescent="0.2">
      <c r="A361" s="606"/>
      <c r="B361" s="666"/>
      <c r="C361" s="666"/>
      <c r="D361" s="666"/>
      <c r="E361" s="634"/>
      <c r="F361" s="637"/>
      <c r="G361" s="637"/>
      <c r="H361" s="637"/>
      <c r="I361" s="637"/>
      <c r="J361" s="637"/>
      <c r="K361" s="637"/>
      <c r="L361" s="637"/>
      <c r="N361" s="637"/>
      <c r="O361" s="637"/>
      <c r="P361" s="637"/>
    </row>
    <row r="362" spans="1:16" s="12" customFormat="1" ht="18" x14ac:dyDescent="0.2">
      <c r="A362" s="606"/>
      <c r="B362" s="666"/>
      <c r="C362" s="666"/>
      <c r="D362" s="666"/>
      <c r="E362" s="634"/>
      <c r="F362" s="637"/>
      <c r="G362" s="637"/>
      <c r="H362" s="637"/>
      <c r="I362" s="637"/>
      <c r="J362" s="637"/>
      <c r="K362" s="637"/>
      <c r="L362" s="637"/>
      <c r="N362" s="637"/>
      <c r="O362" s="637"/>
      <c r="P362" s="637"/>
    </row>
    <row r="363" spans="1:16" s="12" customFormat="1" ht="18" x14ac:dyDescent="0.2">
      <c r="A363" s="606"/>
      <c r="B363" s="666"/>
      <c r="C363" s="666"/>
      <c r="D363" s="666"/>
      <c r="E363" s="634"/>
      <c r="F363" s="637"/>
      <c r="G363" s="637"/>
      <c r="H363" s="637"/>
      <c r="I363" s="637"/>
      <c r="J363" s="637"/>
      <c r="K363" s="637"/>
      <c r="L363" s="637"/>
      <c r="N363" s="637"/>
      <c r="O363" s="637"/>
      <c r="P363" s="637"/>
    </row>
    <row r="364" spans="1:16" s="12" customFormat="1" ht="18" x14ac:dyDescent="0.2">
      <c r="A364" s="606"/>
      <c r="B364" s="666"/>
      <c r="C364" s="666"/>
      <c r="D364" s="666"/>
      <c r="E364" s="634"/>
      <c r="F364" s="637"/>
      <c r="G364" s="637"/>
      <c r="H364" s="637"/>
      <c r="I364" s="637"/>
      <c r="J364" s="637"/>
      <c r="K364" s="637"/>
      <c r="L364" s="637"/>
      <c r="N364" s="637"/>
      <c r="O364" s="637"/>
      <c r="P364" s="637"/>
    </row>
    <row r="365" spans="1:16" s="12" customFormat="1" ht="18" x14ac:dyDescent="0.2">
      <c r="A365" s="606"/>
      <c r="B365" s="666"/>
      <c r="C365" s="666"/>
      <c r="D365" s="666"/>
      <c r="E365" s="634"/>
      <c r="F365" s="637"/>
      <c r="G365" s="637"/>
      <c r="H365" s="637"/>
      <c r="I365" s="637"/>
      <c r="J365" s="637"/>
      <c r="K365" s="637"/>
      <c r="L365" s="637"/>
      <c r="N365" s="637"/>
      <c r="O365" s="637"/>
      <c r="P365" s="637"/>
    </row>
    <row r="366" spans="1:16" s="12" customFormat="1" ht="18" x14ac:dyDescent="0.2">
      <c r="A366" s="606"/>
      <c r="B366" s="666"/>
      <c r="C366" s="666"/>
      <c r="D366" s="666"/>
      <c r="E366" s="634"/>
      <c r="F366" s="637"/>
      <c r="G366" s="637"/>
      <c r="H366" s="637"/>
      <c r="I366" s="637"/>
      <c r="J366" s="637"/>
      <c r="K366" s="637"/>
      <c r="L366" s="637"/>
      <c r="N366" s="637"/>
      <c r="O366" s="637"/>
      <c r="P366" s="637"/>
    </row>
    <row r="367" spans="1:16" s="12" customFormat="1" ht="18" x14ac:dyDescent="0.2">
      <c r="A367" s="606"/>
      <c r="B367" s="666"/>
      <c r="C367" s="666"/>
      <c r="D367" s="666"/>
      <c r="E367" s="634"/>
      <c r="F367" s="637"/>
      <c r="G367" s="637"/>
      <c r="H367" s="637"/>
      <c r="I367" s="637"/>
      <c r="J367" s="637"/>
      <c r="K367" s="637"/>
      <c r="L367" s="637"/>
      <c r="N367" s="637"/>
      <c r="O367" s="637"/>
      <c r="P367" s="637"/>
    </row>
    <row r="368" spans="1:16" s="12" customFormat="1" ht="18" x14ac:dyDescent="0.2">
      <c r="A368" s="606"/>
      <c r="B368" s="666"/>
      <c r="C368" s="666"/>
      <c r="D368" s="666"/>
      <c r="E368" s="634"/>
      <c r="F368" s="637"/>
      <c r="G368" s="637"/>
      <c r="H368" s="637"/>
      <c r="I368" s="637"/>
      <c r="J368" s="637"/>
      <c r="K368" s="637"/>
      <c r="L368" s="637"/>
      <c r="N368" s="637"/>
      <c r="O368" s="637"/>
      <c r="P368" s="637"/>
    </row>
    <row r="369" spans="1:16" s="12" customFormat="1" ht="18" x14ac:dyDescent="0.2">
      <c r="A369" s="606"/>
      <c r="B369" s="666"/>
      <c r="C369" s="666"/>
      <c r="D369" s="666"/>
      <c r="E369" s="634"/>
      <c r="F369" s="637"/>
      <c r="G369" s="637"/>
      <c r="H369" s="637"/>
      <c r="I369" s="637"/>
      <c r="J369" s="637"/>
      <c r="K369" s="637"/>
      <c r="L369" s="637"/>
      <c r="N369" s="637"/>
      <c r="O369" s="637"/>
      <c r="P369" s="637"/>
    </row>
    <row r="370" spans="1:16" s="12" customFormat="1" ht="18" x14ac:dyDescent="0.2">
      <c r="A370" s="606"/>
      <c r="B370" s="666"/>
      <c r="C370" s="666"/>
      <c r="D370" s="666"/>
      <c r="E370" s="634"/>
      <c r="F370" s="637"/>
      <c r="G370" s="637"/>
      <c r="H370" s="637"/>
      <c r="I370" s="637"/>
      <c r="J370" s="637"/>
      <c r="K370" s="637"/>
      <c r="L370" s="637"/>
      <c r="N370" s="637"/>
      <c r="O370" s="637"/>
      <c r="P370" s="637"/>
    </row>
    <row r="371" spans="1:16" s="12" customFormat="1" ht="18" x14ac:dyDescent="0.2">
      <c r="A371" s="606"/>
      <c r="B371" s="666"/>
      <c r="C371" s="666"/>
      <c r="D371" s="666"/>
      <c r="E371" s="634"/>
      <c r="F371" s="637"/>
      <c r="G371" s="637"/>
      <c r="H371" s="637"/>
      <c r="I371" s="637"/>
      <c r="J371" s="637"/>
      <c r="K371" s="637"/>
      <c r="L371" s="637"/>
      <c r="N371" s="637"/>
      <c r="O371" s="637"/>
      <c r="P371" s="637"/>
    </row>
    <row r="372" spans="1:16" s="12" customFormat="1" ht="18" x14ac:dyDescent="0.2">
      <c r="A372" s="606"/>
      <c r="B372" s="666"/>
      <c r="C372" s="666"/>
      <c r="D372" s="666"/>
      <c r="E372" s="634"/>
      <c r="F372" s="637"/>
      <c r="G372" s="637"/>
      <c r="H372" s="637"/>
      <c r="I372" s="637"/>
      <c r="J372" s="637"/>
      <c r="K372" s="637"/>
      <c r="L372" s="637"/>
      <c r="N372" s="637"/>
      <c r="O372" s="637"/>
      <c r="P372" s="637"/>
    </row>
    <row r="373" spans="1:16" ht="18" x14ac:dyDescent="0.2">
      <c r="B373" s="715"/>
      <c r="C373" s="715"/>
      <c r="D373" s="715"/>
      <c r="E373" s="716"/>
      <c r="G373" s="637"/>
      <c r="H373" s="637"/>
      <c r="I373" s="637"/>
      <c r="J373" s="637"/>
      <c r="K373" s="637"/>
    </row>
    <row r="374" spans="1:16" ht="18" x14ac:dyDescent="0.2">
      <c r="B374" s="715"/>
      <c r="C374" s="715"/>
      <c r="D374" s="715"/>
      <c r="E374" s="716"/>
    </row>
    <row r="375" spans="1:16" ht="18" x14ac:dyDescent="0.2">
      <c r="B375" s="715"/>
      <c r="C375" s="715"/>
      <c r="D375" s="715"/>
      <c r="E375" s="716"/>
    </row>
    <row r="376" spans="1:16" ht="18" x14ac:dyDescent="0.2">
      <c r="B376" s="715"/>
      <c r="C376" s="715"/>
      <c r="D376" s="715"/>
      <c r="E376" s="716"/>
    </row>
    <row r="377" spans="1:16" ht="18" x14ac:dyDescent="0.2">
      <c r="B377" s="715"/>
      <c r="C377" s="715"/>
      <c r="D377" s="715"/>
      <c r="E377" s="716"/>
    </row>
    <row r="378" spans="1:16" ht="18" x14ac:dyDescent="0.2">
      <c r="B378" s="715"/>
      <c r="C378" s="715"/>
      <c r="D378" s="715"/>
      <c r="E378" s="716"/>
    </row>
    <row r="379" spans="1:16" ht="18" x14ac:dyDescent="0.2">
      <c r="B379" s="715"/>
      <c r="C379" s="715"/>
      <c r="D379" s="715"/>
      <c r="E379" s="716"/>
    </row>
    <row r="380" spans="1:16" ht="18" x14ac:dyDescent="0.2">
      <c r="B380" s="715"/>
      <c r="C380" s="715"/>
      <c r="D380" s="715"/>
      <c r="E380" s="716"/>
    </row>
    <row r="381" spans="1:16" ht="18" x14ac:dyDescent="0.2">
      <c r="B381" s="715"/>
      <c r="C381" s="715"/>
      <c r="D381" s="715"/>
      <c r="E381" s="716"/>
    </row>
    <row r="382" spans="1:16" ht="18" x14ac:dyDescent="0.2">
      <c r="B382" s="715"/>
      <c r="C382" s="715"/>
      <c r="D382" s="715"/>
      <c r="E382" s="716"/>
    </row>
    <row r="383" spans="1:16" ht="18" x14ac:dyDescent="0.2">
      <c r="B383" s="715"/>
      <c r="C383" s="715"/>
      <c r="D383" s="715"/>
      <c r="E383" s="716"/>
    </row>
    <row r="384" spans="1:16" ht="18" x14ac:dyDescent="0.2">
      <c r="B384" s="715"/>
      <c r="C384" s="715"/>
      <c r="D384" s="715"/>
      <c r="E384" s="716"/>
    </row>
    <row r="385" spans="2:5" ht="18" x14ac:dyDescent="0.2">
      <c r="B385" s="715"/>
      <c r="C385" s="715"/>
      <c r="D385" s="715"/>
      <c r="E385" s="716"/>
    </row>
    <row r="386" spans="2:5" ht="18" x14ac:dyDescent="0.2">
      <c r="B386" s="715"/>
      <c r="C386" s="715"/>
      <c r="D386" s="715"/>
      <c r="E386" s="716"/>
    </row>
    <row r="387" spans="2:5" ht="18" x14ac:dyDescent="0.2">
      <c r="B387" s="715"/>
      <c r="C387" s="715"/>
      <c r="D387" s="715"/>
      <c r="E387" s="716"/>
    </row>
    <row r="388" spans="2:5" ht="18" x14ac:dyDescent="0.2">
      <c r="B388" s="715"/>
      <c r="C388" s="715"/>
      <c r="D388" s="715"/>
      <c r="E388" s="716"/>
    </row>
    <row r="389" spans="2:5" ht="18" x14ac:dyDescent="0.2">
      <c r="B389" s="715"/>
      <c r="C389" s="715"/>
      <c r="D389" s="715"/>
      <c r="E389" s="716"/>
    </row>
    <row r="390" spans="2:5" ht="18" x14ac:dyDescent="0.2">
      <c r="B390" s="715"/>
      <c r="C390" s="715"/>
      <c r="D390" s="715"/>
      <c r="E390" s="716"/>
    </row>
    <row r="391" spans="2:5" ht="18" x14ac:dyDescent="0.2">
      <c r="B391" s="715"/>
      <c r="C391" s="715"/>
      <c r="D391" s="715"/>
      <c r="E391" s="716"/>
    </row>
    <row r="392" spans="2:5" ht="18" x14ac:dyDescent="0.2">
      <c r="B392" s="715"/>
      <c r="C392" s="715"/>
      <c r="D392" s="715"/>
      <c r="E392" s="716"/>
    </row>
    <row r="393" spans="2:5" ht="18" x14ac:dyDescent="0.2">
      <c r="B393" s="715"/>
      <c r="C393" s="715"/>
      <c r="D393" s="715"/>
      <c r="E393" s="716"/>
    </row>
    <row r="394" spans="2:5" ht="18" x14ac:dyDescent="0.2">
      <c r="B394" s="715"/>
      <c r="C394" s="715"/>
      <c r="D394" s="715"/>
      <c r="E394" s="716"/>
    </row>
    <row r="395" spans="2:5" ht="18" x14ac:dyDescent="0.2">
      <c r="B395" s="715"/>
      <c r="C395" s="715"/>
      <c r="D395" s="715"/>
      <c r="E395" s="716"/>
    </row>
    <row r="396" spans="2:5" ht="18" x14ac:dyDescent="0.2">
      <c r="B396" s="715"/>
      <c r="C396" s="715"/>
      <c r="D396" s="715"/>
      <c r="E396" s="716"/>
    </row>
    <row r="397" spans="2:5" ht="18" x14ac:dyDescent="0.2">
      <c r="B397" s="715"/>
      <c r="C397" s="715"/>
      <c r="D397" s="715"/>
      <c r="E397" s="716"/>
    </row>
    <row r="398" spans="2:5" ht="18" x14ac:dyDescent="0.2">
      <c r="B398" s="715"/>
      <c r="C398" s="715"/>
      <c r="D398" s="715"/>
      <c r="E398" s="716"/>
    </row>
    <row r="399" spans="2:5" ht="18" x14ac:dyDescent="0.2">
      <c r="B399" s="715"/>
      <c r="C399" s="715"/>
      <c r="D399" s="715"/>
      <c r="E399" s="716"/>
    </row>
    <row r="400" spans="2:5" ht="18" x14ac:dyDescent="0.2">
      <c r="B400" s="715"/>
      <c r="C400" s="715"/>
      <c r="D400" s="715"/>
      <c r="E400" s="716"/>
    </row>
    <row r="401" spans="2:5" ht="18" x14ac:dyDescent="0.2">
      <c r="B401" s="715"/>
      <c r="C401" s="715"/>
      <c r="D401" s="715"/>
      <c r="E401" s="716"/>
    </row>
    <row r="402" spans="2:5" ht="18" x14ac:dyDescent="0.2">
      <c r="B402" s="715"/>
      <c r="C402" s="715"/>
      <c r="D402" s="715"/>
      <c r="E402" s="716"/>
    </row>
    <row r="403" spans="2:5" ht="18" x14ac:dyDescent="0.2">
      <c r="B403" s="715"/>
      <c r="C403" s="715"/>
      <c r="D403" s="715"/>
      <c r="E403" s="716"/>
    </row>
    <row r="404" spans="2:5" ht="18" x14ac:dyDescent="0.2">
      <c r="B404" s="715"/>
      <c r="C404" s="715"/>
      <c r="D404" s="715"/>
      <c r="E404" s="716"/>
    </row>
    <row r="405" spans="2:5" ht="18" x14ac:dyDescent="0.2">
      <c r="B405" s="715"/>
      <c r="C405" s="715"/>
      <c r="D405" s="715"/>
      <c r="E405" s="716"/>
    </row>
    <row r="406" spans="2:5" ht="18" x14ac:dyDescent="0.2">
      <c r="B406" s="715"/>
      <c r="C406" s="715"/>
      <c r="D406" s="715"/>
      <c r="E406" s="716"/>
    </row>
    <row r="407" spans="2:5" ht="18" x14ac:dyDescent="0.2">
      <c r="B407" s="715"/>
      <c r="C407" s="715"/>
      <c r="D407" s="715"/>
      <c r="E407" s="716"/>
    </row>
    <row r="408" spans="2:5" ht="18" x14ac:dyDescent="0.2">
      <c r="B408" s="715"/>
      <c r="C408" s="715"/>
      <c r="D408" s="715"/>
      <c r="E408" s="716"/>
    </row>
    <row r="409" spans="2:5" ht="18" x14ac:dyDescent="0.2">
      <c r="B409" s="715"/>
      <c r="C409" s="715"/>
      <c r="D409" s="715"/>
      <c r="E409" s="716"/>
    </row>
    <row r="410" spans="2:5" ht="18" x14ac:dyDescent="0.2">
      <c r="B410" s="715"/>
      <c r="C410" s="715"/>
      <c r="D410" s="715"/>
      <c r="E410" s="716"/>
    </row>
    <row r="411" spans="2:5" ht="18" x14ac:dyDescent="0.2">
      <c r="B411" s="715"/>
      <c r="C411" s="715"/>
      <c r="D411" s="715"/>
      <c r="E411" s="716"/>
    </row>
    <row r="412" spans="2:5" ht="18" x14ac:dyDescent="0.2">
      <c r="B412" s="715"/>
      <c r="C412" s="715"/>
      <c r="D412" s="715"/>
      <c r="E412" s="716"/>
    </row>
    <row r="413" spans="2:5" ht="18" x14ac:dyDescent="0.2">
      <c r="B413" s="715"/>
      <c r="C413" s="715"/>
      <c r="D413" s="715"/>
      <c r="E413" s="716"/>
    </row>
    <row r="414" spans="2:5" ht="18" x14ac:dyDescent="0.2">
      <c r="B414" s="715"/>
      <c r="C414" s="715"/>
      <c r="D414" s="715"/>
      <c r="E414" s="716"/>
    </row>
    <row r="415" spans="2:5" ht="18" x14ac:dyDescent="0.2">
      <c r="B415" s="715"/>
      <c r="C415" s="715"/>
      <c r="D415" s="715"/>
      <c r="E415" s="716"/>
    </row>
    <row r="416" spans="2:5" ht="18" x14ac:dyDescent="0.2">
      <c r="B416" s="715"/>
      <c r="C416" s="715"/>
      <c r="D416" s="715"/>
      <c r="E416" s="716"/>
    </row>
    <row r="417" spans="2:5" ht="18" x14ac:dyDescent="0.2">
      <c r="B417" s="715"/>
      <c r="C417" s="715"/>
      <c r="D417" s="715"/>
      <c r="E417" s="716"/>
    </row>
    <row r="418" spans="2:5" ht="18" x14ac:dyDescent="0.2">
      <c r="B418" s="715"/>
      <c r="C418" s="715"/>
      <c r="D418" s="715"/>
      <c r="E418" s="716"/>
    </row>
    <row r="419" spans="2:5" ht="18" x14ac:dyDescent="0.2">
      <c r="B419" s="715"/>
      <c r="C419" s="715"/>
      <c r="D419" s="715"/>
      <c r="E419" s="716"/>
    </row>
    <row r="420" spans="2:5" ht="18" x14ac:dyDescent="0.2">
      <c r="B420" s="715"/>
      <c r="C420" s="715"/>
      <c r="D420" s="715"/>
      <c r="E420" s="716"/>
    </row>
    <row r="421" spans="2:5" ht="18" x14ac:dyDescent="0.2">
      <c r="B421" s="715"/>
      <c r="C421" s="715"/>
      <c r="D421" s="715"/>
      <c r="E421" s="716"/>
    </row>
    <row r="422" spans="2:5" ht="18" x14ac:dyDescent="0.2">
      <c r="B422" s="715"/>
      <c r="C422" s="715"/>
      <c r="D422" s="715"/>
      <c r="E422" s="716"/>
    </row>
    <row r="423" spans="2:5" ht="18" x14ac:dyDescent="0.2">
      <c r="B423" s="715"/>
      <c r="C423" s="715"/>
      <c r="D423" s="715"/>
      <c r="E423" s="716"/>
    </row>
    <row r="424" spans="2:5" ht="18" x14ac:dyDescent="0.2">
      <c r="B424" s="715"/>
      <c r="C424" s="715"/>
      <c r="D424" s="715"/>
      <c r="E424" s="716"/>
    </row>
    <row r="425" spans="2:5" ht="18" x14ac:dyDescent="0.2">
      <c r="B425" s="715"/>
      <c r="C425" s="715"/>
      <c r="D425" s="715"/>
      <c r="E425" s="716"/>
    </row>
    <row r="426" spans="2:5" ht="18" x14ac:dyDescent="0.2">
      <c r="B426" s="715"/>
      <c r="C426" s="715"/>
      <c r="D426" s="715"/>
      <c r="E426" s="716"/>
    </row>
    <row r="427" spans="2:5" ht="18" x14ac:dyDescent="0.2">
      <c r="B427" s="715"/>
      <c r="C427" s="715"/>
      <c r="D427" s="715"/>
      <c r="E427" s="716"/>
    </row>
    <row r="428" spans="2:5" ht="18" x14ac:dyDescent="0.2">
      <c r="B428" s="715"/>
      <c r="C428" s="715"/>
      <c r="D428" s="715"/>
      <c r="E428" s="716"/>
    </row>
    <row r="429" spans="2:5" ht="18" x14ac:dyDescent="0.2">
      <c r="B429" s="715"/>
      <c r="C429" s="715"/>
      <c r="D429" s="715"/>
      <c r="E429" s="716"/>
    </row>
    <row r="430" spans="2:5" ht="18" x14ac:dyDescent="0.2">
      <c r="B430" s="715"/>
      <c r="C430" s="715"/>
      <c r="D430" s="715"/>
      <c r="E430" s="716"/>
    </row>
    <row r="431" spans="2:5" ht="18" x14ac:dyDescent="0.2">
      <c r="B431" s="715"/>
      <c r="C431" s="715"/>
      <c r="D431" s="715"/>
      <c r="E431" s="716"/>
    </row>
    <row r="432" spans="2:5" ht="18" x14ac:dyDescent="0.2">
      <c r="E432" s="716"/>
    </row>
    <row r="433" spans="5:5" ht="18" x14ac:dyDescent="0.2">
      <c r="E433" s="716"/>
    </row>
    <row r="434" spans="5:5" ht="18" x14ac:dyDescent="0.2">
      <c r="E434" s="716"/>
    </row>
    <row r="435" spans="5:5" ht="18" x14ac:dyDescent="0.2">
      <c r="E435" s="716"/>
    </row>
    <row r="436" spans="5:5" ht="18" x14ac:dyDescent="0.2">
      <c r="E436" s="716"/>
    </row>
    <row r="437" spans="5:5" ht="18" x14ac:dyDescent="0.2">
      <c r="E437" s="716"/>
    </row>
    <row r="438" spans="5:5" ht="18" x14ac:dyDescent="0.2">
      <c r="E438" s="716"/>
    </row>
    <row r="439" spans="5:5" ht="18" x14ac:dyDescent="0.2">
      <c r="E439" s="716"/>
    </row>
    <row r="440" spans="5:5" ht="18" x14ac:dyDescent="0.2">
      <c r="E440" s="716"/>
    </row>
    <row r="441" spans="5:5" ht="18" x14ac:dyDescent="0.2">
      <c r="E441" s="716"/>
    </row>
    <row r="442" spans="5:5" ht="18" x14ac:dyDescent="0.2">
      <c r="E442" s="716"/>
    </row>
    <row r="443" spans="5:5" ht="18" x14ac:dyDescent="0.2">
      <c r="E443" s="716"/>
    </row>
    <row r="444" spans="5:5" ht="18" x14ac:dyDescent="0.2">
      <c r="E444" s="716"/>
    </row>
    <row r="445" spans="5:5" ht="18" x14ac:dyDescent="0.2">
      <c r="E445" s="716"/>
    </row>
    <row r="446" spans="5:5" ht="18" x14ac:dyDescent="0.2">
      <c r="E446" s="716"/>
    </row>
    <row r="447" spans="5:5" ht="18" x14ac:dyDescent="0.2">
      <c r="E447" s="716"/>
    </row>
    <row r="448" spans="5:5" ht="18" x14ac:dyDescent="0.2">
      <c r="E448" s="716"/>
    </row>
    <row r="449" spans="5:5" ht="18" x14ac:dyDescent="0.2">
      <c r="E449" s="716"/>
    </row>
    <row r="450" spans="5:5" ht="18" x14ac:dyDescent="0.2">
      <c r="E450" s="716"/>
    </row>
    <row r="451" spans="5:5" ht="18" x14ac:dyDescent="0.2">
      <c r="E451" s="716"/>
    </row>
    <row r="452" spans="5:5" ht="18" x14ac:dyDescent="0.2">
      <c r="E452" s="716"/>
    </row>
    <row r="453" spans="5:5" ht="18" x14ac:dyDescent="0.2">
      <c r="E453" s="716"/>
    </row>
    <row r="454" spans="5:5" ht="18" x14ac:dyDescent="0.2">
      <c r="E454" s="716"/>
    </row>
    <row r="455" spans="5:5" ht="18" x14ac:dyDescent="0.2">
      <c r="E455" s="716"/>
    </row>
    <row r="456" spans="5:5" ht="18" x14ac:dyDescent="0.2">
      <c r="E456" s="716"/>
    </row>
    <row r="457" spans="5:5" ht="18" x14ac:dyDescent="0.2">
      <c r="E457" s="716"/>
    </row>
    <row r="458" spans="5:5" ht="18" x14ac:dyDescent="0.2">
      <c r="E458" s="716"/>
    </row>
    <row r="459" spans="5:5" ht="18" x14ac:dyDescent="0.2">
      <c r="E459" s="716"/>
    </row>
    <row r="460" spans="5:5" ht="18" x14ac:dyDescent="0.2">
      <c r="E460" s="716"/>
    </row>
    <row r="461" spans="5:5" ht="18" x14ac:dyDescent="0.2">
      <c r="E461" s="716"/>
    </row>
    <row r="462" spans="5:5" ht="18" x14ac:dyDescent="0.2">
      <c r="E462" s="716"/>
    </row>
    <row r="463" spans="5:5" ht="18" x14ac:dyDescent="0.2">
      <c r="E463" s="716"/>
    </row>
    <row r="464" spans="5:5" ht="18" x14ac:dyDescent="0.2">
      <c r="E464" s="716"/>
    </row>
    <row r="465" spans="5:5" ht="18" x14ac:dyDescent="0.2">
      <c r="E465" s="716"/>
    </row>
    <row r="466" spans="5:5" ht="18" x14ac:dyDescent="0.2">
      <c r="E466" s="716"/>
    </row>
    <row r="467" spans="5:5" ht="18" x14ac:dyDescent="0.2">
      <c r="E467" s="716"/>
    </row>
    <row r="468" spans="5:5" ht="18" x14ac:dyDescent="0.2">
      <c r="E468" s="716"/>
    </row>
    <row r="469" spans="5:5" ht="18" x14ac:dyDescent="0.2">
      <c r="E469" s="716"/>
    </row>
    <row r="470" spans="5:5" ht="18" x14ac:dyDescent="0.2">
      <c r="E470" s="716"/>
    </row>
    <row r="471" spans="5:5" ht="18" x14ac:dyDescent="0.2">
      <c r="E471" s="716"/>
    </row>
    <row r="472" spans="5:5" ht="18" x14ac:dyDescent="0.2">
      <c r="E472" s="716"/>
    </row>
    <row r="473" spans="5:5" ht="18" x14ac:dyDescent="0.2">
      <c r="E473" s="716"/>
    </row>
    <row r="474" spans="5:5" ht="18" x14ac:dyDescent="0.2">
      <c r="E474" s="716"/>
    </row>
    <row r="475" spans="5:5" ht="18" x14ac:dyDescent="0.2">
      <c r="E475" s="716"/>
    </row>
    <row r="476" spans="5:5" ht="18" x14ac:dyDescent="0.2">
      <c r="E476" s="716"/>
    </row>
    <row r="477" spans="5:5" ht="18" x14ac:dyDescent="0.2">
      <c r="E477" s="716"/>
    </row>
    <row r="478" spans="5:5" ht="18" x14ac:dyDescent="0.2">
      <c r="E478" s="716"/>
    </row>
    <row r="479" spans="5:5" ht="18" x14ac:dyDescent="0.2">
      <c r="E479" s="716"/>
    </row>
    <row r="480" spans="5:5" ht="18" x14ac:dyDescent="0.2">
      <c r="E480" s="716"/>
    </row>
    <row r="481" spans="5:5" ht="18" x14ac:dyDescent="0.2">
      <c r="E481" s="716"/>
    </row>
    <row r="482" spans="5:5" ht="18" x14ac:dyDescent="0.2">
      <c r="E482" s="716"/>
    </row>
    <row r="483" spans="5:5" ht="18" x14ac:dyDescent="0.2">
      <c r="E483" s="716"/>
    </row>
    <row r="484" spans="5:5" ht="18" x14ac:dyDescent="0.2">
      <c r="E484" s="716"/>
    </row>
    <row r="485" spans="5:5" ht="18" x14ac:dyDescent="0.2">
      <c r="E485" s="716"/>
    </row>
    <row r="486" spans="5:5" ht="18" x14ac:dyDescent="0.2">
      <c r="E486" s="716"/>
    </row>
    <row r="487" spans="5:5" ht="18" x14ac:dyDescent="0.2">
      <c r="E487" s="716"/>
    </row>
    <row r="488" spans="5:5" ht="18" x14ac:dyDescent="0.2">
      <c r="E488" s="716"/>
    </row>
    <row r="489" spans="5:5" ht="18" x14ac:dyDescent="0.2">
      <c r="E489" s="716"/>
    </row>
    <row r="490" spans="5:5" ht="18" x14ac:dyDescent="0.2">
      <c r="E490" s="716"/>
    </row>
    <row r="491" spans="5:5" ht="18" x14ac:dyDescent="0.2">
      <c r="E491" s="716"/>
    </row>
    <row r="492" spans="5:5" ht="18" x14ac:dyDescent="0.2">
      <c r="E492" s="716"/>
    </row>
    <row r="493" spans="5:5" ht="18" x14ac:dyDescent="0.2">
      <c r="E493" s="716"/>
    </row>
    <row r="494" spans="5:5" ht="18" x14ac:dyDescent="0.2">
      <c r="E494" s="716"/>
    </row>
    <row r="495" spans="5:5" ht="18" x14ac:dyDescent="0.2">
      <c r="E495" s="716"/>
    </row>
    <row r="496" spans="5:5" ht="18" x14ac:dyDescent="0.2">
      <c r="E496" s="716"/>
    </row>
    <row r="497" spans="5:5" ht="18" x14ac:dyDescent="0.2">
      <c r="E497" s="716"/>
    </row>
    <row r="498" spans="5:5" ht="18" x14ac:dyDescent="0.2">
      <c r="E498" s="716"/>
    </row>
    <row r="499" spans="5:5" ht="18" x14ac:dyDescent="0.2">
      <c r="E499" s="716"/>
    </row>
    <row r="500" spans="5:5" ht="18" x14ac:dyDescent="0.2">
      <c r="E500" s="716"/>
    </row>
    <row r="501" spans="5:5" ht="18" x14ac:dyDescent="0.2">
      <c r="E501" s="716"/>
    </row>
    <row r="502" spans="5:5" ht="18" x14ac:dyDescent="0.2">
      <c r="E502" s="716"/>
    </row>
    <row r="503" spans="5:5" ht="18" x14ac:dyDescent="0.2">
      <c r="E503" s="716"/>
    </row>
    <row r="504" spans="5:5" ht="18" x14ac:dyDescent="0.2">
      <c r="E504" s="716"/>
    </row>
    <row r="505" spans="5:5" ht="18" x14ac:dyDescent="0.2">
      <c r="E505" s="716"/>
    </row>
    <row r="506" spans="5:5" ht="18" x14ac:dyDescent="0.2">
      <c r="E506" s="716"/>
    </row>
    <row r="507" spans="5:5" ht="18" x14ac:dyDescent="0.2">
      <c r="E507" s="716"/>
    </row>
    <row r="508" spans="5:5" ht="18" x14ac:dyDescent="0.2">
      <c r="E508" s="716"/>
    </row>
    <row r="509" spans="5:5" ht="18" x14ac:dyDescent="0.2">
      <c r="E509" s="716"/>
    </row>
    <row r="510" spans="5:5" ht="18" x14ac:dyDescent="0.2">
      <c r="E510" s="716"/>
    </row>
    <row r="511" spans="5:5" ht="18" x14ac:dyDescent="0.2">
      <c r="E511" s="716"/>
    </row>
    <row r="512" spans="5:5" ht="18" x14ac:dyDescent="0.2">
      <c r="E512" s="716"/>
    </row>
    <row r="513" spans="5:5" ht="18" x14ac:dyDescent="0.2">
      <c r="E513" s="716"/>
    </row>
    <row r="514" spans="5:5" ht="18" x14ac:dyDescent="0.2">
      <c r="E514" s="716"/>
    </row>
    <row r="515" spans="5:5" ht="18" x14ac:dyDescent="0.2">
      <c r="E515" s="716"/>
    </row>
    <row r="516" spans="5:5" ht="18" x14ac:dyDescent="0.2">
      <c r="E516" s="716"/>
    </row>
    <row r="517" spans="5:5" ht="18" x14ac:dyDescent="0.2">
      <c r="E517" s="716"/>
    </row>
    <row r="518" spans="5:5" ht="18" x14ac:dyDescent="0.2">
      <c r="E518" s="716"/>
    </row>
    <row r="519" spans="5:5" ht="18" x14ac:dyDescent="0.2">
      <c r="E519" s="716"/>
    </row>
    <row r="520" spans="5:5" ht="18" x14ac:dyDescent="0.2">
      <c r="E520" s="716"/>
    </row>
    <row r="521" spans="5:5" ht="18" x14ac:dyDescent="0.2">
      <c r="E521" s="716"/>
    </row>
    <row r="522" spans="5:5" ht="18" x14ac:dyDescent="0.2">
      <c r="E522" s="716"/>
    </row>
    <row r="523" spans="5:5" ht="18" x14ac:dyDescent="0.2">
      <c r="E523" s="716"/>
    </row>
    <row r="524" spans="5:5" ht="18" x14ac:dyDescent="0.2">
      <c r="E524" s="716"/>
    </row>
    <row r="525" spans="5:5" ht="18" x14ac:dyDescent="0.2">
      <c r="E525" s="716"/>
    </row>
    <row r="526" spans="5:5" ht="18" x14ac:dyDescent="0.2">
      <c r="E526" s="716"/>
    </row>
    <row r="527" spans="5:5" ht="18" x14ac:dyDescent="0.2">
      <c r="E527" s="716"/>
    </row>
    <row r="528" spans="5:5" ht="18" x14ac:dyDescent="0.2">
      <c r="E528" s="716"/>
    </row>
    <row r="529" spans="5:5" ht="18" x14ac:dyDescent="0.2">
      <c r="E529" s="716"/>
    </row>
    <row r="530" spans="5:5" ht="18" x14ac:dyDescent="0.2">
      <c r="E530" s="716"/>
    </row>
    <row r="531" spans="5:5" ht="18" x14ac:dyDescent="0.2">
      <c r="E531" s="716"/>
    </row>
    <row r="532" spans="5:5" ht="18" x14ac:dyDescent="0.2">
      <c r="E532" s="716"/>
    </row>
    <row r="533" spans="5:5" ht="18" x14ac:dyDescent="0.2">
      <c r="E533" s="716"/>
    </row>
    <row r="534" spans="5:5" ht="18" x14ac:dyDescent="0.2">
      <c r="E534" s="716"/>
    </row>
    <row r="535" spans="5:5" ht="18" x14ac:dyDescent="0.2">
      <c r="E535" s="716"/>
    </row>
    <row r="536" spans="5:5" ht="18" x14ac:dyDescent="0.2">
      <c r="E536" s="716"/>
    </row>
    <row r="537" spans="5:5" ht="18" x14ac:dyDescent="0.2">
      <c r="E537" s="716"/>
    </row>
    <row r="538" spans="5:5" ht="18" x14ac:dyDescent="0.2">
      <c r="E538" s="716"/>
    </row>
    <row r="539" spans="5:5" ht="18" x14ac:dyDescent="0.2">
      <c r="E539" s="716"/>
    </row>
    <row r="540" spans="5:5" ht="18" x14ac:dyDescent="0.2">
      <c r="E540" s="716"/>
    </row>
    <row r="541" spans="5:5" ht="18" x14ac:dyDescent="0.2">
      <c r="E541" s="716"/>
    </row>
    <row r="542" spans="5:5" ht="18" x14ac:dyDescent="0.2">
      <c r="E542" s="716"/>
    </row>
    <row r="543" spans="5:5" ht="18" x14ac:dyDescent="0.2">
      <c r="E543" s="716"/>
    </row>
    <row r="544" spans="5:5" ht="18" x14ac:dyDescent="0.2">
      <c r="E544" s="716"/>
    </row>
    <row r="545" spans="5:5" ht="18" x14ac:dyDescent="0.2">
      <c r="E545" s="716"/>
    </row>
    <row r="546" spans="5:5" ht="18" x14ac:dyDescent="0.2">
      <c r="E546" s="716"/>
    </row>
    <row r="547" spans="5:5" ht="18" x14ac:dyDescent="0.2">
      <c r="E547" s="716"/>
    </row>
    <row r="548" spans="5:5" ht="18" x14ac:dyDescent="0.2">
      <c r="E548" s="716"/>
    </row>
    <row r="549" spans="5:5" ht="18" x14ac:dyDescent="0.2">
      <c r="E549" s="716"/>
    </row>
    <row r="550" spans="5:5" ht="18" x14ac:dyDescent="0.2">
      <c r="E550" s="716"/>
    </row>
    <row r="551" spans="5:5" ht="18" x14ac:dyDescent="0.2">
      <c r="E551" s="716"/>
    </row>
    <row r="552" spans="5:5" ht="18" x14ac:dyDescent="0.2">
      <c r="E552" s="716"/>
    </row>
    <row r="553" spans="5:5" ht="18" x14ac:dyDescent="0.2">
      <c r="E553" s="716"/>
    </row>
    <row r="554" spans="5:5" ht="18" x14ac:dyDescent="0.2">
      <c r="E554" s="716"/>
    </row>
    <row r="555" spans="5:5" ht="18" x14ac:dyDescent="0.2">
      <c r="E555" s="716"/>
    </row>
    <row r="556" spans="5:5" ht="18" x14ac:dyDescent="0.2">
      <c r="E556" s="716"/>
    </row>
    <row r="557" spans="5:5" ht="18" x14ac:dyDescent="0.2">
      <c r="E557" s="716"/>
    </row>
    <row r="558" spans="5:5" ht="18" x14ac:dyDescent="0.2">
      <c r="E558" s="716"/>
    </row>
    <row r="559" spans="5:5" ht="18" x14ac:dyDescent="0.2">
      <c r="E559" s="716"/>
    </row>
    <row r="560" spans="5:5" ht="18" x14ac:dyDescent="0.2">
      <c r="E560" s="716"/>
    </row>
    <row r="561" spans="5:5" ht="18" x14ac:dyDescent="0.2">
      <c r="E561" s="716"/>
    </row>
    <row r="562" spans="5:5" ht="18" x14ac:dyDescent="0.2">
      <c r="E562" s="716"/>
    </row>
    <row r="563" spans="5:5" ht="18" x14ac:dyDescent="0.2">
      <c r="E563" s="716"/>
    </row>
    <row r="564" spans="5:5" ht="18" x14ac:dyDescent="0.2">
      <c r="E564" s="716"/>
    </row>
    <row r="565" spans="5:5" ht="18" x14ac:dyDescent="0.2">
      <c r="E565" s="716"/>
    </row>
    <row r="566" spans="5:5" ht="18" x14ac:dyDescent="0.2">
      <c r="E566" s="716"/>
    </row>
    <row r="567" spans="5:5" ht="18" x14ac:dyDescent="0.2">
      <c r="E567" s="716"/>
    </row>
    <row r="568" spans="5:5" ht="18" x14ac:dyDescent="0.2">
      <c r="E568" s="716"/>
    </row>
    <row r="569" spans="5:5" ht="18" x14ac:dyDescent="0.2">
      <c r="E569" s="716"/>
    </row>
    <row r="570" spans="5:5" ht="18" x14ac:dyDescent="0.2">
      <c r="E570" s="716"/>
    </row>
    <row r="571" spans="5:5" ht="18" x14ac:dyDescent="0.2">
      <c r="E571" s="716"/>
    </row>
    <row r="572" spans="5:5" ht="18" x14ac:dyDescent="0.2">
      <c r="E572" s="716"/>
    </row>
    <row r="573" spans="5:5" ht="18" x14ac:dyDescent="0.2">
      <c r="E573" s="716"/>
    </row>
    <row r="574" spans="5:5" ht="18" x14ac:dyDescent="0.2">
      <c r="E574" s="716"/>
    </row>
    <row r="575" spans="5:5" ht="18" x14ac:dyDescent="0.2">
      <c r="E575" s="716"/>
    </row>
    <row r="576" spans="5:5" ht="18" x14ac:dyDescent="0.2">
      <c r="E576" s="716"/>
    </row>
    <row r="577" spans="5:5" ht="18" x14ac:dyDescent="0.2">
      <c r="E577" s="716"/>
    </row>
    <row r="578" spans="5:5" ht="18" x14ac:dyDescent="0.2">
      <c r="E578" s="716"/>
    </row>
    <row r="579" spans="5:5" ht="18" x14ac:dyDescent="0.2">
      <c r="E579" s="716"/>
    </row>
    <row r="580" spans="5:5" ht="18" x14ac:dyDescent="0.2">
      <c r="E580" s="716"/>
    </row>
    <row r="581" spans="5:5" ht="18" x14ac:dyDescent="0.2">
      <c r="E581" s="716"/>
    </row>
    <row r="582" spans="5:5" ht="18" x14ac:dyDescent="0.2">
      <c r="E582" s="716"/>
    </row>
    <row r="583" spans="5:5" ht="18" x14ac:dyDescent="0.2">
      <c r="E583" s="716"/>
    </row>
    <row r="584" spans="5:5" ht="18" x14ac:dyDescent="0.2">
      <c r="E584" s="716"/>
    </row>
    <row r="585" spans="5:5" ht="18" x14ac:dyDescent="0.2">
      <c r="E585" s="716"/>
    </row>
    <row r="586" spans="5:5" ht="18" x14ac:dyDescent="0.2">
      <c r="E586" s="716"/>
    </row>
    <row r="587" spans="5:5" ht="18" x14ac:dyDescent="0.2">
      <c r="E587" s="716"/>
    </row>
    <row r="588" spans="5:5" ht="18" x14ac:dyDescent="0.2">
      <c r="E588" s="716"/>
    </row>
    <row r="589" spans="5:5" ht="18" x14ac:dyDescent="0.2">
      <c r="E589" s="716"/>
    </row>
    <row r="590" spans="5:5" ht="18" x14ac:dyDescent="0.2">
      <c r="E590" s="716"/>
    </row>
    <row r="591" spans="5:5" ht="18" x14ac:dyDescent="0.2">
      <c r="E591" s="716"/>
    </row>
    <row r="592" spans="5:5" ht="18" x14ac:dyDescent="0.2">
      <c r="E592" s="716"/>
    </row>
    <row r="593" spans="5:5" ht="18" x14ac:dyDescent="0.2">
      <c r="E593" s="716"/>
    </row>
    <row r="594" spans="5:5" ht="18" x14ac:dyDescent="0.2">
      <c r="E594" s="716"/>
    </row>
    <row r="595" spans="5:5" ht="18" x14ac:dyDescent="0.2">
      <c r="E595" s="716"/>
    </row>
    <row r="596" spans="5:5" ht="18" x14ac:dyDescent="0.2">
      <c r="E596" s="716"/>
    </row>
    <row r="597" spans="5:5" ht="18" x14ac:dyDescent="0.2">
      <c r="E597" s="716"/>
    </row>
    <row r="598" spans="5:5" ht="18" x14ac:dyDescent="0.2">
      <c r="E598" s="716"/>
    </row>
    <row r="599" spans="5:5" ht="18" x14ac:dyDescent="0.2">
      <c r="E599" s="716"/>
    </row>
    <row r="600" spans="5:5" ht="18" x14ac:dyDescent="0.2">
      <c r="E600" s="716"/>
    </row>
    <row r="601" spans="5:5" ht="18" x14ac:dyDescent="0.2">
      <c r="E601" s="716"/>
    </row>
    <row r="602" spans="5:5" ht="18" x14ac:dyDescent="0.2">
      <c r="E602" s="716"/>
    </row>
    <row r="603" spans="5:5" ht="18" x14ac:dyDescent="0.2">
      <c r="E603" s="716"/>
    </row>
    <row r="604" spans="5:5" ht="18" x14ac:dyDescent="0.2">
      <c r="E604" s="716"/>
    </row>
    <row r="605" spans="5:5" ht="18" x14ac:dyDescent="0.2">
      <c r="E605" s="716"/>
    </row>
    <row r="606" spans="5:5" ht="18" x14ac:dyDescent="0.2">
      <c r="E606" s="716"/>
    </row>
    <row r="607" spans="5:5" ht="18" x14ac:dyDescent="0.2">
      <c r="E607" s="716"/>
    </row>
    <row r="608" spans="5:5" ht="18" x14ac:dyDescent="0.2">
      <c r="E608" s="716"/>
    </row>
    <row r="609" spans="5:5" ht="18" x14ac:dyDescent="0.2">
      <c r="E609" s="716"/>
    </row>
    <row r="610" spans="5:5" ht="18" x14ac:dyDescent="0.2">
      <c r="E610" s="716"/>
    </row>
    <row r="611" spans="5:5" ht="18" x14ac:dyDescent="0.2">
      <c r="E611" s="716"/>
    </row>
    <row r="612" spans="5:5" ht="18" x14ac:dyDescent="0.2">
      <c r="E612" s="716"/>
    </row>
    <row r="613" spans="5:5" ht="18" x14ac:dyDescent="0.2">
      <c r="E613" s="716"/>
    </row>
    <row r="614" spans="5:5" ht="18" x14ac:dyDescent="0.2">
      <c r="E614" s="716"/>
    </row>
    <row r="615" spans="5:5" ht="18" x14ac:dyDescent="0.2">
      <c r="E615" s="716"/>
    </row>
    <row r="616" spans="5:5" ht="18" x14ac:dyDescent="0.2">
      <c r="E616" s="716"/>
    </row>
    <row r="617" spans="5:5" ht="18" x14ac:dyDescent="0.2">
      <c r="E617" s="716"/>
    </row>
    <row r="618" spans="5:5" ht="18" x14ac:dyDescent="0.2">
      <c r="E618" s="716"/>
    </row>
    <row r="619" spans="5:5" ht="18" x14ac:dyDescent="0.2">
      <c r="E619" s="716"/>
    </row>
    <row r="620" spans="5:5" ht="18" x14ac:dyDescent="0.2">
      <c r="E620" s="716"/>
    </row>
    <row r="621" spans="5:5" ht="18" x14ac:dyDescent="0.2">
      <c r="E621" s="716"/>
    </row>
    <row r="622" spans="5:5" ht="18" x14ac:dyDescent="0.2">
      <c r="E622" s="716"/>
    </row>
    <row r="623" spans="5:5" ht="18" x14ac:dyDescent="0.2">
      <c r="E623" s="716"/>
    </row>
    <row r="624" spans="5:5" ht="18" x14ac:dyDescent="0.2">
      <c r="E624" s="716"/>
    </row>
    <row r="625" spans="5:5" ht="18" x14ac:dyDescent="0.2">
      <c r="E625" s="716"/>
    </row>
    <row r="626" spans="5:5" ht="18" x14ac:dyDescent="0.2">
      <c r="E626" s="716"/>
    </row>
    <row r="627" spans="5:5" ht="18" x14ac:dyDescent="0.2">
      <c r="E627" s="716"/>
    </row>
    <row r="628" spans="5:5" ht="18" x14ac:dyDescent="0.2">
      <c r="E628" s="716"/>
    </row>
    <row r="629" spans="5:5" ht="18" x14ac:dyDescent="0.2">
      <c r="E629" s="716"/>
    </row>
    <row r="630" spans="5:5" ht="18" x14ac:dyDescent="0.2">
      <c r="E630" s="716"/>
    </row>
    <row r="631" spans="5:5" ht="18" x14ac:dyDescent="0.2">
      <c r="E631" s="716"/>
    </row>
    <row r="632" spans="5:5" ht="18" x14ac:dyDescent="0.2">
      <c r="E632" s="716"/>
    </row>
    <row r="633" spans="5:5" x14ac:dyDescent="0.2">
      <c r="E633" s="717"/>
    </row>
    <row r="634" spans="5:5" x14ac:dyDescent="0.2">
      <c r="E634" s="717"/>
    </row>
    <row r="635" spans="5:5" x14ac:dyDescent="0.2">
      <c r="E635" s="717"/>
    </row>
    <row r="636" spans="5:5" x14ac:dyDescent="0.2">
      <c r="E636" s="717"/>
    </row>
    <row r="637" spans="5:5" x14ac:dyDescent="0.2">
      <c r="E637" s="717"/>
    </row>
    <row r="638" spans="5:5" x14ac:dyDescent="0.2">
      <c r="E638" s="717"/>
    </row>
    <row r="639" spans="5:5" x14ac:dyDescent="0.2">
      <c r="E639" s="717"/>
    </row>
    <row r="640" spans="5:5" x14ac:dyDescent="0.2">
      <c r="E640" s="717"/>
    </row>
    <row r="641" spans="5:5" x14ac:dyDescent="0.2">
      <c r="E641" s="717"/>
    </row>
    <row r="642" spans="5:5" x14ac:dyDescent="0.2">
      <c r="E642" s="717"/>
    </row>
    <row r="643" spans="5:5" x14ac:dyDescent="0.2">
      <c r="E643" s="717"/>
    </row>
    <row r="644" spans="5:5" x14ac:dyDescent="0.2">
      <c r="E644" s="717"/>
    </row>
    <row r="645" spans="5:5" x14ac:dyDescent="0.2">
      <c r="E645" s="717"/>
    </row>
    <row r="646" spans="5:5" x14ac:dyDescent="0.2">
      <c r="E646" s="717"/>
    </row>
    <row r="647" spans="5:5" x14ac:dyDescent="0.2">
      <c r="E647" s="717"/>
    </row>
    <row r="648" spans="5:5" x14ac:dyDescent="0.2">
      <c r="E648" s="717"/>
    </row>
    <row r="649" spans="5:5" x14ac:dyDescent="0.2">
      <c r="E649" s="717"/>
    </row>
    <row r="650" spans="5:5" x14ac:dyDescent="0.2">
      <c r="E650" s="717"/>
    </row>
    <row r="651" spans="5:5" x14ac:dyDescent="0.2">
      <c r="E651" s="717"/>
    </row>
    <row r="652" spans="5:5" x14ac:dyDescent="0.2">
      <c r="E652" s="717"/>
    </row>
    <row r="653" spans="5:5" x14ac:dyDescent="0.2">
      <c r="E653" s="717"/>
    </row>
    <row r="654" spans="5:5" x14ac:dyDescent="0.2">
      <c r="E654" s="717"/>
    </row>
    <row r="655" spans="5:5" x14ac:dyDescent="0.2">
      <c r="E655" s="717"/>
    </row>
    <row r="656" spans="5:5" x14ac:dyDescent="0.2">
      <c r="E656" s="717"/>
    </row>
    <row r="657" spans="5:5" x14ac:dyDescent="0.2">
      <c r="E657" s="717"/>
    </row>
    <row r="658" spans="5:5" x14ac:dyDescent="0.2">
      <c r="E658" s="717"/>
    </row>
    <row r="659" spans="5:5" x14ac:dyDescent="0.2">
      <c r="E659" s="717"/>
    </row>
    <row r="660" spans="5:5" x14ac:dyDescent="0.2">
      <c r="E660" s="717"/>
    </row>
    <row r="661" spans="5:5" x14ac:dyDescent="0.2">
      <c r="E661" s="717"/>
    </row>
    <row r="662" spans="5:5" x14ac:dyDescent="0.2">
      <c r="E662" s="717"/>
    </row>
    <row r="663" spans="5:5" x14ac:dyDescent="0.2">
      <c r="E663" s="717"/>
    </row>
    <row r="664" spans="5:5" x14ac:dyDescent="0.2">
      <c r="E664" s="717"/>
    </row>
    <row r="665" spans="5:5" x14ac:dyDescent="0.2">
      <c r="E665" s="717"/>
    </row>
    <row r="666" spans="5:5" x14ac:dyDescent="0.2">
      <c r="E666" s="717"/>
    </row>
    <row r="667" spans="5:5" x14ac:dyDescent="0.2">
      <c r="E667" s="717"/>
    </row>
    <row r="668" spans="5:5" x14ac:dyDescent="0.2">
      <c r="E668" s="717"/>
    </row>
    <row r="669" spans="5:5" x14ac:dyDescent="0.2">
      <c r="E669" s="717"/>
    </row>
    <row r="670" spans="5:5" x14ac:dyDescent="0.2">
      <c r="E670" s="717"/>
    </row>
    <row r="671" spans="5:5" x14ac:dyDescent="0.2">
      <c r="E671" s="717"/>
    </row>
    <row r="672" spans="5:5" x14ac:dyDescent="0.2">
      <c r="E672" s="717"/>
    </row>
    <row r="673" spans="5:5" x14ac:dyDescent="0.2">
      <c r="E673" s="717"/>
    </row>
    <row r="674" spans="5:5" x14ac:dyDescent="0.2">
      <c r="E674" s="717"/>
    </row>
    <row r="675" spans="5:5" x14ac:dyDescent="0.2">
      <c r="E675" s="717"/>
    </row>
    <row r="676" spans="5:5" x14ac:dyDescent="0.2">
      <c r="E676" s="717"/>
    </row>
    <row r="677" spans="5:5" x14ac:dyDescent="0.2">
      <c r="E677" s="717"/>
    </row>
    <row r="678" spans="5:5" x14ac:dyDescent="0.2">
      <c r="E678" s="717"/>
    </row>
    <row r="679" spans="5:5" x14ac:dyDescent="0.2">
      <c r="E679" s="717"/>
    </row>
    <row r="680" spans="5:5" x14ac:dyDescent="0.2">
      <c r="E680" s="717"/>
    </row>
    <row r="681" spans="5:5" x14ac:dyDescent="0.2">
      <c r="E681" s="717"/>
    </row>
    <row r="682" spans="5:5" x14ac:dyDescent="0.2">
      <c r="E682" s="717"/>
    </row>
    <row r="683" spans="5:5" x14ac:dyDescent="0.2">
      <c r="E683" s="717"/>
    </row>
    <row r="684" spans="5:5" x14ac:dyDescent="0.2">
      <c r="E684" s="717"/>
    </row>
    <row r="685" spans="5:5" x14ac:dyDescent="0.2">
      <c r="E685" s="717"/>
    </row>
    <row r="686" spans="5:5" x14ac:dyDescent="0.2">
      <c r="E686" s="717"/>
    </row>
    <row r="687" spans="5:5" x14ac:dyDescent="0.2">
      <c r="E687" s="717"/>
    </row>
    <row r="688" spans="5:5" x14ac:dyDescent="0.2">
      <c r="E688" s="717"/>
    </row>
    <row r="689" spans="5:5" x14ac:dyDescent="0.2">
      <c r="E689" s="717"/>
    </row>
    <row r="690" spans="5:5" x14ac:dyDescent="0.2">
      <c r="E690" s="717"/>
    </row>
    <row r="691" spans="5:5" x14ac:dyDescent="0.2">
      <c r="E691" s="717"/>
    </row>
    <row r="692" spans="5:5" x14ac:dyDescent="0.2">
      <c r="E692" s="717"/>
    </row>
    <row r="693" spans="5:5" x14ac:dyDescent="0.2">
      <c r="E693" s="717"/>
    </row>
    <row r="694" spans="5:5" x14ac:dyDescent="0.2">
      <c r="E694" s="717"/>
    </row>
    <row r="695" spans="5:5" x14ac:dyDescent="0.2">
      <c r="E695" s="717"/>
    </row>
    <row r="696" spans="5:5" x14ac:dyDescent="0.2">
      <c r="E696" s="717"/>
    </row>
    <row r="697" spans="5:5" x14ac:dyDescent="0.2">
      <c r="E697" s="717"/>
    </row>
    <row r="698" spans="5:5" x14ac:dyDescent="0.2">
      <c r="E698" s="717"/>
    </row>
    <row r="699" spans="5:5" x14ac:dyDescent="0.2">
      <c r="E699" s="717"/>
    </row>
    <row r="700" spans="5:5" x14ac:dyDescent="0.2">
      <c r="E700" s="717"/>
    </row>
    <row r="701" spans="5:5" x14ac:dyDescent="0.2">
      <c r="E701" s="717"/>
    </row>
    <row r="702" spans="5:5" x14ac:dyDescent="0.2">
      <c r="E702" s="717"/>
    </row>
    <row r="703" spans="5:5" x14ac:dyDescent="0.2">
      <c r="E703" s="717"/>
    </row>
    <row r="704" spans="5:5" x14ac:dyDescent="0.2">
      <c r="E704" s="717"/>
    </row>
    <row r="705" spans="5:5" x14ac:dyDescent="0.2">
      <c r="E705" s="717"/>
    </row>
    <row r="706" spans="5:5" x14ac:dyDescent="0.2">
      <c r="E706" s="717"/>
    </row>
    <row r="707" spans="5:5" x14ac:dyDescent="0.2">
      <c r="E707" s="717"/>
    </row>
    <row r="708" spans="5:5" x14ac:dyDescent="0.2">
      <c r="E708" s="717"/>
    </row>
    <row r="709" spans="5:5" x14ac:dyDescent="0.2">
      <c r="E709" s="717"/>
    </row>
    <row r="710" spans="5:5" x14ac:dyDescent="0.2">
      <c r="E710" s="717"/>
    </row>
    <row r="711" spans="5:5" x14ac:dyDescent="0.2">
      <c r="E711" s="717"/>
    </row>
    <row r="712" spans="5:5" x14ac:dyDescent="0.2">
      <c r="E712" s="717"/>
    </row>
    <row r="713" spans="5:5" x14ac:dyDescent="0.2">
      <c r="E713" s="717"/>
    </row>
    <row r="714" spans="5:5" x14ac:dyDescent="0.2">
      <c r="E714" s="717"/>
    </row>
    <row r="715" spans="5:5" x14ac:dyDescent="0.2">
      <c r="E715" s="717"/>
    </row>
    <row r="716" spans="5:5" x14ac:dyDescent="0.2">
      <c r="E716" s="717"/>
    </row>
    <row r="717" spans="5:5" x14ac:dyDescent="0.2">
      <c r="E717" s="717"/>
    </row>
    <row r="718" spans="5:5" x14ac:dyDescent="0.2">
      <c r="E718" s="717"/>
    </row>
    <row r="719" spans="5:5" x14ac:dyDescent="0.2">
      <c r="E719" s="717"/>
    </row>
    <row r="720" spans="5:5" x14ac:dyDescent="0.2">
      <c r="E720" s="717"/>
    </row>
    <row r="721" spans="5:5" x14ac:dyDescent="0.2">
      <c r="E721" s="717"/>
    </row>
    <row r="722" spans="5:5" x14ac:dyDescent="0.2">
      <c r="E722" s="717"/>
    </row>
    <row r="723" spans="5:5" x14ac:dyDescent="0.2">
      <c r="E723" s="717"/>
    </row>
    <row r="724" spans="5:5" x14ac:dyDescent="0.2">
      <c r="E724" s="717"/>
    </row>
    <row r="725" spans="5:5" x14ac:dyDescent="0.2">
      <c r="E725" s="717"/>
    </row>
    <row r="726" spans="5:5" x14ac:dyDescent="0.2">
      <c r="E726" s="717"/>
    </row>
    <row r="727" spans="5:5" x14ac:dyDescent="0.2">
      <c r="E727" s="717"/>
    </row>
    <row r="728" spans="5:5" x14ac:dyDescent="0.2">
      <c r="E728" s="717"/>
    </row>
    <row r="729" spans="5:5" x14ac:dyDescent="0.2">
      <c r="E729" s="717"/>
    </row>
    <row r="730" spans="5:5" x14ac:dyDescent="0.2">
      <c r="E730" s="717"/>
    </row>
    <row r="731" spans="5:5" x14ac:dyDescent="0.2">
      <c r="E731" s="717"/>
    </row>
    <row r="732" spans="5:5" x14ac:dyDescent="0.2">
      <c r="E732" s="717"/>
    </row>
    <row r="733" spans="5:5" x14ac:dyDescent="0.2">
      <c r="E733" s="717"/>
    </row>
    <row r="734" spans="5:5" x14ac:dyDescent="0.2">
      <c r="E734" s="717"/>
    </row>
    <row r="735" spans="5:5" x14ac:dyDescent="0.2">
      <c r="E735" s="717"/>
    </row>
    <row r="736" spans="5:5" x14ac:dyDescent="0.2">
      <c r="E736" s="717"/>
    </row>
    <row r="737" spans="5:5" x14ac:dyDescent="0.2">
      <c r="E737" s="717"/>
    </row>
    <row r="738" spans="5:5" x14ac:dyDescent="0.2">
      <c r="E738" s="717"/>
    </row>
    <row r="739" spans="5:5" x14ac:dyDescent="0.2">
      <c r="E739" s="717"/>
    </row>
    <row r="740" spans="5:5" x14ac:dyDescent="0.2">
      <c r="E740" s="717"/>
    </row>
    <row r="741" spans="5:5" x14ac:dyDescent="0.2">
      <c r="E741" s="717"/>
    </row>
    <row r="742" spans="5:5" x14ac:dyDescent="0.2">
      <c r="E742" s="717"/>
    </row>
    <row r="743" spans="5:5" x14ac:dyDescent="0.2">
      <c r="E743" s="717"/>
    </row>
    <row r="744" spans="5:5" x14ac:dyDescent="0.2">
      <c r="E744" s="717"/>
    </row>
    <row r="745" spans="5:5" x14ac:dyDescent="0.2">
      <c r="E745" s="717"/>
    </row>
    <row r="746" spans="5:5" x14ac:dyDescent="0.2">
      <c r="E746" s="717"/>
    </row>
    <row r="747" spans="5:5" x14ac:dyDescent="0.2">
      <c r="E747" s="717"/>
    </row>
    <row r="748" spans="5:5" x14ac:dyDescent="0.2">
      <c r="E748" s="717"/>
    </row>
    <row r="749" spans="5:5" x14ac:dyDescent="0.2">
      <c r="E749" s="717"/>
    </row>
    <row r="750" spans="5:5" x14ac:dyDescent="0.2">
      <c r="E750" s="717"/>
    </row>
    <row r="751" spans="5:5" x14ac:dyDescent="0.2">
      <c r="E751" s="717"/>
    </row>
    <row r="752" spans="5:5" x14ac:dyDescent="0.2">
      <c r="E752" s="717"/>
    </row>
    <row r="753" spans="5:5" x14ac:dyDescent="0.2">
      <c r="E753" s="717"/>
    </row>
    <row r="754" spans="5:5" x14ac:dyDescent="0.2">
      <c r="E754" s="717"/>
    </row>
    <row r="755" spans="5:5" x14ac:dyDescent="0.2">
      <c r="E755" s="717"/>
    </row>
    <row r="756" spans="5:5" x14ac:dyDescent="0.2">
      <c r="E756" s="717"/>
    </row>
    <row r="757" spans="5:5" x14ac:dyDescent="0.2">
      <c r="E757" s="717"/>
    </row>
    <row r="758" spans="5:5" x14ac:dyDescent="0.2">
      <c r="E758" s="717"/>
    </row>
    <row r="759" spans="5:5" x14ac:dyDescent="0.2">
      <c r="E759" s="717"/>
    </row>
    <row r="760" spans="5:5" x14ac:dyDescent="0.2">
      <c r="E760" s="717"/>
    </row>
    <row r="761" spans="5:5" x14ac:dyDescent="0.2">
      <c r="E761" s="717"/>
    </row>
    <row r="762" spans="5:5" x14ac:dyDescent="0.2">
      <c r="E762" s="717"/>
    </row>
    <row r="763" spans="5:5" x14ac:dyDescent="0.2">
      <c r="E763" s="717"/>
    </row>
    <row r="764" spans="5:5" x14ac:dyDescent="0.2">
      <c r="E764" s="717"/>
    </row>
    <row r="765" spans="5:5" x14ac:dyDescent="0.2">
      <c r="E765" s="717"/>
    </row>
    <row r="766" spans="5:5" x14ac:dyDescent="0.2">
      <c r="E766" s="717"/>
    </row>
    <row r="767" spans="5:5" x14ac:dyDescent="0.2">
      <c r="E767" s="717"/>
    </row>
    <row r="768" spans="5:5" x14ac:dyDescent="0.2">
      <c r="E768" s="717"/>
    </row>
    <row r="769" spans="5:5" x14ac:dyDescent="0.2">
      <c r="E769" s="717"/>
    </row>
    <row r="770" spans="5:5" x14ac:dyDescent="0.2">
      <c r="E770" s="717"/>
    </row>
    <row r="771" spans="5:5" x14ac:dyDescent="0.2">
      <c r="E771" s="717"/>
    </row>
    <row r="772" spans="5:5" x14ac:dyDescent="0.2">
      <c r="E772" s="717"/>
    </row>
    <row r="773" spans="5:5" x14ac:dyDescent="0.2">
      <c r="E773" s="717"/>
    </row>
    <row r="774" spans="5:5" x14ac:dyDescent="0.2">
      <c r="E774" s="717"/>
    </row>
    <row r="775" spans="5:5" x14ac:dyDescent="0.2">
      <c r="E775" s="717"/>
    </row>
    <row r="776" spans="5:5" x14ac:dyDescent="0.2">
      <c r="E776" s="717"/>
    </row>
    <row r="777" spans="5:5" x14ac:dyDescent="0.2">
      <c r="E777" s="717"/>
    </row>
    <row r="778" spans="5:5" x14ac:dyDescent="0.2">
      <c r="E778" s="717"/>
    </row>
    <row r="779" spans="5:5" x14ac:dyDescent="0.2">
      <c r="E779" s="717"/>
    </row>
    <row r="780" spans="5:5" x14ac:dyDescent="0.2">
      <c r="E780" s="717"/>
    </row>
    <row r="781" spans="5:5" x14ac:dyDescent="0.2">
      <c r="E781" s="717"/>
    </row>
    <row r="782" spans="5:5" x14ac:dyDescent="0.2">
      <c r="E782" s="717"/>
    </row>
    <row r="783" spans="5:5" x14ac:dyDescent="0.2">
      <c r="E783" s="717"/>
    </row>
    <row r="784" spans="5:5" x14ac:dyDescent="0.2">
      <c r="E784" s="717"/>
    </row>
    <row r="785" spans="5:5" x14ac:dyDescent="0.2">
      <c r="E785" s="717"/>
    </row>
    <row r="786" spans="5:5" x14ac:dyDescent="0.2">
      <c r="E786" s="717"/>
    </row>
    <row r="787" spans="5:5" x14ac:dyDescent="0.2">
      <c r="E787" s="717"/>
    </row>
    <row r="788" spans="5:5" x14ac:dyDescent="0.2">
      <c r="E788" s="717"/>
    </row>
    <row r="789" spans="5:5" x14ac:dyDescent="0.2">
      <c r="E789" s="717"/>
    </row>
    <row r="790" spans="5:5" x14ac:dyDescent="0.2">
      <c r="E790" s="717"/>
    </row>
    <row r="791" spans="5:5" x14ac:dyDescent="0.2">
      <c r="E791" s="717"/>
    </row>
    <row r="792" spans="5:5" x14ac:dyDescent="0.2">
      <c r="E792" s="717"/>
    </row>
    <row r="793" spans="5:5" x14ac:dyDescent="0.2">
      <c r="E793" s="717"/>
    </row>
    <row r="794" spans="5:5" x14ac:dyDescent="0.2">
      <c r="E794" s="717"/>
    </row>
    <row r="795" spans="5:5" x14ac:dyDescent="0.2">
      <c r="E795" s="717"/>
    </row>
    <row r="796" spans="5:5" x14ac:dyDescent="0.2">
      <c r="E796" s="717"/>
    </row>
    <row r="797" spans="5:5" x14ac:dyDescent="0.2">
      <c r="E797" s="717"/>
    </row>
    <row r="798" spans="5:5" x14ac:dyDescent="0.2">
      <c r="E798" s="717"/>
    </row>
    <row r="799" spans="5:5" x14ac:dyDescent="0.2">
      <c r="E799" s="717"/>
    </row>
    <row r="800" spans="5:5" x14ac:dyDescent="0.2">
      <c r="E800" s="717"/>
    </row>
    <row r="801" spans="5:5" x14ac:dyDescent="0.2">
      <c r="E801" s="717"/>
    </row>
    <row r="802" spans="5:5" x14ac:dyDescent="0.2">
      <c r="E802" s="717"/>
    </row>
    <row r="803" spans="5:5" x14ac:dyDescent="0.2">
      <c r="E803" s="717"/>
    </row>
    <row r="804" spans="5:5" x14ac:dyDescent="0.2">
      <c r="E804" s="717"/>
    </row>
    <row r="805" spans="5:5" x14ac:dyDescent="0.2">
      <c r="E805" s="717"/>
    </row>
    <row r="806" spans="5:5" x14ac:dyDescent="0.2">
      <c r="E806" s="717"/>
    </row>
    <row r="807" spans="5:5" x14ac:dyDescent="0.2">
      <c r="E807" s="717"/>
    </row>
    <row r="808" spans="5:5" x14ac:dyDescent="0.2">
      <c r="E808" s="717"/>
    </row>
    <row r="809" spans="5:5" x14ac:dyDescent="0.2">
      <c r="E809" s="717"/>
    </row>
    <row r="810" spans="5:5" x14ac:dyDescent="0.2">
      <c r="E810" s="717"/>
    </row>
    <row r="811" spans="5:5" x14ac:dyDescent="0.2">
      <c r="E811" s="717"/>
    </row>
    <row r="812" spans="5:5" x14ac:dyDescent="0.2">
      <c r="E812" s="717"/>
    </row>
    <row r="813" spans="5:5" x14ac:dyDescent="0.2">
      <c r="E813" s="717"/>
    </row>
    <row r="814" spans="5:5" x14ac:dyDescent="0.2">
      <c r="E814" s="717"/>
    </row>
    <row r="815" spans="5:5" x14ac:dyDescent="0.2">
      <c r="E815" s="717"/>
    </row>
    <row r="816" spans="5:5" x14ac:dyDescent="0.2">
      <c r="E816" s="717"/>
    </row>
    <row r="817" spans="5:5" x14ac:dyDescent="0.2">
      <c r="E817" s="717"/>
    </row>
    <row r="818" spans="5:5" x14ac:dyDescent="0.2">
      <c r="E818" s="717"/>
    </row>
    <row r="819" spans="5:5" x14ac:dyDescent="0.2">
      <c r="E819" s="717"/>
    </row>
    <row r="820" spans="5:5" x14ac:dyDescent="0.2">
      <c r="E820" s="717"/>
    </row>
    <row r="821" spans="5:5" x14ac:dyDescent="0.2">
      <c r="E821" s="717"/>
    </row>
    <row r="822" spans="5:5" x14ac:dyDescent="0.2">
      <c r="E822" s="717"/>
    </row>
    <row r="823" spans="5:5" x14ac:dyDescent="0.2">
      <c r="E823" s="717"/>
    </row>
    <row r="824" spans="5:5" x14ac:dyDescent="0.2">
      <c r="E824" s="717"/>
    </row>
    <row r="825" spans="5:5" x14ac:dyDescent="0.2">
      <c r="E825" s="717"/>
    </row>
    <row r="826" spans="5:5" x14ac:dyDescent="0.2">
      <c r="E826" s="717"/>
    </row>
    <row r="827" spans="5:5" x14ac:dyDescent="0.2">
      <c r="E827" s="717"/>
    </row>
    <row r="828" spans="5:5" x14ac:dyDescent="0.2">
      <c r="E828" s="717"/>
    </row>
    <row r="829" spans="5:5" x14ac:dyDescent="0.2">
      <c r="E829" s="717"/>
    </row>
    <row r="830" spans="5:5" x14ac:dyDescent="0.2">
      <c r="E830" s="717"/>
    </row>
    <row r="831" spans="5:5" x14ac:dyDescent="0.2">
      <c r="E831" s="717"/>
    </row>
    <row r="832" spans="5:5" x14ac:dyDescent="0.2">
      <c r="E832" s="717"/>
    </row>
    <row r="833" spans="5:5" x14ac:dyDescent="0.2">
      <c r="E833" s="717"/>
    </row>
    <row r="834" spans="5:5" x14ac:dyDescent="0.2">
      <c r="E834" s="717"/>
    </row>
    <row r="835" spans="5:5" x14ac:dyDescent="0.2">
      <c r="E835" s="717"/>
    </row>
    <row r="836" spans="5:5" x14ac:dyDescent="0.2">
      <c r="E836" s="717"/>
    </row>
    <row r="837" spans="5:5" x14ac:dyDescent="0.2">
      <c r="E837" s="717"/>
    </row>
    <row r="838" spans="5:5" x14ac:dyDescent="0.2">
      <c r="E838" s="717"/>
    </row>
    <row r="839" spans="5:5" x14ac:dyDescent="0.2">
      <c r="E839" s="717"/>
    </row>
    <row r="840" spans="5:5" x14ac:dyDescent="0.2">
      <c r="E840" s="717"/>
    </row>
    <row r="841" spans="5:5" x14ac:dyDescent="0.2">
      <c r="E841" s="717"/>
    </row>
    <row r="842" spans="5:5" x14ac:dyDescent="0.2">
      <c r="E842" s="717"/>
    </row>
    <row r="843" spans="5:5" x14ac:dyDescent="0.2">
      <c r="E843" s="717"/>
    </row>
    <row r="844" spans="5:5" x14ac:dyDescent="0.2">
      <c r="E844" s="717"/>
    </row>
    <row r="845" spans="5:5" x14ac:dyDescent="0.2">
      <c r="E845" s="717"/>
    </row>
    <row r="846" spans="5:5" x14ac:dyDescent="0.2">
      <c r="E846" s="717"/>
    </row>
    <row r="847" spans="5:5" x14ac:dyDescent="0.2">
      <c r="E847" s="717"/>
    </row>
    <row r="848" spans="5:5" x14ac:dyDescent="0.2">
      <c r="E848" s="717"/>
    </row>
    <row r="849" spans="5:5" x14ac:dyDescent="0.2">
      <c r="E849" s="717"/>
    </row>
    <row r="850" spans="5:5" x14ac:dyDescent="0.2">
      <c r="E850" s="717"/>
    </row>
    <row r="851" spans="5:5" x14ac:dyDescent="0.2">
      <c r="E851" s="717"/>
    </row>
    <row r="852" spans="5:5" x14ac:dyDescent="0.2">
      <c r="E852" s="717"/>
    </row>
    <row r="853" spans="5:5" x14ac:dyDescent="0.2">
      <c r="E853" s="717"/>
    </row>
    <row r="854" spans="5:5" x14ac:dyDescent="0.2">
      <c r="E854" s="717"/>
    </row>
    <row r="855" spans="5:5" x14ac:dyDescent="0.2">
      <c r="E855" s="717"/>
    </row>
    <row r="856" spans="5:5" x14ac:dyDescent="0.2">
      <c r="E856" s="717"/>
    </row>
    <row r="857" spans="5:5" x14ac:dyDescent="0.2">
      <c r="E857" s="717"/>
    </row>
    <row r="858" spans="5:5" x14ac:dyDescent="0.2">
      <c r="E858" s="717"/>
    </row>
    <row r="859" spans="5:5" x14ac:dyDescent="0.2">
      <c r="E859" s="717"/>
    </row>
    <row r="860" spans="5:5" x14ac:dyDescent="0.2">
      <c r="E860" s="717"/>
    </row>
    <row r="861" spans="5:5" x14ac:dyDescent="0.2">
      <c r="E861" s="717"/>
    </row>
    <row r="862" spans="5:5" x14ac:dyDescent="0.2">
      <c r="E862" s="717"/>
    </row>
    <row r="863" spans="5:5" x14ac:dyDescent="0.2">
      <c r="E863" s="717"/>
    </row>
    <row r="864" spans="5:5" x14ac:dyDescent="0.2">
      <c r="E864" s="717"/>
    </row>
    <row r="865" spans="5:5" x14ac:dyDescent="0.2">
      <c r="E865" s="717"/>
    </row>
    <row r="866" spans="5:5" x14ac:dyDescent="0.2">
      <c r="E866" s="717"/>
    </row>
    <row r="867" spans="5:5" x14ac:dyDescent="0.2">
      <c r="E867" s="717"/>
    </row>
    <row r="868" spans="5:5" x14ac:dyDescent="0.2">
      <c r="E868" s="717"/>
    </row>
    <row r="869" spans="5:5" x14ac:dyDescent="0.2">
      <c r="E869" s="717"/>
    </row>
    <row r="870" spans="5:5" x14ac:dyDescent="0.2">
      <c r="E870" s="717"/>
    </row>
    <row r="871" spans="5:5" x14ac:dyDescent="0.2">
      <c r="E871" s="717"/>
    </row>
    <row r="872" spans="5:5" x14ac:dyDescent="0.2">
      <c r="E872" s="717"/>
    </row>
    <row r="873" spans="5:5" x14ac:dyDescent="0.2">
      <c r="E873" s="717"/>
    </row>
    <row r="874" spans="5:5" x14ac:dyDescent="0.2">
      <c r="E874" s="717"/>
    </row>
    <row r="875" spans="5:5" x14ac:dyDescent="0.2">
      <c r="E875" s="717"/>
    </row>
    <row r="876" spans="5:5" x14ac:dyDescent="0.2">
      <c r="E876" s="717"/>
    </row>
    <row r="877" spans="5:5" x14ac:dyDescent="0.2">
      <c r="E877" s="717"/>
    </row>
    <row r="878" spans="5:5" x14ac:dyDescent="0.2">
      <c r="E878" s="717"/>
    </row>
    <row r="879" spans="5:5" x14ac:dyDescent="0.2">
      <c r="E879" s="717"/>
    </row>
    <row r="880" spans="5:5" x14ac:dyDescent="0.2">
      <c r="E880" s="717"/>
    </row>
    <row r="881" spans="5:5" x14ac:dyDescent="0.2">
      <c r="E881" s="717"/>
    </row>
    <row r="882" spans="5:5" x14ac:dyDescent="0.2">
      <c r="E882" s="717"/>
    </row>
    <row r="883" spans="5:5" x14ac:dyDescent="0.2">
      <c r="E883" s="717"/>
    </row>
    <row r="884" spans="5:5" x14ac:dyDescent="0.2">
      <c r="E884" s="717"/>
    </row>
    <row r="885" spans="5:5" x14ac:dyDescent="0.2">
      <c r="E885" s="717"/>
    </row>
    <row r="886" spans="5:5" x14ac:dyDescent="0.2">
      <c r="E886" s="717"/>
    </row>
    <row r="887" spans="5:5" x14ac:dyDescent="0.2">
      <c r="E887" s="717"/>
    </row>
    <row r="888" spans="5:5" x14ac:dyDescent="0.2">
      <c r="E888" s="717"/>
    </row>
    <row r="889" spans="5:5" x14ac:dyDescent="0.2">
      <c r="E889" s="717"/>
    </row>
    <row r="890" spans="5:5" x14ac:dyDescent="0.2">
      <c r="E890" s="717"/>
    </row>
    <row r="891" spans="5:5" x14ac:dyDescent="0.2">
      <c r="E891" s="717"/>
    </row>
    <row r="892" spans="5:5" x14ac:dyDescent="0.2">
      <c r="E892" s="717"/>
    </row>
    <row r="893" spans="5:5" x14ac:dyDescent="0.2">
      <c r="E893" s="717"/>
    </row>
    <row r="894" spans="5:5" x14ac:dyDescent="0.2">
      <c r="E894" s="717"/>
    </row>
    <row r="895" spans="5:5" x14ac:dyDescent="0.2">
      <c r="E895" s="717"/>
    </row>
    <row r="896" spans="5:5" x14ac:dyDescent="0.2">
      <c r="E896" s="717"/>
    </row>
    <row r="897" spans="5:5" x14ac:dyDescent="0.2">
      <c r="E897" s="717"/>
    </row>
    <row r="898" spans="5:5" x14ac:dyDescent="0.2">
      <c r="E898" s="717"/>
    </row>
    <row r="899" spans="5:5" x14ac:dyDescent="0.2">
      <c r="E899" s="717"/>
    </row>
    <row r="900" spans="5:5" x14ac:dyDescent="0.2">
      <c r="E900" s="717"/>
    </row>
    <row r="901" spans="5:5" x14ac:dyDescent="0.2">
      <c r="E901" s="717"/>
    </row>
    <row r="902" spans="5:5" x14ac:dyDescent="0.2">
      <c r="E902" s="717"/>
    </row>
    <row r="903" spans="5:5" x14ac:dyDescent="0.2">
      <c r="E903" s="717"/>
    </row>
    <row r="904" spans="5:5" x14ac:dyDescent="0.2">
      <c r="E904" s="717"/>
    </row>
    <row r="905" spans="5:5" x14ac:dyDescent="0.2">
      <c r="E905" s="717"/>
    </row>
    <row r="906" spans="5:5" x14ac:dyDescent="0.2">
      <c r="E906" s="717"/>
    </row>
    <row r="907" spans="5:5" x14ac:dyDescent="0.2">
      <c r="E907" s="717"/>
    </row>
    <row r="908" spans="5:5" x14ac:dyDescent="0.2">
      <c r="E908" s="717"/>
    </row>
    <row r="909" spans="5:5" x14ac:dyDescent="0.2">
      <c r="E909" s="717"/>
    </row>
    <row r="910" spans="5:5" x14ac:dyDescent="0.2">
      <c r="E910" s="717"/>
    </row>
    <row r="911" spans="5:5" x14ac:dyDescent="0.2">
      <c r="E911" s="717"/>
    </row>
    <row r="912" spans="5:5" x14ac:dyDescent="0.2">
      <c r="E912" s="717"/>
    </row>
    <row r="913" spans="5:5" x14ac:dyDescent="0.2">
      <c r="E913" s="717"/>
    </row>
    <row r="914" spans="5:5" x14ac:dyDescent="0.2">
      <c r="E914" s="717"/>
    </row>
    <row r="915" spans="5:5" x14ac:dyDescent="0.2">
      <c r="E915" s="717"/>
    </row>
    <row r="916" spans="5:5" x14ac:dyDescent="0.2">
      <c r="E916" s="717"/>
    </row>
    <row r="917" spans="5:5" x14ac:dyDescent="0.2">
      <c r="E917" s="717"/>
    </row>
    <row r="918" spans="5:5" x14ac:dyDescent="0.2">
      <c r="E918" s="717"/>
    </row>
    <row r="919" spans="5:5" x14ac:dyDescent="0.2">
      <c r="E919" s="717"/>
    </row>
    <row r="920" spans="5:5" x14ac:dyDescent="0.2">
      <c r="E920" s="717"/>
    </row>
    <row r="921" spans="5:5" x14ac:dyDescent="0.2">
      <c r="E921" s="717"/>
    </row>
    <row r="922" spans="5:5" x14ac:dyDescent="0.2">
      <c r="E922" s="717"/>
    </row>
    <row r="923" spans="5:5" x14ac:dyDescent="0.2">
      <c r="E923" s="717"/>
    </row>
    <row r="924" spans="5:5" x14ac:dyDescent="0.2">
      <c r="E924" s="717"/>
    </row>
    <row r="925" spans="5:5" x14ac:dyDescent="0.2">
      <c r="E925" s="717"/>
    </row>
    <row r="926" spans="5:5" x14ac:dyDescent="0.2">
      <c r="E926" s="717"/>
    </row>
    <row r="927" spans="5:5" x14ac:dyDescent="0.2">
      <c r="E927" s="717"/>
    </row>
    <row r="928" spans="5:5" x14ac:dyDescent="0.2">
      <c r="E928" s="717"/>
    </row>
    <row r="929" spans="5:5" x14ac:dyDescent="0.2">
      <c r="E929" s="717"/>
    </row>
    <row r="930" spans="5:5" x14ac:dyDescent="0.2">
      <c r="E930" s="717"/>
    </row>
    <row r="931" spans="5:5" x14ac:dyDescent="0.2">
      <c r="E931" s="717"/>
    </row>
    <row r="932" spans="5:5" x14ac:dyDescent="0.2">
      <c r="E932" s="717"/>
    </row>
    <row r="933" spans="5:5" x14ac:dyDescent="0.2">
      <c r="E933" s="717"/>
    </row>
    <row r="934" spans="5:5" x14ac:dyDescent="0.2">
      <c r="E934" s="717"/>
    </row>
    <row r="935" spans="5:5" x14ac:dyDescent="0.2">
      <c r="E935" s="717"/>
    </row>
    <row r="936" spans="5:5" x14ac:dyDescent="0.2">
      <c r="E936" s="717"/>
    </row>
    <row r="937" spans="5:5" x14ac:dyDescent="0.2">
      <c r="E937" s="717"/>
    </row>
    <row r="938" spans="5:5" x14ac:dyDescent="0.2">
      <c r="E938" s="717"/>
    </row>
    <row r="939" spans="5:5" x14ac:dyDescent="0.2">
      <c r="E939" s="717"/>
    </row>
    <row r="940" spans="5:5" x14ac:dyDescent="0.2">
      <c r="E940" s="717"/>
    </row>
    <row r="941" spans="5:5" x14ac:dyDescent="0.2">
      <c r="E941" s="717"/>
    </row>
    <row r="942" spans="5:5" x14ac:dyDescent="0.2">
      <c r="E942" s="717"/>
    </row>
    <row r="943" spans="5:5" x14ac:dyDescent="0.2">
      <c r="E943" s="717"/>
    </row>
    <row r="944" spans="5:5" x14ac:dyDescent="0.2">
      <c r="E944" s="717"/>
    </row>
    <row r="945" spans="5:5" x14ac:dyDescent="0.2">
      <c r="E945" s="717"/>
    </row>
    <row r="946" spans="5:5" x14ac:dyDescent="0.2">
      <c r="E946" s="717"/>
    </row>
    <row r="947" spans="5:5" x14ac:dyDescent="0.2">
      <c r="E947" s="717"/>
    </row>
    <row r="948" spans="5:5" x14ac:dyDescent="0.2">
      <c r="E948" s="717"/>
    </row>
    <row r="949" spans="5:5" x14ac:dyDescent="0.2">
      <c r="E949" s="717"/>
    </row>
    <row r="950" spans="5:5" x14ac:dyDescent="0.2">
      <c r="E950" s="717"/>
    </row>
    <row r="951" spans="5:5" x14ac:dyDescent="0.2">
      <c r="E951" s="717"/>
    </row>
    <row r="952" spans="5:5" x14ac:dyDescent="0.2">
      <c r="E952" s="717"/>
    </row>
    <row r="953" spans="5:5" x14ac:dyDescent="0.2">
      <c r="E953" s="717"/>
    </row>
    <row r="954" spans="5:5" x14ac:dyDescent="0.2">
      <c r="E954" s="717"/>
    </row>
    <row r="955" spans="5:5" x14ac:dyDescent="0.2">
      <c r="E955" s="717"/>
    </row>
    <row r="956" spans="5:5" x14ac:dyDescent="0.2">
      <c r="E956" s="717"/>
    </row>
    <row r="957" spans="5:5" x14ac:dyDescent="0.2">
      <c r="E957" s="717"/>
    </row>
    <row r="958" spans="5:5" x14ac:dyDescent="0.2">
      <c r="E958" s="717"/>
    </row>
    <row r="959" spans="5:5" x14ac:dyDescent="0.2">
      <c r="E959" s="717"/>
    </row>
    <row r="960" spans="5:5" x14ac:dyDescent="0.2">
      <c r="E960" s="717"/>
    </row>
    <row r="961" spans="5:5" x14ac:dyDescent="0.2">
      <c r="E961" s="717"/>
    </row>
    <row r="962" spans="5:5" x14ac:dyDescent="0.2">
      <c r="E962" s="717"/>
    </row>
    <row r="963" spans="5:5" x14ac:dyDescent="0.2">
      <c r="E963" s="717"/>
    </row>
    <row r="964" spans="5:5" x14ac:dyDescent="0.2">
      <c r="E964" s="717"/>
    </row>
    <row r="965" spans="5:5" x14ac:dyDescent="0.2">
      <c r="E965" s="717"/>
    </row>
    <row r="966" spans="5:5" x14ac:dyDescent="0.2">
      <c r="E966" s="717"/>
    </row>
    <row r="967" spans="5:5" x14ac:dyDescent="0.2">
      <c r="E967" s="717"/>
    </row>
    <row r="968" spans="5:5" x14ac:dyDescent="0.2">
      <c r="E968" s="717"/>
    </row>
    <row r="969" spans="5:5" x14ac:dyDescent="0.2">
      <c r="E969" s="717"/>
    </row>
    <row r="970" spans="5:5" x14ac:dyDescent="0.2">
      <c r="E970" s="717"/>
    </row>
    <row r="971" spans="5:5" x14ac:dyDescent="0.2">
      <c r="E971" s="717"/>
    </row>
    <row r="972" spans="5:5" x14ac:dyDescent="0.2">
      <c r="E972" s="717"/>
    </row>
    <row r="973" spans="5:5" x14ac:dyDescent="0.2">
      <c r="E973" s="717"/>
    </row>
    <row r="974" spans="5:5" x14ac:dyDescent="0.2">
      <c r="E974" s="717"/>
    </row>
    <row r="975" spans="5:5" x14ac:dyDescent="0.2">
      <c r="E975" s="717"/>
    </row>
    <row r="976" spans="5:5" x14ac:dyDescent="0.2">
      <c r="E976" s="717"/>
    </row>
    <row r="977" spans="5:5" x14ac:dyDescent="0.2">
      <c r="E977" s="717"/>
    </row>
    <row r="978" spans="5:5" x14ac:dyDescent="0.2">
      <c r="E978" s="717"/>
    </row>
    <row r="979" spans="5:5" x14ac:dyDescent="0.2">
      <c r="E979" s="717"/>
    </row>
    <row r="980" spans="5:5" x14ac:dyDescent="0.2">
      <c r="E980" s="717"/>
    </row>
    <row r="981" spans="5:5" x14ac:dyDescent="0.2">
      <c r="E981" s="717"/>
    </row>
    <row r="982" spans="5:5" x14ac:dyDescent="0.2">
      <c r="E982" s="717"/>
    </row>
    <row r="983" spans="5:5" x14ac:dyDescent="0.2">
      <c r="E983" s="717"/>
    </row>
    <row r="984" spans="5:5" x14ac:dyDescent="0.2">
      <c r="E984" s="717"/>
    </row>
    <row r="985" spans="5:5" x14ac:dyDescent="0.2">
      <c r="E985" s="717"/>
    </row>
    <row r="986" spans="5:5" x14ac:dyDescent="0.2">
      <c r="E986" s="717"/>
    </row>
    <row r="987" spans="5:5" x14ac:dyDescent="0.2">
      <c r="E987" s="717"/>
    </row>
    <row r="988" spans="5:5" x14ac:dyDescent="0.2">
      <c r="E988" s="717"/>
    </row>
    <row r="989" spans="5:5" x14ac:dyDescent="0.2">
      <c r="E989" s="717"/>
    </row>
    <row r="990" spans="5:5" x14ac:dyDescent="0.2">
      <c r="E990" s="717"/>
    </row>
    <row r="991" spans="5:5" x14ac:dyDescent="0.2">
      <c r="E991" s="717"/>
    </row>
    <row r="992" spans="5:5" x14ac:dyDescent="0.2">
      <c r="E992" s="717"/>
    </row>
    <row r="993" spans="5:5" x14ac:dyDescent="0.2">
      <c r="E993" s="717"/>
    </row>
    <row r="994" spans="5:5" x14ac:dyDescent="0.2">
      <c r="E994" s="717"/>
    </row>
    <row r="995" spans="5:5" x14ac:dyDescent="0.2">
      <c r="E995" s="717"/>
    </row>
    <row r="996" spans="5:5" x14ac:dyDescent="0.2">
      <c r="E996" s="717"/>
    </row>
    <row r="997" spans="5:5" x14ac:dyDescent="0.2">
      <c r="E997" s="717"/>
    </row>
    <row r="998" spans="5:5" x14ac:dyDescent="0.2">
      <c r="E998" s="717"/>
    </row>
    <row r="999" spans="5:5" x14ac:dyDescent="0.2">
      <c r="E999" s="717"/>
    </row>
    <row r="1000" spans="5:5" x14ac:dyDescent="0.2">
      <c r="E1000" s="717"/>
    </row>
    <row r="1001" spans="5:5" x14ac:dyDescent="0.2">
      <c r="E1001" s="717"/>
    </row>
    <row r="1002" spans="5:5" x14ac:dyDescent="0.2">
      <c r="E1002" s="717"/>
    </row>
    <row r="1003" spans="5:5" x14ac:dyDescent="0.2">
      <c r="E1003" s="717"/>
    </row>
    <row r="1004" spans="5:5" x14ac:dyDescent="0.2">
      <c r="E1004" s="717"/>
    </row>
    <row r="1005" spans="5:5" x14ac:dyDescent="0.2">
      <c r="E1005" s="717"/>
    </row>
    <row r="1006" spans="5:5" x14ac:dyDescent="0.2">
      <c r="E1006" s="717"/>
    </row>
    <row r="1007" spans="5:5" x14ac:dyDescent="0.2">
      <c r="E1007" s="717"/>
    </row>
    <row r="1008" spans="5:5" x14ac:dyDescent="0.2">
      <c r="E1008" s="717"/>
    </row>
    <row r="1009" spans="5:5" x14ac:dyDescent="0.2">
      <c r="E1009" s="717"/>
    </row>
    <row r="1010" spans="5:5" x14ac:dyDescent="0.2">
      <c r="E1010" s="717"/>
    </row>
    <row r="1011" spans="5:5" x14ac:dyDescent="0.2">
      <c r="E1011" s="717"/>
    </row>
    <row r="1012" spans="5:5" x14ac:dyDescent="0.2">
      <c r="E1012" s="717"/>
    </row>
    <row r="1013" spans="5:5" x14ac:dyDescent="0.2">
      <c r="E1013" s="717"/>
    </row>
    <row r="1014" spans="5:5" x14ac:dyDescent="0.2">
      <c r="E1014" s="717"/>
    </row>
    <row r="1015" spans="5:5" x14ac:dyDescent="0.2">
      <c r="E1015" s="717"/>
    </row>
    <row r="1016" spans="5:5" x14ac:dyDescent="0.2">
      <c r="E1016" s="717"/>
    </row>
    <row r="1017" spans="5:5" x14ac:dyDescent="0.2">
      <c r="E1017" s="717"/>
    </row>
    <row r="1018" spans="5:5" x14ac:dyDescent="0.2">
      <c r="E1018" s="717"/>
    </row>
    <row r="1019" spans="5:5" x14ac:dyDescent="0.2">
      <c r="E1019" s="717"/>
    </row>
    <row r="1020" spans="5:5" x14ac:dyDescent="0.2">
      <c r="E1020" s="717"/>
    </row>
    <row r="1021" spans="5:5" x14ac:dyDescent="0.2">
      <c r="E1021" s="717"/>
    </row>
    <row r="1022" spans="5:5" x14ac:dyDescent="0.2">
      <c r="E1022" s="717"/>
    </row>
    <row r="1023" spans="5:5" x14ac:dyDescent="0.2">
      <c r="E1023" s="717"/>
    </row>
    <row r="1024" spans="5:5" x14ac:dyDescent="0.2">
      <c r="E1024" s="717"/>
    </row>
    <row r="1025" spans="5:5" x14ac:dyDescent="0.2">
      <c r="E1025" s="717"/>
    </row>
    <row r="1026" spans="5:5" x14ac:dyDescent="0.2">
      <c r="E1026" s="717"/>
    </row>
    <row r="1027" spans="5:5" x14ac:dyDescent="0.2">
      <c r="E1027" s="717"/>
    </row>
    <row r="1028" spans="5:5" x14ac:dyDescent="0.2">
      <c r="E1028" s="717"/>
    </row>
    <row r="1029" spans="5:5" x14ac:dyDescent="0.2">
      <c r="E1029" s="717"/>
    </row>
    <row r="1030" spans="5:5" x14ac:dyDescent="0.2">
      <c r="E1030" s="717"/>
    </row>
    <row r="1031" spans="5:5" x14ac:dyDescent="0.2">
      <c r="E1031" s="717"/>
    </row>
    <row r="1032" spans="5:5" x14ac:dyDescent="0.2">
      <c r="E1032" s="717"/>
    </row>
    <row r="1033" spans="5:5" x14ac:dyDescent="0.2">
      <c r="E1033" s="717"/>
    </row>
    <row r="1034" spans="5:5" x14ac:dyDescent="0.2">
      <c r="E1034" s="717"/>
    </row>
    <row r="1035" spans="5:5" x14ac:dyDescent="0.2">
      <c r="E1035" s="717"/>
    </row>
    <row r="1036" spans="5:5" x14ac:dyDescent="0.2">
      <c r="E1036" s="717"/>
    </row>
    <row r="1037" spans="5:5" x14ac:dyDescent="0.2">
      <c r="E1037" s="717"/>
    </row>
    <row r="1038" spans="5:5" x14ac:dyDescent="0.2">
      <c r="E1038" s="717"/>
    </row>
    <row r="1039" spans="5:5" x14ac:dyDescent="0.2">
      <c r="E1039" s="717"/>
    </row>
    <row r="1040" spans="5:5" x14ac:dyDescent="0.2">
      <c r="E1040" s="717"/>
    </row>
    <row r="1041" spans="5:5" x14ac:dyDescent="0.2">
      <c r="E1041" s="717"/>
    </row>
    <row r="1042" spans="5:5" x14ac:dyDescent="0.2">
      <c r="E1042" s="717"/>
    </row>
    <row r="1043" spans="5:5" x14ac:dyDescent="0.2">
      <c r="E1043" s="717"/>
    </row>
    <row r="1044" spans="5:5" x14ac:dyDescent="0.2">
      <c r="E1044" s="717"/>
    </row>
    <row r="1045" spans="5:5" x14ac:dyDescent="0.2">
      <c r="E1045" s="717"/>
    </row>
    <row r="1046" spans="5:5" x14ac:dyDescent="0.2">
      <c r="E1046" s="717"/>
    </row>
    <row r="1047" spans="5:5" x14ac:dyDescent="0.2">
      <c r="E1047" s="717"/>
    </row>
    <row r="1048" spans="5:5" x14ac:dyDescent="0.2">
      <c r="E1048" s="717"/>
    </row>
    <row r="1049" spans="5:5" x14ac:dyDescent="0.2">
      <c r="E1049" s="717"/>
    </row>
    <row r="1050" spans="5:5" x14ac:dyDescent="0.2">
      <c r="E1050" s="717"/>
    </row>
    <row r="1051" spans="5:5" x14ac:dyDescent="0.2">
      <c r="E1051" s="717"/>
    </row>
    <row r="1052" spans="5:5" x14ac:dyDescent="0.2">
      <c r="E1052" s="717"/>
    </row>
    <row r="1053" spans="5:5" x14ac:dyDescent="0.2">
      <c r="E1053" s="717"/>
    </row>
    <row r="1054" spans="5:5" x14ac:dyDescent="0.2">
      <c r="E1054" s="717"/>
    </row>
    <row r="1055" spans="5:5" x14ac:dyDescent="0.2">
      <c r="E1055" s="717"/>
    </row>
    <row r="1056" spans="5:5" x14ac:dyDescent="0.2">
      <c r="E1056" s="717"/>
    </row>
    <row r="1057" spans="5:5" x14ac:dyDescent="0.2">
      <c r="E1057" s="717"/>
    </row>
    <row r="1058" spans="5:5" x14ac:dyDescent="0.2">
      <c r="E1058" s="717"/>
    </row>
    <row r="1059" spans="5:5" x14ac:dyDescent="0.2">
      <c r="E1059" s="717"/>
    </row>
    <row r="1060" spans="5:5" x14ac:dyDescent="0.2">
      <c r="E1060" s="717"/>
    </row>
    <row r="1061" spans="5:5" x14ac:dyDescent="0.2">
      <c r="E1061" s="717"/>
    </row>
    <row r="1062" spans="5:5" x14ac:dyDescent="0.2">
      <c r="E1062" s="717"/>
    </row>
    <row r="1063" spans="5:5" x14ac:dyDescent="0.2">
      <c r="E1063" s="717"/>
    </row>
    <row r="1064" spans="5:5" x14ac:dyDescent="0.2">
      <c r="E1064" s="717"/>
    </row>
    <row r="1065" spans="5:5" x14ac:dyDescent="0.2">
      <c r="E1065" s="717"/>
    </row>
    <row r="1066" spans="5:5" x14ac:dyDescent="0.2">
      <c r="E1066" s="717"/>
    </row>
    <row r="1067" spans="5:5" x14ac:dyDescent="0.2">
      <c r="E1067" s="717"/>
    </row>
    <row r="1068" spans="5:5" x14ac:dyDescent="0.2">
      <c r="E1068" s="717"/>
    </row>
    <row r="1069" spans="5:5" x14ac:dyDescent="0.2">
      <c r="E1069" s="717"/>
    </row>
    <row r="1070" spans="5:5" x14ac:dyDescent="0.2">
      <c r="E1070" s="717"/>
    </row>
    <row r="1071" spans="5:5" x14ac:dyDescent="0.2">
      <c r="E1071" s="717"/>
    </row>
    <row r="1072" spans="5:5" x14ac:dyDescent="0.2">
      <c r="E1072" s="717"/>
    </row>
    <row r="1073" spans="5:5" x14ac:dyDescent="0.2">
      <c r="E1073" s="717"/>
    </row>
    <row r="1074" spans="5:5" x14ac:dyDescent="0.2">
      <c r="E1074" s="717"/>
    </row>
    <row r="1075" spans="5:5" x14ac:dyDescent="0.2">
      <c r="E1075" s="717"/>
    </row>
    <row r="1076" spans="5:5" x14ac:dyDescent="0.2">
      <c r="E1076" s="717"/>
    </row>
    <row r="1077" spans="5:5" x14ac:dyDescent="0.2">
      <c r="E1077" s="717"/>
    </row>
    <row r="1078" spans="5:5" x14ac:dyDescent="0.2">
      <c r="E1078" s="717"/>
    </row>
    <row r="1079" spans="5:5" x14ac:dyDescent="0.2">
      <c r="E1079" s="717"/>
    </row>
    <row r="1080" spans="5:5" x14ac:dyDescent="0.2">
      <c r="E1080" s="717"/>
    </row>
    <row r="1081" spans="5:5" x14ac:dyDescent="0.2">
      <c r="E1081" s="717"/>
    </row>
    <row r="1082" spans="5:5" x14ac:dyDescent="0.2">
      <c r="E1082" s="717"/>
    </row>
    <row r="1083" spans="5:5" x14ac:dyDescent="0.2">
      <c r="E1083" s="717"/>
    </row>
    <row r="1084" spans="5:5" x14ac:dyDescent="0.2">
      <c r="E1084" s="717"/>
    </row>
    <row r="1085" spans="5:5" x14ac:dyDescent="0.2">
      <c r="E1085" s="717"/>
    </row>
    <row r="1086" spans="5:5" x14ac:dyDescent="0.2">
      <c r="E1086" s="717"/>
    </row>
    <row r="1087" spans="5:5" x14ac:dyDescent="0.2">
      <c r="E1087" s="717"/>
    </row>
    <row r="1088" spans="5:5" x14ac:dyDescent="0.2">
      <c r="E1088" s="717"/>
    </row>
    <row r="1089" spans="5:5" x14ac:dyDescent="0.2">
      <c r="E1089" s="717"/>
    </row>
    <row r="1090" spans="5:5" x14ac:dyDescent="0.2">
      <c r="E1090" s="717"/>
    </row>
    <row r="1091" spans="5:5" x14ac:dyDescent="0.2">
      <c r="E1091" s="717"/>
    </row>
    <row r="1092" spans="5:5" x14ac:dyDescent="0.2">
      <c r="E1092" s="717"/>
    </row>
    <row r="1093" spans="5:5" x14ac:dyDescent="0.2">
      <c r="E1093" s="717"/>
    </row>
    <row r="1094" spans="5:5" x14ac:dyDescent="0.2">
      <c r="E1094" s="717"/>
    </row>
    <row r="1095" spans="5:5" x14ac:dyDescent="0.2">
      <c r="E1095" s="717"/>
    </row>
    <row r="1096" spans="5:5" x14ac:dyDescent="0.2">
      <c r="E1096" s="717"/>
    </row>
    <row r="1097" spans="5:5" x14ac:dyDescent="0.2">
      <c r="E1097" s="717"/>
    </row>
    <row r="1098" spans="5:5" x14ac:dyDescent="0.2">
      <c r="E1098" s="717"/>
    </row>
    <row r="1099" spans="5:5" x14ac:dyDescent="0.2">
      <c r="E1099" s="717"/>
    </row>
    <row r="1100" spans="5:5" x14ac:dyDescent="0.2">
      <c r="E1100" s="717"/>
    </row>
    <row r="1101" spans="5:5" x14ac:dyDescent="0.2">
      <c r="E1101" s="717"/>
    </row>
    <row r="1102" spans="5:5" x14ac:dyDescent="0.2">
      <c r="E1102" s="717"/>
    </row>
    <row r="1103" spans="5:5" x14ac:dyDescent="0.2">
      <c r="E1103" s="717"/>
    </row>
    <row r="1104" spans="5:5" x14ac:dyDescent="0.2">
      <c r="E1104" s="717"/>
    </row>
    <row r="1105" spans="5:5" x14ac:dyDescent="0.2">
      <c r="E1105" s="717"/>
    </row>
    <row r="1106" spans="5:5" x14ac:dyDescent="0.2">
      <c r="E1106" s="717"/>
    </row>
    <row r="1107" spans="5:5" x14ac:dyDescent="0.2">
      <c r="E1107" s="717"/>
    </row>
    <row r="1108" spans="5:5" x14ac:dyDescent="0.2">
      <c r="E1108" s="717"/>
    </row>
    <row r="1109" spans="5:5" x14ac:dyDescent="0.2">
      <c r="E1109" s="717"/>
    </row>
    <row r="1110" spans="5:5" x14ac:dyDescent="0.2">
      <c r="E1110" s="717"/>
    </row>
    <row r="1111" spans="5:5" x14ac:dyDescent="0.2">
      <c r="E1111" s="717"/>
    </row>
    <row r="1112" spans="5:5" x14ac:dyDescent="0.2">
      <c r="E1112" s="717"/>
    </row>
    <row r="1113" spans="5:5" x14ac:dyDescent="0.2">
      <c r="E1113" s="717"/>
    </row>
    <row r="1114" spans="5:5" x14ac:dyDescent="0.2">
      <c r="E1114" s="717"/>
    </row>
    <row r="1115" spans="5:5" x14ac:dyDescent="0.2">
      <c r="E1115" s="717"/>
    </row>
    <row r="1116" spans="5:5" x14ac:dyDescent="0.2">
      <c r="E1116" s="717"/>
    </row>
    <row r="1117" spans="5:5" x14ac:dyDescent="0.2">
      <c r="E1117" s="717"/>
    </row>
    <row r="1118" spans="5:5" x14ac:dyDescent="0.2">
      <c r="E1118" s="717"/>
    </row>
    <row r="1119" spans="5:5" x14ac:dyDescent="0.2">
      <c r="E1119" s="717"/>
    </row>
    <row r="1120" spans="5:5" x14ac:dyDescent="0.2">
      <c r="E1120" s="717"/>
    </row>
    <row r="1121" spans="5:5" x14ac:dyDescent="0.2">
      <c r="E1121" s="717"/>
    </row>
    <row r="1122" spans="5:5" x14ac:dyDescent="0.2">
      <c r="E1122" s="717"/>
    </row>
    <row r="1123" spans="5:5" x14ac:dyDescent="0.2">
      <c r="E1123" s="717"/>
    </row>
    <row r="1124" spans="5:5" x14ac:dyDescent="0.2">
      <c r="E1124" s="717"/>
    </row>
    <row r="1125" spans="5:5" x14ac:dyDescent="0.2">
      <c r="E1125" s="717"/>
    </row>
    <row r="1126" spans="5:5" x14ac:dyDescent="0.2">
      <c r="E1126" s="717"/>
    </row>
    <row r="1127" spans="5:5" x14ac:dyDescent="0.2">
      <c r="E1127" s="717"/>
    </row>
    <row r="1128" spans="5:5" x14ac:dyDescent="0.2">
      <c r="E1128" s="717"/>
    </row>
    <row r="1129" spans="5:5" x14ac:dyDescent="0.2">
      <c r="E1129" s="717"/>
    </row>
    <row r="1130" spans="5:5" x14ac:dyDescent="0.2">
      <c r="E1130" s="717"/>
    </row>
    <row r="1131" spans="5:5" x14ac:dyDescent="0.2">
      <c r="E1131" s="717"/>
    </row>
    <row r="1132" spans="5:5" x14ac:dyDescent="0.2">
      <c r="E1132" s="717"/>
    </row>
    <row r="1133" spans="5:5" x14ac:dyDescent="0.2">
      <c r="E1133" s="717"/>
    </row>
    <row r="1134" spans="5:5" x14ac:dyDescent="0.2">
      <c r="E1134" s="717"/>
    </row>
    <row r="1135" spans="5:5" x14ac:dyDescent="0.2">
      <c r="E1135" s="717"/>
    </row>
    <row r="1136" spans="5:5" x14ac:dyDescent="0.2">
      <c r="E1136" s="717"/>
    </row>
    <row r="1137" spans="5:5" x14ac:dyDescent="0.2">
      <c r="E1137" s="717"/>
    </row>
    <row r="1138" spans="5:5" x14ac:dyDescent="0.2">
      <c r="E1138" s="717"/>
    </row>
    <row r="1139" spans="5:5" x14ac:dyDescent="0.2">
      <c r="E1139" s="717"/>
    </row>
    <row r="1140" spans="5:5" x14ac:dyDescent="0.2">
      <c r="E1140" s="717"/>
    </row>
    <row r="1141" spans="5:5" x14ac:dyDescent="0.2">
      <c r="E1141" s="717"/>
    </row>
    <row r="1142" spans="5:5" x14ac:dyDescent="0.2">
      <c r="E1142" s="717"/>
    </row>
    <row r="1143" spans="5:5" x14ac:dyDescent="0.2">
      <c r="E1143" s="717"/>
    </row>
    <row r="1144" spans="5:5" x14ac:dyDescent="0.2">
      <c r="E1144" s="717"/>
    </row>
    <row r="1145" spans="5:5" x14ac:dyDescent="0.2">
      <c r="E1145" s="717"/>
    </row>
    <row r="1146" spans="5:5" x14ac:dyDescent="0.2">
      <c r="E1146" s="717"/>
    </row>
    <row r="1147" spans="5:5" x14ac:dyDescent="0.2">
      <c r="E1147" s="717"/>
    </row>
    <row r="1148" spans="5:5" x14ac:dyDescent="0.2">
      <c r="E1148" s="717"/>
    </row>
    <row r="1149" spans="5:5" x14ac:dyDescent="0.2">
      <c r="E1149" s="717"/>
    </row>
    <row r="1150" spans="5:5" x14ac:dyDescent="0.2">
      <c r="E1150" s="717"/>
    </row>
    <row r="1151" spans="5:5" x14ac:dyDescent="0.2">
      <c r="E1151" s="717"/>
    </row>
    <row r="1152" spans="5:5" x14ac:dyDescent="0.2">
      <c r="E1152" s="717"/>
    </row>
    <row r="1153" spans="5:5" x14ac:dyDescent="0.2">
      <c r="E1153" s="717"/>
    </row>
    <row r="1154" spans="5:5" x14ac:dyDescent="0.2">
      <c r="E1154" s="717"/>
    </row>
    <row r="1155" spans="5:5" x14ac:dyDescent="0.2">
      <c r="E1155" s="717"/>
    </row>
    <row r="1156" spans="5:5" x14ac:dyDescent="0.2">
      <c r="E1156" s="717"/>
    </row>
    <row r="1157" spans="5:5" x14ac:dyDescent="0.2">
      <c r="E1157" s="717"/>
    </row>
    <row r="1158" spans="5:5" x14ac:dyDescent="0.2">
      <c r="E1158" s="717"/>
    </row>
    <row r="1159" spans="5:5" x14ac:dyDescent="0.2">
      <c r="E1159" s="717"/>
    </row>
    <row r="1160" spans="5:5" x14ac:dyDescent="0.2">
      <c r="E1160" s="717"/>
    </row>
    <row r="1161" spans="5:5" x14ac:dyDescent="0.2">
      <c r="E1161" s="717"/>
    </row>
    <row r="1162" spans="5:5" x14ac:dyDescent="0.2">
      <c r="E1162" s="717"/>
    </row>
    <row r="1163" spans="5:5" x14ac:dyDescent="0.2">
      <c r="E1163" s="717"/>
    </row>
    <row r="1164" spans="5:5" x14ac:dyDescent="0.2">
      <c r="E1164" s="717"/>
    </row>
    <row r="1165" spans="5:5" x14ac:dyDescent="0.2">
      <c r="E1165" s="717"/>
    </row>
    <row r="1166" spans="5:5" x14ac:dyDescent="0.2">
      <c r="E1166" s="717"/>
    </row>
    <row r="1167" spans="5:5" x14ac:dyDescent="0.2">
      <c r="E1167" s="717"/>
    </row>
    <row r="1168" spans="5:5" x14ac:dyDescent="0.2">
      <c r="E1168" s="717"/>
    </row>
    <row r="1169" spans="5:5" x14ac:dyDescent="0.2">
      <c r="E1169" s="717"/>
    </row>
    <row r="1170" spans="5:5" x14ac:dyDescent="0.2">
      <c r="E1170" s="717"/>
    </row>
    <row r="1171" spans="5:5" x14ac:dyDescent="0.2">
      <c r="E1171" s="717"/>
    </row>
  </sheetData>
  <sheetProtection formatRows="0" insertColumns="0" insertRows="0" insertHyperlinks="0" sort="0" autoFilter="0" pivotTables="0"/>
  <customSheetViews>
    <customSheetView guid="{DFC1AA5A-BB58-4864-A1E0-C1D77A337997}" scale="75" showRuler="0" topLeftCell="A19">
      <selection activeCell="D38" sqref="D38:J38"/>
      <colBreaks count="1" manualBreakCount="1">
        <brk id="10" max="73" man="1"/>
      </colBreaks>
      <pageMargins left="0.23622047244094491" right="0.23622047244094491" top="0.27559055118110237" bottom="0.19685039370078741" header="0.23622047244094491" footer="0.23622047244094491"/>
      <printOptions horizontalCentered="1" verticalCentered="1"/>
      <pageSetup paperSize="9" scale="64" orientation="portrait" r:id="rId1"/>
      <headerFooter alignWithMargins="0"/>
    </customSheetView>
  </customSheetViews>
  <mergeCells count="48">
    <mergeCell ref="C52:D52"/>
    <mergeCell ref="I64:J64"/>
    <mergeCell ref="B20:C20"/>
    <mergeCell ref="C56:D56"/>
    <mergeCell ref="C49:D49"/>
    <mergeCell ref="C50:D50"/>
    <mergeCell ref="G49:H49"/>
    <mergeCell ref="G52:H52"/>
    <mergeCell ref="B34:C34"/>
    <mergeCell ref="G63:H63"/>
    <mergeCell ref="C48:D48"/>
    <mergeCell ref="B47:K47"/>
    <mergeCell ref="I63:J63"/>
    <mergeCell ref="B54:K54"/>
    <mergeCell ref="G51:H51"/>
    <mergeCell ref="H14:I14"/>
    <mergeCell ref="C6:K6"/>
    <mergeCell ref="D8:K8"/>
    <mergeCell ref="G11:I11"/>
    <mergeCell ref="G12:I12"/>
    <mergeCell ref="G13:I13"/>
    <mergeCell ref="B8:C8"/>
    <mergeCell ref="J14:K14"/>
    <mergeCell ref="J15:K15"/>
    <mergeCell ref="B18:C19"/>
    <mergeCell ref="I59:J59"/>
    <mergeCell ref="E2:G2"/>
    <mergeCell ref="C64:H64"/>
    <mergeCell ref="G50:H50"/>
    <mergeCell ref="H15:I15"/>
    <mergeCell ref="C51:D51"/>
    <mergeCell ref="C53:D53"/>
    <mergeCell ref="G53:H53"/>
    <mergeCell ref="G48:H48"/>
    <mergeCell ref="I20:K20"/>
    <mergeCell ref="E20:H20"/>
    <mergeCell ref="D18:D19"/>
    <mergeCell ref="G18:H19"/>
    <mergeCell ref="I18:I19"/>
    <mergeCell ref="J18:K18"/>
    <mergeCell ref="J19:K19"/>
    <mergeCell ref="G60:H60"/>
    <mergeCell ref="G61:H61"/>
    <mergeCell ref="G62:H62"/>
    <mergeCell ref="G56:H56"/>
    <mergeCell ref="G57:H57"/>
    <mergeCell ref="G58:H58"/>
    <mergeCell ref="G59:H59"/>
  </mergeCells>
  <phoneticPr fontId="0" type="noConversion"/>
  <conditionalFormatting sqref="B29:B31">
    <cfRule type="expression" dxfId="43" priority="17" stopIfTrue="1">
      <formula>$C29&gt;0</formula>
    </cfRule>
  </conditionalFormatting>
  <conditionalFormatting sqref="H1">
    <cfRule type="expression" dxfId="42" priority="15" stopIfTrue="1">
      <formula>$H$1&lt;1</formula>
    </cfRule>
    <cfRule type="expression" dxfId="41" priority="16" stopIfTrue="1">
      <formula>$H$1&gt;0.001</formula>
    </cfRule>
  </conditionalFormatting>
  <conditionalFormatting sqref="H2">
    <cfRule type="expression" dxfId="40" priority="13" stopIfTrue="1">
      <formula>$H$2=0</formula>
    </cfRule>
    <cfRule type="expression" dxfId="39" priority="14" stopIfTrue="1">
      <formula>$H$2&gt;0.001</formula>
    </cfRule>
  </conditionalFormatting>
  <conditionalFormatting sqref="I2">
    <cfRule type="expression" dxfId="38" priority="11" stopIfTrue="1">
      <formula>$I$2=0</formula>
    </cfRule>
    <cfRule type="expression" dxfId="37" priority="12" stopIfTrue="1">
      <formula>$I$2&gt;0.001</formula>
    </cfRule>
  </conditionalFormatting>
  <conditionalFormatting sqref="J2">
    <cfRule type="expression" dxfId="36" priority="9" stopIfTrue="1">
      <formula>$J$2=0</formula>
    </cfRule>
    <cfRule type="expression" dxfId="35" priority="10" stopIfTrue="1">
      <formula>$J$2&gt;0.001</formula>
    </cfRule>
  </conditionalFormatting>
  <conditionalFormatting sqref="K2">
    <cfRule type="expression" dxfId="34" priority="7" stopIfTrue="1">
      <formula>$K$2=0</formula>
    </cfRule>
    <cfRule type="expression" dxfId="33" priority="8" stopIfTrue="1">
      <formula>$K$2&gt;0.001</formula>
    </cfRule>
  </conditionalFormatting>
  <conditionalFormatting sqref="I1">
    <cfRule type="expression" dxfId="32" priority="5" stopIfTrue="1">
      <formula>$I$1=0</formula>
    </cfRule>
    <cfRule type="expression" dxfId="31" priority="6" stopIfTrue="1">
      <formula>$I$1&gt;0.001</formula>
    </cfRule>
  </conditionalFormatting>
  <conditionalFormatting sqref="J1">
    <cfRule type="expression" dxfId="30" priority="3" stopIfTrue="1">
      <formula>$J$1=0</formula>
    </cfRule>
    <cfRule type="expression" dxfId="29" priority="4" stopIfTrue="1">
      <formula>$J$1&gt;0.001</formula>
    </cfRule>
  </conditionalFormatting>
  <conditionalFormatting sqref="K1">
    <cfRule type="expression" dxfId="28" priority="1" stopIfTrue="1">
      <formula>$K$1=0</formula>
    </cfRule>
    <cfRule type="expression" dxfId="27" priority="2" stopIfTrue="1">
      <formula>$K$1&gt;0.001</formula>
    </cfRule>
  </conditionalFormatting>
  <printOptions horizontalCentered="1" verticalCentered="1"/>
  <pageMargins left="0.23622047244094491" right="0.23622047244094491" top="0.94488188976377963" bottom="0.82677165354330717" header="0.23622047244094491" footer="0.23622047244094491"/>
  <pageSetup paperSize="9" scale="54" orientation="portrait" r:id="rId2"/>
  <headerFooter alignWithMargins="0">
    <oddHeader>&amp;C&amp;"Arial Cyr,полужирный"&amp;28КАЧЕСТВО &amp;26ПЕЧАТИ!!!</oddHeader>
    <oddFooter>&amp;C&amp;"Arial Cyr,полужирный"&amp;26Упаковка с ярлыками!
1 пачку для редакции запаковать в тех.отходы. Экземпляры для редакции брать до стекера!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46" r:id="rId5" name="Button 54">
              <controlPr defaultSize="0" print="0" autoFill="0" autoPict="0" macro="[0]!Развернуть_бумага">
                <anchor moveWithCells="1" sizeWithCells="1">
                  <from>
                    <xdr:col>8</xdr:col>
                    <xdr:colOff>1028700</xdr:colOff>
                    <xdr:row>32</xdr:row>
                    <xdr:rowOff>19050</xdr:rowOff>
                  </from>
                  <to>
                    <xdr:col>10</xdr:col>
                    <xdr:colOff>933450</xdr:colOff>
                    <xdr:row>32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6" name="Button 55">
              <controlPr defaultSize="0" print="0" autoFill="0" autoPict="0" macro="[0]!Свернуть_бумага">
                <anchor moveWithCells="1" sizeWithCells="1">
                  <from>
                    <xdr:col>6</xdr:col>
                    <xdr:colOff>142875</xdr:colOff>
                    <xdr:row>32</xdr:row>
                    <xdr:rowOff>19050</xdr:rowOff>
                  </from>
                  <to>
                    <xdr:col>8</xdr:col>
                    <xdr:colOff>466725</xdr:colOff>
                    <xdr:row>32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>
    <tabColor theme="0" tint="-0.34998626667073579"/>
  </sheetPr>
  <dimension ref="A1:AZ1160"/>
  <sheetViews>
    <sheetView zoomScale="85" zoomScaleNormal="85" zoomScaleSheetLayoutView="100" workbookViewId="0">
      <selection activeCell="O15" sqref="O15:V15"/>
    </sheetView>
  </sheetViews>
  <sheetFormatPr defaultRowHeight="14.25" x14ac:dyDescent="0.2"/>
  <cols>
    <col min="1" max="1" width="0.7109375" style="605" customWidth="1"/>
    <col min="2" max="2" width="11.28515625" style="80" customWidth="1"/>
    <col min="3" max="3" width="4.5703125" style="1539" customWidth="1"/>
    <col min="4" max="4" width="5.42578125" style="1539" customWidth="1"/>
    <col min="5" max="6" width="4.7109375" style="1539" customWidth="1"/>
    <col min="7" max="9" width="4.7109375" style="80" customWidth="1"/>
    <col min="10" max="10" width="4.7109375" style="1539" customWidth="1"/>
    <col min="11" max="13" width="5.140625" style="1539" customWidth="1"/>
    <col min="14" max="16" width="4.7109375" style="1539" customWidth="1"/>
    <col min="17" max="25" width="4.7109375" style="11" customWidth="1"/>
    <col min="26" max="26" width="5.42578125" style="11" customWidth="1"/>
    <col min="27" max="27" width="4.7109375" style="11" customWidth="1"/>
    <col min="28" max="30" width="7.7109375" style="11" customWidth="1"/>
    <col min="31" max="31" width="4.7109375" style="1539" customWidth="1"/>
    <col min="32" max="36" width="4.7109375" style="80" customWidth="1"/>
    <col min="37" max="37" width="6.7109375" style="80" customWidth="1"/>
    <col min="38" max="38" width="12.140625" style="1540" hidden="1" customWidth="1"/>
    <col min="39" max="39" width="9.28515625" style="11" hidden="1" customWidth="1"/>
    <col min="40" max="40" width="9.140625" style="80" hidden="1" customWidth="1"/>
    <col min="41" max="41" width="10.7109375" style="80" hidden="1" customWidth="1"/>
    <col min="42" max="42" width="10.42578125" style="1539" bestFit="1" customWidth="1"/>
    <col min="43" max="50" width="9.140625" style="1539"/>
    <col min="51" max="16384" width="9.140625" style="11"/>
  </cols>
  <sheetData>
    <row r="1" spans="1:44" ht="30.75" customHeight="1" x14ac:dyDescent="0.2">
      <c r="A1" s="605">
        <v>1</v>
      </c>
      <c r="B1" s="1781" t="s">
        <v>1239</v>
      </c>
      <c r="C1" s="1769"/>
      <c r="D1" s="1769"/>
      <c r="E1" s="1769"/>
      <c r="F1" s="1769"/>
      <c r="G1" s="1768"/>
      <c r="H1" s="1768"/>
      <c r="I1" s="1768"/>
      <c r="J1" s="1769"/>
      <c r="K1" s="1769"/>
      <c r="L1" s="1769"/>
      <c r="M1" s="1769"/>
      <c r="N1" s="1769"/>
      <c r="O1" s="1769"/>
      <c r="P1" s="1769"/>
      <c r="Q1" s="1770"/>
      <c r="R1" s="1770"/>
      <c r="S1" s="1770"/>
      <c r="T1" s="1770"/>
      <c r="U1" s="1770"/>
      <c r="V1" s="1770"/>
      <c r="W1" s="1770"/>
      <c r="X1" s="1770"/>
      <c r="Y1" s="1770"/>
      <c r="Z1" s="1770"/>
      <c r="AA1" s="2373" t="str">
        <f>Заказ!E2</f>
        <v>ООО "Кировская областная типография"</v>
      </c>
      <c r="AB1" s="2373"/>
      <c r="AC1" s="2373"/>
      <c r="AD1" s="2373"/>
      <c r="AE1" s="2373"/>
      <c r="AF1" s="2373"/>
      <c r="AG1" s="2373"/>
      <c r="AH1" s="2373"/>
      <c r="AI1" s="2373"/>
      <c r="AJ1" s="2373"/>
      <c r="AK1" s="2373"/>
      <c r="AL1" s="1780"/>
      <c r="AM1" s="1780"/>
      <c r="AN1" s="1780"/>
      <c r="AO1" s="1780"/>
      <c r="AP1" s="11"/>
    </row>
    <row r="2" spans="1:44" ht="30.75" customHeight="1" x14ac:dyDescent="0.2">
      <c r="A2" s="605">
        <v>1</v>
      </c>
      <c r="B2" s="1779" t="str">
        <f>Исх!D9&amp;" "&amp;Исх!II1&amp;" тел.: "&amp;Исх!IH1</f>
        <v>Технолог: О.А. Коврова тел.: 1-13</v>
      </c>
      <c r="C2" s="1769"/>
      <c r="D2" s="1769"/>
      <c r="E2" s="1769"/>
      <c r="F2" s="1769"/>
      <c r="G2" s="1768"/>
      <c r="H2" s="1768"/>
      <c r="I2" s="1778"/>
      <c r="J2" s="1769"/>
      <c r="K2" s="1769"/>
      <c r="L2" s="1769"/>
      <c r="M2" s="1769"/>
      <c r="N2" s="1769"/>
      <c r="O2" s="1769"/>
      <c r="P2" s="1769"/>
      <c r="Q2" s="2330" t="str">
        <f>Исх!D7&amp;" "&amp;Исх!IF1&amp;", "&amp;Исх!IQ1&amp;", "&amp;Исх!IM1&amp;",сигн._"&amp;Исх!IN1&amp;" экз."</f>
        <v>Печать: рулонная, ГАЗЕТЫ, ГАЗЕТЫ РУЛОННЫЕ,сигн._0 экз.</v>
      </c>
      <c r="R2" s="2330"/>
      <c r="S2" s="2330"/>
      <c r="T2" s="2330"/>
      <c r="U2" s="2330"/>
      <c r="V2" s="2330"/>
      <c r="W2" s="2330"/>
      <c r="X2" s="2330"/>
      <c r="Y2" s="2330"/>
      <c r="Z2" s="2330"/>
      <c r="AA2" s="2330"/>
      <c r="AB2" s="2330"/>
      <c r="AC2" s="2330"/>
      <c r="AD2" s="2330"/>
      <c r="AE2" s="2330"/>
      <c r="AF2" s="2330"/>
      <c r="AG2" s="2330"/>
      <c r="AH2" s="2330"/>
      <c r="AI2" s="2330"/>
      <c r="AJ2" s="2330"/>
      <c r="AK2" s="2330"/>
      <c r="AL2" s="1777"/>
    </row>
    <row r="3" spans="1:44" ht="6.75" customHeight="1" x14ac:dyDescent="0.2">
      <c r="A3" s="605">
        <v>1</v>
      </c>
      <c r="B3" s="1768"/>
      <c r="C3" s="1769"/>
      <c r="D3" s="1769"/>
      <c r="E3" s="1769"/>
      <c r="F3" s="1769"/>
      <c r="G3" s="1768"/>
      <c r="H3" s="1768"/>
      <c r="I3" s="1768"/>
      <c r="J3" s="1769"/>
      <c r="K3" s="1769"/>
      <c r="L3" s="1769"/>
      <c r="M3" s="1769"/>
      <c r="N3" s="1769"/>
      <c r="O3" s="1769"/>
      <c r="P3" s="1769"/>
      <c r="Q3" s="1770"/>
      <c r="R3" s="1770"/>
      <c r="S3" s="1770"/>
      <c r="T3" s="1770"/>
      <c r="U3" s="1770"/>
      <c r="V3" s="1770"/>
      <c r="W3" s="1770"/>
      <c r="X3" s="1770"/>
      <c r="Y3" s="1770"/>
      <c r="Z3" s="1770"/>
      <c r="AA3" s="1770"/>
      <c r="AB3" s="1770"/>
      <c r="AC3" s="1770"/>
      <c r="AD3" s="1770"/>
      <c r="AE3" s="1769"/>
      <c r="AF3" s="1768"/>
      <c r="AG3" s="1768"/>
      <c r="AH3" s="1768"/>
      <c r="AI3" s="1776"/>
      <c r="AJ3" s="1776"/>
      <c r="AK3" s="1776"/>
    </row>
    <row r="4" spans="1:44" ht="26.25" customHeight="1" x14ac:dyDescent="0.2">
      <c r="A4" s="605">
        <v>1</v>
      </c>
      <c r="B4" s="2374" t="s">
        <v>1238</v>
      </c>
      <c r="C4" s="2374"/>
      <c r="D4" s="2374"/>
      <c r="E4" s="2374"/>
      <c r="F4" s="2374"/>
      <c r="G4" s="2374"/>
      <c r="H4" s="2375">
        <f>Заказ!F1</f>
        <v>2022</v>
      </c>
      <c r="I4" s="2375"/>
      <c r="J4" s="2375"/>
      <c r="K4" s="2376">
        <f>Заказ!G1</f>
        <v>10367</v>
      </c>
      <c r="L4" s="2376"/>
      <c r="M4" s="2376"/>
      <c r="N4" s="1775"/>
      <c r="O4" s="1647"/>
      <c r="P4" s="2377" t="s">
        <v>421</v>
      </c>
      <c r="Q4" s="2377"/>
      <c r="R4" s="2377"/>
      <c r="S4" s="2377"/>
      <c r="T4" s="2377"/>
      <c r="U4" s="2377"/>
      <c r="V4" s="2377"/>
      <c r="W4" s="2378" t="str">
        <f>Заказ!D8</f>
        <v>Про город К-Чепецк № 13 от 02.04.2022</v>
      </c>
      <c r="X4" s="2379"/>
      <c r="Y4" s="2379"/>
      <c r="Z4" s="2379"/>
      <c r="AA4" s="2379"/>
      <c r="AB4" s="2379"/>
      <c r="AC4" s="2379"/>
      <c r="AD4" s="2379"/>
      <c r="AE4" s="2379"/>
      <c r="AF4" s="2379"/>
      <c r="AG4" s="2379"/>
      <c r="AH4" s="2379"/>
      <c r="AI4" s="2379"/>
      <c r="AJ4" s="2379"/>
      <c r="AK4" s="2380"/>
      <c r="AR4" s="1798"/>
    </row>
    <row r="5" spans="1:44" ht="27.75" x14ac:dyDescent="0.2">
      <c r="A5" s="605">
        <v>1</v>
      </c>
      <c r="B5" s="2400" t="s">
        <v>439</v>
      </c>
      <c r="C5" s="2400"/>
      <c r="D5" s="2400"/>
      <c r="E5" s="2400"/>
      <c r="F5" s="2400"/>
      <c r="G5" s="2400"/>
      <c r="H5" s="2401">
        <f>Заказ!C11</f>
        <v>25000</v>
      </c>
      <c r="I5" s="2401"/>
      <c r="J5" s="2401"/>
      <c r="K5" s="2401"/>
      <c r="L5" s="2401"/>
      <c r="M5" s="2401"/>
      <c r="N5" s="1769"/>
      <c r="O5" s="1769"/>
      <c r="P5" s="2377"/>
      <c r="Q5" s="2377"/>
      <c r="R5" s="2377"/>
      <c r="S5" s="2377"/>
      <c r="T5" s="2377"/>
      <c r="U5" s="2377"/>
      <c r="V5" s="2377"/>
      <c r="W5" s="2381"/>
      <c r="X5" s="2382"/>
      <c r="Y5" s="2382"/>
      <c r="Z5" s="2382"/>
      <c r="AA5" s="2382"/>
      <c r="AB5" s="2382"/>
      <c r="AC5" s="2382"/>
      <c r="AD5" s="2382"/>
      <c r="AE5" s="2382"/>
      <c r="AF5" s="2382"/>
      <c r="AG5" s="2382"/>
      <c r="AH5" s="2382"/>
      <c r="AI5" s="2382"/>
      <c r="AJ5" s="2382"/>
      <c r="AK5" s="2383"/>
    </row>
    <row r="6" spans="1:44" ht="25.5" customHeight="1" x14ac:dyDescent="0.2">
      <c r="A6" s="605">
        <v>1</v>
      </c>
      <c r="B6" s="2400" t="s">
        <v>1237</v>
      </c>
      <c r="C6" s="2400"/>
      <c r="D6" s="2400"/>
      <c r="E6" s="2400"/>
      <c r="F6" s="2400"/>
      <c r="G6" s="2400"/>
      <c r="H6" s="2402" t="str">
        <f>Заказ!C12</f>
        <v>А3</v>
      </c>
      <c r="I6" s="2402"/>
      <c r="J6" s="2402"/>
      <c r="K6" s="2402"/>
      <c r="L6" s="2402"/>
      <c r="M6" s="2402"/>
      <c r="N6" s="1769"/>
      <c r="O6" s="1769"/>
      <c r="P6" s="2377"/>
      <c r="Q6" s="2377"/>
      <c r="R6" s="2377"/>
      <c r="S6" s="2377"/>
      <c r="T6" s="2377"/>
      <c r="U6" s="2377"/>
      <c r="V6" s="2377"/>
      <c r="W6" s="2381"/>
      <c r="X6" s="2382"/>
      <c r="Y6" s="2382"/>
      <c r="Z6" s="2382"/>
      <c r="AA6" s="2382"/>
      <c r="AB6" s="2382"/>
      <c r="AC6" s="2382"/>
      <c r="AD6" s="2382"/>
      <c r="AE6" s="2382"/>
      <c r="AF6" s="2382"/>
      <c r="AG6" s="2382"/>
      <c r="AH6" s="2382"/>
      <c r="AI6" s="2382"/>
      <c r="AJ6" s="2382"/>
      <c r="AK6" s="2383"/>
    </row>
    <row r="7" spans="1:44" ht="25.5" customHeight="1" x14ac:dyDescent="0.2">
      <c r="A7" s="605">
        <v>1</v>
      </c>
      <c r="B7" s="2400" t="s">
        <v>1236</v>
      </c>
      <c r="C7" s="2400"/>
      <c r="D7" s="2400"/>
      <c r="E7" s="2400"/>
      <c r="F7" s="2400"/>
      <c r="G7" s="2400"/>
      <c r="H7" s="2403">
        <f>Заказ!C14</f>
        <v>12</v>
      </c>
      <c r="I7" s="2403"/>
      <c r="J7" s="2403"/>
      <c r="K7" s="2403"/>
      <c r="L7" s="2403"/>
      <c r="M7" s="2403"/>
      <c r="N7" s="1769"/>
      <c r="O7" s="1769"/>
      <c r="P7" s="2377"/>
      <c r="Q7" s="2377"/>
      <c r="R7" s="2377"/>
      <c r="S7" s="2377"/>
      <c r="T7" s="2377"/>
      <c r="U7" s="2377"/>
      <c r="V7" s="2377"/>
      <c r="W7" s="2384"/>
      <c r="X7" s="2385"/>
      <c r="Y7" s="2385"/>
      <c r="Z7" s="2385"/>
      <c r="AA7" s="2385"/>
      <c r="AB7" s="2385"/>
      <c r="AC7" s="2385"/>
      <c r="AD7" s="2385"/>
      <c r="AE7" s="2385"/>
      <c r="AF7" s="2385"/>
      <c r="AG7" s="2385"/>
      <c r="AH7" s="2385"/>
      <c r="AI7" s="2385"/>
      <c r="AJ7" s="2385"/>
      <c r="AK7" s="2386"/>
    </row>
    <row r="8" spans="1:44" ht="25.5" customHeight="1" x14ac:dyDescent="0.2">
      <c r="A8" s="605">
        <v>1</v>
      </c>
      <c r="B8" s="1774" t="s">
        <v>1235</v>
      </c>
      <c r="C8" s="1773"/>
      <c r="D8" s="1773"/>
      <c r="E8" s="1773"/>
      <c r="F8" s="1773"/>
      <c r="G8" s="1772"/>
      <c r="H8" s="2389"/>
      <c r="I8" s="2390"/>
      <c r="J8" s="2390"/>
      <c r="K8" s="2390"/>
      <c r="L8" s="2390"/>
      <c r="M8" s="2391"/>
      <c r="N8" s="1769"/>
      <c r="O8" s="1769"/>
      <c r="P8" s="2416" t="s">
        <v>1234</v>
      </c>
      <c r="Q8" s="2417"/>
      <c r="R8" s="2417"/>
      <c r="S8" s="2417"/>
      <c r="T8" s="2417"/>
      <c r="U8" s="2417"/>
      <c r="V8" s="2418"/>
      <c r="W8" s="2378" t="str">
        <f>Заказ!C6</f>
        <v>Чепецк Инфо, ООО</v>
      </c>
      <c r="X8" s="2379"/>
      <c r="Y8" s="2379"/>
      <c r="Z8" s="2379"/>
      <c r="AA8" s="2379"/>
      <c r="AB8" s="2379"/>
      <c r="AC8" s="2379"/>
      <c r="AD8" s="2379"/>
      <c r="AE8" s="2379"/>
      <c r="AF8" s="2379"/>
      <c r="AG8" s="2379"/>
      <c r="AH8" s="2379"/>
      <c r="AI8" s="2379"/>
      <c r="AJ8" s="2379"/>
      <c r="AK8" s="2380"/>
    </row>
    <row r="9" spans="1:44" ht="25.5" customHeight="1" x14ac:dyDescent="0.2">
      <c r="A9" s="605">
        <v>1</v>
      </c>
      <c r="B9" s="1774" t="s">
        <v>1233</v>
      </c>
      <c r="C9" s="1773"/>
      <c r="D9" s="1773"/>
      <c r="E9" s="1773"/>
      <c r="F9" s="1773"/>
      <c r="G9" s="1772"/>
      <c r="H9" s="2389"/>
      <c r="I9" s="2390"/>
      <c r="J9" s="2390"/>
      <c r="K9" s="2390"/>
      <c r="L9" s="2390"/>
      <c r="M9" s="2391"/>
      <c r="N9" s="1769"/>
      <c r="O9" s="1769"/>
      <c r="P9" s="2419"/>
      <c r="Q9" s="2420"/>
      <c r="R9" s="2420"/>
      <c r="S9" s="2420"/>
      <c r="T9" s="2420"/>
      <c r="U9" s="2420"/>
      <c r="V9" s="2421"/>
      <c r="W9" s="2381"/>
      <c r="X9" s="2382"/>
      <c r="Y9" s="2382"/>
      <c r="Z9" s="2382"/>
      <c r="AA9" s="2382"/>
      <c r="AB9" s="2382"/>
      <c r="AC9" s="2382"/>
      <c r="AD9" s="2382"/>
      <c r="AE9" s="2382"/>
      <c r="AF9" s="2382"/>
      <c r="AG9" s="2382"/>
      <c r="AH9" s="2382"/>
      <c r="AI9" s="2382"/>
      <c r="AJ9" s="2382"/>
      <c r="AK9" s="2383"/>
    </row>
    <row r="10" spans="1:44" ht="25.5" customHeight="1" x14ac:dyDescent="0.2">
      <c r="A10" s="605">
        <v>1</v>
      </c>
      <c r="B10" s="2392" t="s">
        <v>1232</v>
      </c>
      <c r="C10" s="2393"/>
      <c r="D10" s="2393"/>
      <c r="E10" s="2393"/>
      <c r="F10" s="2393"/>
      <c r="G10" s="2394"/>
      <c r="H10" s="2389"/>
      <c r="I10" s="2390"/>
      <c r="J10" s="2390"/>
      <c r="K10" s="2390"/>
      <c r="L10" s="2390"/>
      <c r="M10" s="2391"/>
      <c r="N10" s="1769"/>
      <c r="O10" s="1769"/>
      <c r="P10" s="2422"/>
      <c r="Q10" s="2423"/>
      <c r="R10" s="2423"/>
      <c r="S10" s="2423"/>
      <c r="T10" s="2423"/>
      <c r="U10" s="2423"/>
      <c r="V10" s="2424"/>
      <c r="W10" s="2384"/>
      <c r="X10" s="2385"/>
      <c r="Y10" s="2385"/>
      <c r="Z10" s="2385"/>
      <c r="AA10" s="2385"/>
      <c r="AB10" s="2385"/>
      <c r="AC10" s="2385"/>
      <c r="AD10" s="2385"/>
      <c r="AE10" s="2385"/>
      <c r="AF10" s="2385"/>
      <c r="AG10" s="2385"/>
      <c r="AH10" s="2385"/>
      <c r="AI10" s="2385"/>
      <c r="AJ10" s="2385"/>
      <c r="AK10" s="2386"/>
    </row>
    <row r="11" spans="1:44" ht="25.5" hidden="1" customHeight="1" x14ac:dyDescent="0.2">
      <c r="A11" s="605">
        <v>1</v>
      </c>
      <c r="B11" s="2396"/>
      <c r="C11" s="2396"/>
      <c r="D11" s="2396"/>
      <c r="E11" s="2396"/>
      <c r="F11" s="2396"/>
      <c r="G11" s="2396"/>
      <c r="H11" s="2397"/>
      <c r="I11" s="2397"/>
      <c r="J11" s="2397"/>
      <c r="K11" s="2397"/>
      <c r="L11" s="2397"/>
      <c r="M11" s="2397"/>
      <c r="N11" s="1769"/>
      <c r="O11" s="1769"/>
      <c r="P11" s="1769"/>
      <c r="Q11" s="1770"/>
      <c r="R11" s="1770"/>
      <c r="S11" s="1770"/>
      <c r="T11" s="1770"/>
      <c r="U11" s="1770"/>
      <c r="V11" s="1770"/>
      <c r="W11" s="1770"/>
      <c r="X11" s="1770"/>
      <c r="Y11" s="1770"/>
      <c r="Z11" s="1770"/>
      <c r="AA11" s="1770"/>
      <c r="AB11" s="1770"/>
      <c r="AC11" s="1770"/>
      <c r="AD11" s="1770"/>
      <c r="AE11" s="1769"/>
      <c r="AF11" s="1768"/>
      <c r="AG11" s="1768"/>
      <c r="AH11" s="1768"/>
      <c r="AI11" s="1768"/>
      <c r="AJ11" s="1771"/>
      <c r="AK11" s="1771"/>
    </row>
    <row r="12" spans="1:44" ht="25.5" hidden="1" customHeight="1" x14ac:dyDescent="0.2">
      <c r="A12" s="605">
        <v>1</v>
      </c>
      <c r="B12" s="2396"/>
      <c r="C12" s="2396"/>
      <c r="D12" s="2396"/>
      <c r="E12" s="2396"/>
      <c r="F12" s="2396"/>
      <c r="G12" s="2396"/>
      <c r="H12" s="2398"/>
      <c r="I12" s="2398"/>
      <c r="J12" s="2398"/>
      <c r="K12" s="2398"/>
      <c r="L12" s="2398"/>
      <c r="M12" s="2398"/>
      <c r="N12" s="1769"/>
      <c r="O12" s="1769"/>
      <c r="P12" s="1769"/>
      <c r="Q12" s="1770"/>
      <c r="R12" s="1770"/>
      <c r="S12" s="1770"/>
      <c r="T12" s="1770"/>
      <c r="U12" s="1770"/>
      <c r="V12" s="1770"/>
      <c r="W12" s="1770"/>
      <c r="X12" s="1770"/>
      <c r="Y12" s="1770"/>
      <c r="Z12" s="1770"/>
      <c r="AA12" s="1770"/>
      <c r="AB12" s="1770"/>
      <c r="AC12" s="1770"/>
      <c r="AD12" s="1770"/>
      <c r="AE12" s="1769"/>
      <c r="AF12" s="1768"/>
      <c r="AG12" s="1768"/>
      <c r="AH12" s="1768"/>
      <c r="AI12" s="1768"/>
      <c r="AJ12" s="1771"/>
      <c r="AK12" s="1771"/>
    </row>
    <row r="13" spans="1:44" ht="6.75" customHeight="1" thickBot="1" x14ac:dyDescent="0.25">
      <c r="A13" s="605">
        <v>1</v>
      </c>
      <c r="B13" s="1768"/>
      <c r="C13" s="1769"/>
      <c r="D13" s="1769"/>
      <c r="E13" s="1769"/>
      <c r="F13" s="1769"/>
      <c r="G13" s="1768"/>
      <c r="H13" s="1768"/>
      <c r="I13" s="1768"/>
      <c r="J13" s="1769"/>
      <c r="K13" s="1769"/>
      <c r="L13" s="1769"/>
      <c r="M13" s="1769"/>
      <c r="N13" s="1769"/>
      <c r="O13" s="1769"/>
      <c r="P13" s="1769"/>
      <c r="Q13" s="1770"/>
      <c r="R13" s="1770"/>
      <c r="S13" s="1770"/>
      <c r="T13" s="1770"/>
      <c r="U13" s="1770"/>
      <c r="V13" s="1770"/>
      <c r="W13" s="1770"/>
      <c r="X13" s="1770"/>
      <c r="Y13" s="1770"/>
      <c r="Z13" s="1770"/>
      <c r="AA13" s="1770"/>
      <c r="AB13" s="1770"/>
      <c r="AC13" s="1770"/>
      <c r="AD13" s="1770"/>
      <c r="AE13" s="1769"/>
      <c r="AF13" s="1768"/>
      <c r="AG13" s="1768"/>
      <c r="AH13" s="1768"/>
      <c r="AI13" s="1767"/>
      <c r="AJ13" s="1766"/>
      <c r="AK13" s="1766"/>
      <c r="AL13" s="1765"/>
    </row>
    <row r="14" spans="1:44" ht="15" customHeight="1" thickBot="1" x14ac:dyDescent="0.25">
      <c r="A14" s="605">
        <v>1</v>
      </c>
      <c r="B14" s="1764"/>
      <c r="C14" s="1763"/>
      <c r="D14" s="1763"/>
      <c r="E14" s="1763"/>
      <c r="F14" s="1763"/>
      <c r="G14" s="1763"/>
      <c r="H14" s="1763"/>
      <c r="I14" s="1763"/>
      <c r="J14" s="1763"/>
      <c r="K14" s="1763"/>
      <c r="L14" s="1763"/>
      <c r="M14" s="1763"/>
      <c r="N14" s="1763"/>
      <c r="O14" s="1763"/>
      <c r="P14" s="1763"/>
      <c r="Q14" s="1763"/>
      <c r="R14" s="1763"/>
      <c r="S14" s="1763"/>
      <c r="T14" s="1763"/>
      <c r="U14" s="1763"/>
      <c r="V14" s="1763"/>
      <c r="W14" s="1604"/>
      <c r="X14" s="1604"/>
      <c r="Y14" s="1604"/>
      <c r="Z14" s="1762"/>
      <c r="AA14" s="1762"/>
      <c r="AB14" s="1762"/>
      <c r="AC14" s="1762"/>
      <c r="AD14" s="1762"/>
      <c r="AE14" s="1762"/>
      <c r="AF14" s="1762"/>
      <c r="AG14" s="1762"/>
      <c r="AH14" s="1762"/>
      <c r="AI14" s="1762"/>
      <c r="AJ14" s="1762"/>
      <c r="AK14" s="1761"/>
      <c r="AL14" s="1759"/>
      <c r="AN14" s="609"/>
      <c r="AO14" s="609"/>
      <c r="AP14" s="1760"/>
      <c r="AQ14" s="1760"/>
    </row>
    <row r="15" spans="1:44" ht="29.25" customHeight="1" x14ac:dyDescent="0.2">
      <c r="A15" s="605">
        <v>1</v>
      </c>
      <c r="B15" s="2387" t="s">
        <v>1231</v>
      </c>
      <c r="C15" s="2388"/>
      <c r="D15" s="2388"/>
      <c r="E15" s="2388"/>
      <c r="F15" s="2388"/>
      <c r="G15" s="2388"/>
      <c r="H15" s="2388"/>
      <c r="I15" s="2388"/>
      <c r="J15" s="2388"/>
      <c r="K15" s="2388"/>
      <c r="L15" s="2388"/>
      <c r="M15" s="2388"/>
      <c r="N15" s="1756"/>
      <c r="O15" s="2395" t="s">
        <v>1230</v>
      </c>
      <c r="P15" s="2395"/>
      <c r="Q15" s="2395"/>
      <c r="R15" s="2395"/>
      <c r="S15" s="2395"/>
      <c r="T15" s="2395"/>
      <c r="U15" s="2395"/>
      <c r="V15" s="2395"/>
      <c r="W15" s="887"/>
      <c r="X15" s="887"/>
      <c r="Y15" s="2399" t="s">
        <v>1229</v>
      </c>
      <c r="Z15" s="2399"/>
      <c r="AA15" s="2399"/>
      <c r="AB15" s="2399"/>
      <c r="AC15" s="2399"/>
      <c r="AD15" s="2399"/>
      <c r="AE15" s="2413" t="str">
        <f>Заказ!J14</f>
        <v>289*330</v>
      </c>
      <c r="AF15" s="2414"/>
      <c r="AG15" s="2414"/>
      <c r="AH15" s="2414"/>
      <c r="AI15" s="2414"/>
      <c r="AJ15" s="2415"/>
      <c r="AK15" s="1702"/>
      <c r="AL15" s="1759">
        <f>IF(J18="Ryobi",1,2)</f>
        <v>2</v>
      </c>
      <c r="AN15" s="1758"/>
      <c r="AO15" s="1757"/>
      <c r="AP15" s="637"/>
      <c r="AQ15" s="1541"/>
    </row>
    <row r="16" spans="1:44" s="49" customFormat="1" ht="28.5" customHeight="1" x14ac:dyDescent="0.2">
      <c r="A16" s="605">
        <v>1</v>
      </c>
      <c r="B16" s="1672"/>
      <c r="C16" s="1756"/>
      <c r="D16" s="1756"/>
      <c r="E16" s="1756"/>
      <c r="F16" s="1756"/>
      <c r="G16" s="1756"/>
      <c r="H16" s="1756"/>
      <c r="I16" s="1756"/>
      <c r="J16" s="1756"/>
      <c r="K16" s="1756"/>
      <c r="L16" s="1756"/>
      <c r="M16" s="1756"/>
      <c r="N16" s="1756"/>
      <c r="O16" s="1756"/>
      <c r="P16" s="1756"/>
      <c r="Q16" s="1756"/>
      <c r="R16" s="1756"/>
      <c r="S16" s="1756"/>
      <c r="T16" s="1756"/>
      <c r="U16" s="1756"/>
      <c r="V16" s="1756"/>
      <c r="W16" s="1646"/>
      <c r="X16" s="1646"/>
      <c r="Y16" s="2430" t="s">
        <v>1228</v>
      </c>
      <c r="Z16" s="2430"/>
      <c r="AA16" s="2430"/>
      <c r="AB16" s="2430"/>
      <c r="AC16" s="2430"/>
      <c r="AD16" s="2430"/>
      <c r="AE16" s="2431" t="str">
        <f>Заказ!J15</f>
        <v>289*330</v>
      </c>
      <c r="AF16" s="2432"/>
      <c r="AG16" s="2432"/>
      <c r="AH16" s="2432"/>
      <c r="AI16" s="2432"/>
      <c r="AJ16" s="2433"/>
      <c r="AK16" s="1671"/>
      <c r="AL16" s="1755" t="s">
        <v>818</v>
      </c>
      <c r="AM16" s="1755"/>
      <c r="AN16" s="1754"/>
      <c r="AO16" s="784"/>
      <c r="AP16" s="784"/>
      <c r="AQ16" s="784"/>
    </row>
    <row r="17" spans="1:50" ht="11.25" customHeight="1" x14ac:dyDescent="0.2">
      <c r="A17" s="605">
        <v>1</v>
      </c>
      <c r="B17" s="1703"/>
      <c r="C17" s="1647" t="str">
        <f>Заказ!B20</f>
        <v>Пластины: Kaizen (цена в USD)</v>
      </c>
      <c r="D17" s="1647"/>
      <c r="E17" s="1647"/>
      <c r="F17" s="1647"/>
      <c r="G17" s="1693"/>
      <c r="H17" s="1693"/>
      <c r="I17" s="1693"/>
      <c r="J17" s="1647"/>
      <c r="K17" s="1647"/>
      <c r="L17" s="1647"/>
      <c r="M17" s="1647"/>
      <c r="N17" s="1647"/>
      <c r="O17" s="1647"/>
      <c r="P17" s="1647"/>
      <c r="Q17" s="1647"/>
      <c r="R17" s="1647"/>
      <c r="S17" s="1693"/>
      <c r="T17" s="1693"/>
      <c r="U17" s="1693"/>
      <c r="V17" s="1647"/>
      <c r="W17" s="1647"/>
      <c r="X17" s="887"/>
      <c r="Y17" s="887"/>
      <c r="Z17" s="887"/>
      <c r="AA17" s="887"/>
      <c r="AB17" s="887"/>
      <c r="AC17" s="887"/>
      <c r="AD17" s="887"/>
      <c r="AE17" s="1647"/>
      <c r="AF17" s="1693"/>
      <c r="AG17" s="1693"/>
      <c r="AH17" s="1753"/>
      <c r="AI17" s="1753"/>
      <c r="AJ17" s="1648"/>
      <c r="AK17" s="1702"/>
      <c r="AL17" s="1751" t="s">
        <v>400</v>
      </c>
      <c r="AM17" s="1751"/>
      <c r="AN17" s="609"/>
      <c r="AO17" s="706"/>
      <c r="AP17" s="11"/>
      <c r="AQ17" s="11"/>
      <c r="AR17" s="11"/>
    </row>
    <row r="18" spans="1:50" ht="23.25" customHeight="1" x14ac:dyDescent="0.2">
      <c r="A18" s="605">
        <v>1</v>
      </c>
      <c r="B18" s="1703"/>
      <c r="C18" s="2425" t="s">
        <v>1227</v>
      </c>
      <c r="D18" s="2426"/>
      <c r="E18" s="2426"/>
      <c r="F18" s="2426"/>
      <c r="G18" s="2426"/>
      <c r="H18" s="2426"/>
      <c r="I18" s="2426"/>
      <c r="J18" s="2427">
        <f>IFERROR(LOOKUP(2,1/(Исх!$AM$30:$AM$41=Заказ_Обложка!$AL18),Исх!$AN$30:$AN$41),)</f>
        <v>0</v>
      </c>
      <c r="K18" s="2428"/>
      <c r="L18" s="2428"/>
      <c r="M18" s="2429"/>
      <c r="N18" s="2436" t="str">
        <f>SUMIFS(Исх!$S$30:$S$41,Исх!$AN$30:$AN$41,Заказ_Обложка!$J$18,Исх!$AM$30:$AM$41,Заказ_Обложка!$AL$18)&amp;" шт."</f>
        <v>0 шт.</v>
      </c>
      <c r="O18" s="2437"/>
      <c r="P18" s="1647"/>
      <c r="Q18" s="1647"/>
      <c r="R18" s="1647"/>
      <c r="S18" s="1693"/>
      <c r="T18" s="1647"/>
      <c r="U18" s="1693"/>
      <c r="V18" s="1647"/>
      <c r="W18" s="1647"/>
      <c r="X18" s="887"/>
      <c r="Y18" s="2434" t="s">
        <v>1226</v>
      </c>
      <c r="Z18" s="2434"/>
      <c r="AA18" s="2434"/>
      <c r="AB18" s="2434"/>
      <c r="AC18" s="2434"/>
      <c r="AD18" s="2434"/>
      <c r="AE18" s="2434"/>
      <c r="AF18" s="2434"/>
      <c r="AG18" s="2434"/>
      <c r="AH18" s="2435" t="str">
        <f>IF(Заказ!C29&lt;0.0001,"",Заказ!C29)</f>
        <v/>
      </c>
      <c r="AI18" s="2435"/>
      <c r="AJ18" s="2435"/>
      <c r="AK18" s="1752"/>
      <c r="AL18" s="1751" t="s">
        <v>401</v>
      </c>
      <c r="AM18" s="1751"/>
      <c r="AO18" s="706"/>
      <c r="AP18" s="11"/>
      <c r="AQ18" s="11"/>
      <c r="AR18" s="11"/>
    </row>
    <row r="19" spans="1:50" ht="23.25" customHeight="1" x14ac:dyDescent="0.25">
      <c r="A19" s="605">
        <v>1</v>
      </c>
      <c r="B19" s="1703"/>
      <c r="C19" s="1750" t="s">
        <v>596</v>
      </c>
      <c r="D19" s="1647"/>
      <c r="E19" s="1647"/>
      <c r="F19" s="1647"/>
      <c r="G19" s="1693"/>
      <c r="H19" s="1693"/>
      <c r="I19" s="1693"/>
      <c r="J19" s="1647"/>
      <c r="K19" s="1647"/>
      <c r="L19" s="1647"/>
      <c r="M19" s="1647"/>
      <c r="N19" s="1647"/>
      <c r="O19" s="1647"/>
      <c r="P19" s="1647"/>
      <c r="Q19" s="1647"/>
      <c r="R19" s="1647"/>
      <c r="S19" s="1693"/>
      <c r="T19" s="1647"/>
      <c r="U19" s="1693"/>
      <c r="V19" s="1647"/>
      <c r="W19" s="1647"/>
      <c r="X19" s="887"/>
      <c r="Y19" s="2434" t="s">
        <v>1225</v>
      </c>
      <c r="Z19" s="2434"/>
      <c r="AA19" s="2434"/>
      <c r="AB19" s="2434"/>
      <c r="AC19" s="2434"/>
      <c r="AD19" s="2434"/>
      <c r="AE19" s="2434"/>
      <c r="AF19" s="2434"/>
      <c r="AG19" s="2434"/>
      <c r="AH19" s="2435" t="str">
        <f>IF(Заказ!C30&lt;0.0001,"",Заказ!C30)</f>
        <v/>
      </c>
      <c r="AI19" s="2435"/>
      <c r="AJ19" s="2435"/>
      <c r="AK19" s="1716"/>
      <c r="AL19" s="1749" t="s">
        <v>402</v>
      </c>
      <c r="AM19" s="1749"/>
      <c r="AO19" s="706"/>
      <c r="AP19" s="706"/>
      <c r="AQ19" s="706"/>
    </row>
    <row r="20" spans="1:50" ht="23.25" customHeight="1" x14ac:dyDescent="0.2">
      <c r="A20" s="605">
        <v>1</v>
      </c>
      <c r="B20" s="1703"/>
      <c r="C20" s="2404"/>
      <c r="D20" s="2405"/>
      <c r="E20" s="2405"/>
      <c r="F20" s="2405"/>
      <c r="G20" s="2405"/>
      <c r="H20" s="2405"/>
      <c r="I20" s="2405"/>
      <c r="J20" s="2405"/>
      <c r="K20" s="2405"/>
      <c r="L20" s="2405"/>
      <c r="M20" s="2405"/>
      <c r="N20" s="2405"/>
      <c r="O20" s="2405"/>
      <c r="P20" s="2405"/>
      <c r="Q20" s="2406"/>
      <c r="R20" s="1647"/>
      <c r="S20" s="1693"/>
      <c r="T20" s="1647"/>
      <c r="U20" s="1693"/>
      <c r="V20" s="1647"/>
      <c r="W20" s="1647"/>
      <c r="X20" s="887"/>
      <c r="Y20" s="2434" t="s">
        <v>1224</v>
      </c>
      <c r="Z20" s="2434"/>
      <c r="AA20" s="2434"/>
      <c r="AB20" s="2434"/>
      <c r="AC20" s="2434"/>
      <c r="AD20" s="2434"/>
      <c r="AE20" s="2434"/>
      <c r="AF20" s="2434"/>
      <c r="AG20" s="2434"/>
      <c r="AH20" s="2435" t="str">
        <f>IF(Заказ!C31&lt;0.0001,"",Заказ!C31)</f>
        <v/>
      </c>
      <c r="AI20" s="2435"/>
      <c r="AJ20" s="2435"/>
      <c r="AK20" s="1716"/>
      <c r="AL20" s="1701"/>
      <c r="AO20" s="706"/>
      <c r="AP20" s="706"/>
      <c r="AQ20" s="706"/>
    </row>
    <row r="21" spans="1:50" ht="62.25" customHeight="1" x14ac:dyDescent="0.2">
      <c r="A21" s="605">
        <v>1</v>
      </c>
      <c r="B21" s="1703"/>
      <c r="C21" s="2407"/>
      <c r="D21" s="2408"/>
      <c r="E21" s="2408"/>
      <c r="F21" s="2408"/>
      <c r="G21" s="2408"/>
      <c r="H21" s="2408"/>
      <c r="I21" s="2408"/>
      <c r="J21" s="2408"/>
      <c r="K21" s="2408"/>
      <c r="L21" s="2408"/>
      <c r="M21" s="2408"/>
      <c r="N21" s="2408"/>
      <c r="O21" s="2408"/>
      <c r="P21" s="2408"/>
      <c r="Q21" s="2409"/>
      <c r="R21" s="1647"/>
      <c r="S21" s="1693"/>
      <c r="T21" s="1647"/>
      <c r="U21" s="1693"/>
      <c r="V21" s="1647"/>
      <c r="W21" s="1647"/>
      <c r="X21" s="1647"/>
      <c r="Y21" s="2443">
        <f>Заказ!I19</f>
        <v>0</v>
      </c>
      <c r="Z21" s="2444"/>
      <c r="AA21" s="2444"/>
      <c r="AB21" s="2444"/>
      <c r="AC21" s="2444"/>
      <c r="AD21" s="2444"/>
      <c r="AE21" s="2444"/>
      <c r="AF21" s="2444"/>
      <c r="AG21" s="2445"/>
      <c r="AH21" s="1647"/>
      <c r="AI21" s="1647"/>
      <c r="AJ21" s="1647"/>
      <c r="AK21" s="1716"/>
      <c r="AL21" s="1701"/>
      <c r="AO21" s="706"/>
      <c r="AP21" s="11"/>
      <c r="AQ21" s="11"/>
      <c r="AR21" s="11"/>
      <c r="AS21" s="11"/>
      <c r="AT21" s="11"/>
      <c r="AU21" s="11"/>
      <c r="AV21" s="11"/>
      <c r="AW21" s="11"/>
      <c r="AX21" s="11"/>
    </row>
    <row r="22" spans="1:50" ht="22.5" customHeight="1" x14ac:dyDescent="0.2">
      <c r="A22" s="605">
        <v>1</v>
      </c>
      <c r="B22" s="1703"/>
      <c r="C22" s="2410"/>
      <c r="D22" s="2411"/>
      <c r="E22" s="2411"/>
      <c r="F22" s="2411"/>
      <c r="G22" s="2411"/>
      <c r="H22" s="2411"/>
      <c r="I22" s="2411"/>
      <c r="J22" s="2411"/>
      <c r="K22" s="2411"/>
      <c r="L22" s="2411"/>
      <c r="M22" s="2411"/>
      <c r="N22" s="2411"/>
      <c r="O22" s="2411"/>
      <c r="P22" s="2411"/>
      <c r="Q22" s="2412"/>
      <c r="R22" s="1647"/>
      <c r="S22" s="1693"/>
      <c r="T22" s="1647"/>
      <c r="U22" s="1715"/>
      <c r="V22" s="1712"/>
      <c r="W22" s="1712"/>
      <c r="X22" s="1712"/>
      <c r="Y22" s="1714"/>
      <c r="Z22" s="1735"/>
      <c r="AA22" s="1748"/>
      <c r="AB22" s="1711"/>
      <c r="AC22" s="1712"/>
      <c r="AD22" s="1712"/>
      <c r="AE22" s="1712"/>
      <c r="AF22" s="1712"/>
      <c r="AG22" s="1712"/>
      <c r="AH22" s="1712"/>
      <c r="AI22" s="1747"/>
      <c r="AJ22" s="1746"/>
      <c r="AK22" s="1716"/>
      <c r="AL22" s="1701"/>
      <c r="AP22" s="11"/>
      <c r="AQ22" s="11"/>
      <c r="AR22" s="11"/>
      <c r="AS22" s="11"/>
      <c r="AT22" s="11"/>
      <c r="AU22" s="11"/>
      <c r="AV22" s="11"/>
      <c r="AW22" s="11"/>
      <c r="AX22" s="11"/>
    </row>
    <row r="23" spans="1:50" ht="22.5" customHeight="1" x14ac:dyDescent="0.2">
      <c r="A23" s="605">
        <v>1</v>
      </c>
      <c r="B23" s="1703"/>
      <c r="C23" s="1647"/>
      <c r="D23" s="1647"/>
      <c r="E23" s="1647"/>
      <c r="F23" s="1647"/>
      <c r="G23" s="1693"/>
      <c r="H23" s="1693"/>
      <c r="I23" s="1693"/>
      <c r="J23" s="1647"/>
      <c r="K23" s="1647"/>
      <c r="L23" s="1647"/>
      <c r="M23" s="1647"/>
      <c r="N23" s="1647"/>
      <c r="O23" s="1647"/>
      <c r="P23" s="1647"/>
      <c r="Q23" s="1647"/>
      <c r="R23" s="1647"/>
      <c r="S23" s="1693"/>
      <c r="T23" s="1647"/>
      <c r="U23" s="1690"/>
      <c r="V23" s="1710"/>
      <c r="W23" s="1707"/>
      <c r="X23" s="1707"/>
      <c r="Y23" s="1706"/>
      <c r="Z23" s="1705"/>
      <c r="AA23" s="1704"/>
      <c r="AB23" s="1682"/>
      <c r="AC23" s="1647"/>
      <c r="AD23" s="1710"/>
      <c r="AE23" s="1707"/>
      <c r="AF23" s="1707"/>
      <c r="AG23" s="1706"/>
      <c r="AH23" s="1705"/>
      <c r="AI23" s="1704"/>
      <c r="AJ23" s="1744"/>
      <c r="AK23" s="1716"/>
      <c r="AL23" s="1701"/>
      <c r="AO23" s="706"/>
      <c r="AP23" s="11"/>
      <c r="AQ23" s="11"/>
      <c r="AR23" s="11"/>
      <c r="AS23" s="11"/>
      <c r="AT23" s="11"/>
      <c r="AU23" s="11"/>
      <c r="AV23" s="11"/>
      <c r="AW23" s="11"/>
      <c r="AX23" s="11"/>
    </row>
    <row r="24" spans="1:50" ht="22.5" customHeight="1" x14ac:dyDescent="0.2">
      <c r="A24" s="605">
        <v>1</v>
      </c>
      <c r="B24" s="1703"/>
      <c r="C24" s="1620" t="s">
        <v>1223</v>
      </c>
      <c r="D24" s="1647"/>
      <c r="E24" s="1647"/>
      <c r="F24" s="1647"/>
      <c r="G24" s="1693"/>
      <c r="H24" s="1693"/>
      <c r="I24" s="1693"/>
      <c r="J24" s="1647"/>
      <c r="K24" s="1647"/>
      <c r="L24" s="1647"/>
      <c r="M24" s="1647"/>
      <c r="N24" s="1647"/>
      <c r="O24" s="1647"/>
      <c r="P24" s="1647"/>
      <c r="Q24" s="1647"/>
      <c r="R24" s="1647"/>
      <c r="S24" s="1693"/>
      <c r="T24" s="1647"/>
      <c r="U24" s="1690"/>
      <c r="V24" s="1696"/>
      <c r="W24" s="1647"/>
      <c r="X24" s="1647"/>
      <c r="Y24" s="1693"/>
      <c r="Z24" s="1692"/>
      <c r="AA24" s="1694"/>
      <c r="AB24" s="1682"/>
      <c r="AC24" s="1647"/>
      <c r="AD24" s="1696"/>
      <c r="AE24" s="1647"/>
      <c r="AF24" s="1647"/>
      <c r="AG24" s="1693"/>
      <c r="AH24" s="1692"/>
      <c r="AI24" s="1694"/>
      <c r="AJ24" s="1744"/>
      <c r="AK24" s="1716"/>
      <c r="AL24" s="1701"/>
      <c r="AO24" s="706"/>
      <c r="AP24" s="11"/>
      <c r="AQ24" s="11"/>
      <c r="AR24" s="11"/>
      <c r="AS24" s="11"/>
      <c r="AT24" s="11"/>
      <c r="AU24" s="11"/>
      <c r="AV24" s="11"/>
      <c r="AW24" s="11"/>
      <c r="AX24" s="11"/>
    </row>
    <row r="25" spans="1:50" ht="22.5" customHeight="1" x14ac:dyDescent="0.2">
      <c r="A25" s="605">
        <v>1</v>
      </c>
      <c r="B25" s="1703"/>
      <c r="C25" s="1715"/>
      <c r="D25" s="1712"/>
      <c r="E25" s="1712"/>
      <c r="F25" s="1714"/>
      <c r="G25" s="1745"/>
      <c r="H25" s="1693"/>
      <c r="I25" s="1647"/>
      <c r="J25" s="1647"/>
      <c r="K25" s="1715"/>
      <c r="L25" s="1712"/>
      <c r="M25" s="1712"/>
      <c r="N25" s="1712"/>
      <c r="O25" s="1711"/>
      <c r="P25" s="1647"/>
      <c r="Q25" s="1647"/>
      <c r="R25" s="1647"/>
      <c r="S25" s="1693"/>
      <c r="T25" s="1647"/>
      <c r="U25" s="1690"/>
      <c r="V25" s="1696"/>
      <c r="W25" s="1647"/>
      <c r="X25" s="1647"/>
      <c r="Y25" s="1693"/>
      <c r="Z25" s="1692"/>
      <c r="AA25" s="1694"/>
      <c r="AB25" s="1682"/>
      <c r="AC25" s="1647"/>
      <c r="AD25" s="1696"/>
      <c r="AE25" s="1647"/>
      <c r="AF25" s="1647"/>
      <c r="AG25" s="1693"/>
      <c r="AH25" s="1692"/>
      <c r="AI25" s="1694"/>
      <c r="AJ25" s="1744"/>
      <c r="AK25" s="1716"/>
      <c r="AL25" s="1701"/>
      <c r="AO25" s="706"/>
      <c r="AP25" s="11"/>
      <c r="AQ25" s="11"/>
      <c r="AR25" s="11"/>
      <c r="AS25" s="11"/>
      <c r="AT25" s="11"/>
      <c r="AU25" s="11"/>
      <c r="AV25" s="11"/>
      <c r="AW25" s="11"/>
      <c r="AX25" s="11"/>
    </row>
    <row r="26" spans="1:50" ht="22.5" customHeight="1" x14ac:dyDescent="0.2">
      <c r="A26" s="605">
        <v>1</v>
      </c>
      <c r="B26" s="1703"/>
      <c r="C26" s="1690"/>
      <c r="D26" s="1710"/>
      <c r="E26" s="1707"/>
      <c r="F26" s="1706"/>
      <c r="G26" s="1743"/>
      <c r="H26" s="1691"/>
      <c r="I26" s="1731"/>
      <c r="J26" s="1647"/>
      <c r="K26" s="1710"/>
      <c r="L26" s="1707"/>
      <c r="M26" s="1706"/>
      <c r="N26" s="1743"/>
      <c r="O26" s="1682"/>
      <c r="P26" s="1647"/>
      <c r="Q26" s="1647"/>
      <c r="R26" s="1647"/>
      <c r="S26" s="1693"/>
      <c r="T26" s="1647"/>
      <c r="U26" s="1690"/>
      <c r="V26" s="1696"/>
      <c r="W26" s="1647"/>
      <c r="X26" s="1647"/>
      <c r="Y26" s="1681"/>
      <c r="Z26" s="1681"/>
      <c r="AA26" s="1732"/>
      <c r="AB26" s="1682"/>
      <c r="AC26" s="1647"/>
      <c r="AD26" s="1696"/>
      <c r="AE26" s="1647"/>
      <c r="AF26" s="1647"/>
      <c r="AG26" s="1681"/>
      <c r="AH26" s="1681"/>
      <c r="AI26" s="1732"/>
      <c r="AJ26" s="1727"/>
      <c r="AK26" s="1716"/>
      <c r="AL26" s="1701"/>
      <c r="AP26" s="11"/>
      <c r="AQ26" s="11"/>
      <c r="AR26" s="11"/>
      <c r="AS26" s="11"/>
      <c r="AT26" s="11"/>
      <c r="AU26" s="11"/>
      <c r="AV26" s="11"/>
      <c r="AW26" s="11"/>
      <c r="AX26" s="11"/>
    </row>
    <row r="27" spans="1:50" ht="22.5" customHeight="1" x14ac:dyDescent="0.2">
      <c r="A27" s="605">
        <v>1</v>
      </c>
      <c r="B27" s="1703"/>
      <c r="C27" s="1690"/>
      <c r="D27" s="1696"/>
      <c r="E27" s="1647"/>
      <c r="F27" s="1693"/>
      <c r="G27" s="1733"/>
      <c r="H27" s="1691"/>
      <c r="I27" s="1731"/>
      <c r="J27" s="1647"/>
      <c r="K27" s="1696"/>
      <c r="L27" s="1647"/>
      <c r="M27" s="1693"/>
      <c r="N27" s="1733"/>
      <c r="O27" s="1682"/>
      <c r="P27" s="1647"/>
      <c r="Q27" s="1647"/>
      <c r="R27" s="1647"/>
      <c r="S27" s="1693"/>
      <c r="T27" s="1647"/>
      <c r="U27" s="1690"/>
      <c r="V27" s="1742"/>
      <c r="W27" s="1676"/>
      <c r="X27" s="1676"/>
      <c r="Y27" s="1741"/>
      <c r="Z27" s="1741"/>
      <c r="AA27" s="1740"/>
      <c r="AB27" s="1682"/>
      <c r="AC27" s="1647"/>
      <c r="AD27" s="1742"/>
      <c r="AE27" s="1676"/>
      <c r="AF27" s="1676"/>
      <c r="AG27" s="1741"/>
      <c r="AH27" s="1741"/>
      <c r="AI27" s="1740"/>
      <c r="AJ27" s="1739"/>
      <c r="AK27" s="1716"/>
      <c r="AL27" s="1701"/>
      <c r="AP27" s="11"/>
      <c r="AQ27" s="11"/>
      <c r="AR27" s="11"/>
      <c r="AS27" s="11"/>
      <c r="AT27" s="11"/>
      <c r="AU27" s="11"/>
      <c r="AV27" s="11"/>
      <c r="AW27" s="11"/>
      <c r="AX27" s="11"/>
    </row>
    <row r="28" spans="1:50" ht="22.5" customHeight="1" x14ac:dyDescent="0.2">
      <c r="A28" s="605">
        <v>1</v>
      </c>
      <c r="B28" s="1703"/>
      <c r="C28" s="1690"/>
      <c r="D28" s="1696"/>
      <c r="E28" s="1647"/>
      <c r="F28" s="1693"/>
      <c r="G28" s="1733"/>
      <c r="H28" s="1691"/>
      <c r="I28" s="1731"/>
      <c r="J28" s="1647"/>
      <c r="K28" s="1696"/>
      <c r="L28" s="1647"/>
      <c r="M28" s="1693"/>
      <c r="N28" s="1733"/>
      <c r="O28" s="1682"/>
      <c r="P28" s="1647"/>
      <c r="Q28" s="1647"/>
      <c r="R28" s="1647"/>
      <c r="S28" s="1693"/>
      <c r="T28" s="1647"/>
      <c r="U28" s="1690"/>
      <c r="V28" s="1696"/>
      <c r="W28" s="1647"/>
      <c r="X28" s="1647"/>
      <c r="Y28" s="1693"/>
      <c r="Z28" s="1649"/>
      <c r="AA28" s="1738"/>
      <c r="AB28" s="1682"/>
      <c r="AC28" s="1647"/>
      <c r="AD28" s="1696"/>
      <c r="AE28" s="1647"/>
      <c r="AF28" s="1647"/>
      <c r="AG28" s="1647"/>
      <c r="AH28" s="1647"/>
      <c r="AI28" s="1737"/>
      <c r="AJ28" s="1727"/>
      <c r="AK28" s="1716"/>
      <c r="AL28" s="1701"/>
      <c r="AP28" s="11"/>
      <c r="AQ28" s="11"/>
      <c r="AR28" s="11"/>
      <c r="AS28" s="11"/>
      <c r="AT28" s="11"/>
      <c r="AU28" s="11"/>
      <c r="AV28" s="11"/>
      <c r="AW28" s="11"/>
      <c r="AX28" s="11"/>
    </row>
    <row r="29" spans="1:50" ht="22.5" customHeight="1" x14ac:dyDescent="0.2">
      <c r="A29" s="605">
        <v>1</v>
      </c>
      <c r="B29" s="1703"/>
      <c r="C29" s="1690"/>
      <c r="D29" s="1696"/>
      <c r="E29" s="1647"/>
      <c r="F29" s="1693"/>
      <c r="G29" s="1733"/>
      <c r="H29" s="1691"/>
      <c r="I29" s="1731"/>
      <c r="J29" s="1647"/>
      <c r="K29" s="1696"/>
      <c r="L29" s="1647"/>
      <c r="M29" s="1693"/>
      <c r="N29" s="1733"/>
      <c r="O29" s="1682"/>
      <c r="P29" s="1647"/>
      <c r="Q29" s="1647"/>
      <c r="R29" s="1647"/>
      <c r="S29" s="1693"/>
      <c r="T29" s="1647"/>
      <c r="U29" s="1690"/>
      <c r="V29" s="1736"/>
      <c r="W29" s="1712"/>
      <c r="X29" s="1712"/>
      <c r="Y29" s="1714"/>
      <c r="Z29" s="1735"/>
      <c r="AA29" s="1734"/>
      <c r="AB29" s="1682"/>
      <c r="AC29" s="1647"/>
      <c r="AD29" s="1736"/>
      <c r="AE29" s="1712"/>
      <c r="AF29" s="1712"/>
      <c r="AG29" s="1714"/>
      <c r="AH29" s="1735"/>
      <c r="AI29" s="1734"/>
      <c r="AJ29" s="1727"/>
      <c r="AK29" s="1716"/>
      <c r="AL29" s="1701"/>
      <c r="AP29" s="11"/>
      <c r="AQ29" s="11"/>
      <c r="AR29" s="11"/>
      <c r="AS29" s="11"/>
      <c r="AT29" s="11"/>
      <c r="AU29" s="11"/>
      <c r="AV29" s="11"/>
      <c r="AW29" s="11"/>
      <c r="AX29" s="11"/>
    </row>
    <row r="30" spans="1:50" ht="18.75" customHeight="1" x14ac:dyDescent="0.2">
      <c r="A30" s="605">
        <v>1</v>
      </c>
      <c r="B30" s="1703"/>
      <c r="C30" s="1690"/>
      <c r="D30" s="1696"/>
      <c r="E30" s="1647"/>
      <c r="F30" s="1693"/>
      <c r="G30" s="1733"/>
      <c r="H30" s="1691"/>
      <c r="I30" s="1731"/>
      <c r="J30" s="1647"/>
      <c r="K30" s="1696"/>
      <c r="L30" s="1647"/>
      <c r="M30" s="1693"/>
      <c r="N30" s="1733"/>
      <c r="O30" s="1682"/>
      <c r="P30" s="1647"/>
      <c r="Q30" s="1647"/>
      <c r="R30" s="1647"/>
      <c r="S30" s="1693"/>
      <c r="T30" s="1692"/>
      <c r="U30" s="1690"/>
      <c r="V30" s="1696"/>
      <c r="W30" s="1647"/>
      <c r="X30" s="1647"/>
      <c r="Y30" s="1693"/>
      <c r="Z30" s="1692"/>
      <c r="AA30" s="1694"/>
      <c r="AB30" s="1682"/>
      <c r="AC30" s="1647"/>
      <c r="AD30" s="1696"/>
      <c r="AE30" s="1647"/>
      <c r="AF30" s="1647"/>
      <c r="AG30" s="1693"/>
      <c r="AH30" s="1692"/>
      <c r="AI30" s="1694"/>
      <c r="AJ30" s="1727"/>
      <c r="AK30" s="1716"/>
      <c r="AL30" s="1701"/>
      <c r="AP30" s="11"/>
      <c r="AQ30" s="11"/>
      <c r="AR30" s="11"/>
      <c r="AS30" s="11"/>
      <c r="AT30" s="11"/>
      <c r="AU30" s="11"/>
      <c r="AV30" s="11"/>
      <c r="AW30" s="11"/>
      <c r="AX30" s="11"/>
    </row>
    <row r="31" spans="1:50" ht="18.75" customHeight="1" x14ac:dyDescent="0.2">
      <c r="A31" s="605">
        <v>1</v>
      </c>
      <c r="B31" s="1703"/>
      <c r="C31" s="1690"/>
      <c r="D31" s="1696"/>
      <c r="E31" s="1647"/>
      <c r="F31" s="1693"/>
      <c r="G31" s="1733"/>
      <c r="H31" s="1691"/>
      <c r="I31" s="1731"/>
      <c r="J31" s="1647"/>
      <c r="K31" s="1696"/>
      <c r="L31" s="1647"/>
      <c r="M31" s="1693"/>
      <c r="N31" s="1733"/>
      <c r="O31" s="1682"/>
      <c r="P31" s="1647"/>
      <c r="Q31" s="887"/>
      <c r="R31" s="887"/>
      <c r="S31" s="887"/>
      <c r="T31" s="887"/>
      <c r="U31" s="1690"/>
      <c r="V31" s="1696"/>
      <c r="W31" s="1647"/>
      <c r="X31" s="1647"/>
      <c r="Y31" s="1693"/>
      <c r="Z31" s="1692"/>
      <c r="AA31" s="1694"/>
      <c r="AB31" s="1682"/>
      <c r="AC31" s="1647"/>
      <c r="AD31" s="1696"/>
      <c r="AE31" s="1647"/>
      <c r="AF31" s="1647"/>
      <c r="AG31" s="1693"/>
      <c r="AH31" s="1692"/>
      <c r="AI31" s="1694"/>
      <c r="AJ31" s="1727"/>
      <c r="AK31" s="1716"/>
      <c r="AL31" s="1701"/>
      <c r="AP31" s="11"/>
      <c r="AQ31" s="11"/>
      <c r="AR31" s="11"/>
      <c r="AS31" s="11"/>
      <c r="AT31" s="11"/>
      <c r="AU31" s="11"/>
      <c r="AV31" s="11"/>
      <c r="AW31" s="11"/>
      <c r="AX31" s="11"/>
    </row>
    <row r="32" spans="1:50" s="49" customFormat="1" ht="19.5" customHeight="1" x14ac:dyDescent="0.3">
      <c r="A32" s="605">
        <v>1</v>
      </c>
      <c r="B32" s="1672"/>
      <c r="C32" s="1690"/>
      <c r="D32" s="1696"/>
      <c r="E32" s="1647"/>
      <c r="F32" s="1693"/>
      <c r="G32" s="1733"/>
      <c r="H32" s="1691"/>
      <c r="I32" s="1731"/>
      <c r="J32" s="1647"/>
      <c r="K32" s="1696"/>
      <c r="L32" s="1647"/>
      <c r="M32" s="1693"/>
      <c r="N32" s="1733"/>
      <c r="O32" s="1682"/>
      <c r="P32" s="1720"/>
      <c r="Q32" s="1720"/>
      <c r="R32" s="1720"/>
      <c r="S32" s="1720"/>
      <c r="T32" s="1720"/>
      <c r="U32" s="1690"/>
      <c r="V32" s="1696"/>
      <c r="W32" s="1647"/>
      <c r="X32" s="1647"/>
      <c r="Y32" s="1681"/>
      <c r="Z32" s="1681"/>
      <c r="AA32" s="1732"/>
      <c r="AB32" s="1682"/>
      <c r="AC32" s="1647"/>
      <c r="AD32" s="1696"/>
      <c r="AE32" s="1647"/>
      <c r="AF32" s="1647"/>
      <c r="AG32" s="1681"/>
      <c r="AH32" s="1681"/>
      <c r="AI32" s="1732"/>
      <c r="AJ32" s="1727"/>
      <c r="AK32" s="1718"/>
      <c r="AL32" s="1636"/>
      <c r="AN32" s="680"/>
      <c r="AO32" s="680"/>
      <c r="AP32" s="1539"/>
      <c r="AQ32" s="1539"/>
      <c r="AR32" s="1539"/>
      <c r="AS32" s="1539"/>
      <c r="AT32" s="1539"/>
      <c r="AU32" s="1539"/>
      <c r="AV32" s="1539"/>
      <c r="AW32" s="1539"/>
      <c r="AX32" s="1539"/>
    </row>
    <row r="33" spans="1:50" s="49" customFormat="1" ht="19.5" customHeight="1" x14ac:dyDescent="0.3">
      <c r="A33" s="605">
        <v>1</v>
      </c>
      <c r="B33" s="1672"/>
      <c r="C33" s="1690"/>
      <c r="D33" s="1689"/>
      <c r="E33" s="1686"/>
      <c r="F33" s="1685"/>
      <c r="G33" s="1730"/>
      <c r="H33" s="1691"/>
      <c r="I33" s="1731"/>
      <c r="J33" s="1647"/>
      <c r="K33" s="1689"/>
      <c r="L33" s="1686"/>
      <c r="M33" s="1685"/>
      <c r="N33" s="1730"/>
      <c r="O33" s="1682"/>
      <c r="P33" s="1720"/>
      <c r="Q33" s="1720"/>
      <c r="R33" s="1720"/>
      <c r="S33" s="1720"/>
      <c r="T33" s="1720"/>
      <c r="U33" s="1690"/>
      <c r="V33" s="1689"/>
      <c r="W33" s="1686"/>
      <c r="X33" s="1686"/>
      <c r="Y33" s="1729"/>
      <c r="Z33" s="1729"/>
      <c r="AA33" s="1728"/>
      <c r="AB33" s="1682"/>
      <c r="AC33" s="1647"/>
      <c r="AD33" s="1689"/>
      <c r="AE33" s="1686"/>
      <c r="AF33" s="1686"/>
      <c r="AG33" s="1729"/>
      <c r="AH33" s="1729"/>
      <c r="AI33" s="1728"/>
      <c r="AJ33" s="1727"/>
      <c r="AK33" s="1718"/>
      <c r="AL33" s="1636"/>
      <c r="AN33" s="680"/>
      <c r="AO33" s="680"/>
      <c r="AP33" s="1539"/>
      <c r="AQ33" s="1539"/>
      <c r="AR33" s="1539"/>
      <c r="AS33" s="1539"/>
      <c r="AT33" s="1539"/>
      <c r="AU33" s="1539"/>
      <c r="AV33" s="1539"/>
      <c r="AW33" s="1539"/>
      <c r="AX33" s="1539"/>
    </row>
    <row r="34" spans="1:50" s="49" customFormat="1" ht="19.5" customHeight="1" x14ac:dyDescent="0.3">
      <c r="A34" s="605">
        <v>1</v>
      </c>
      <c r="B34" s="1672"/>
      <c r="C34" s="1680"/>
      <c r="D34" s="1676"/>
      <c r="E34" s="1676"/>
      <c r="F34" s="1679"/>
      <c r="G34" s="1726"/>
      <c r="H34" s="1693"/>
      <c r="I34" s="1647"/>
      <c r="J34" s="1647"/>
      <c r="K34" s="1680"/>
      <c r="L34" s="1676"/>
      <c r="M34" s="1676"/>
      <c r="N34" s="1676"/>
      <c r="O34" s="1675"/>
      <c r="P34" s="1720"/>
      <c r="Q34" s="1720"/>
      <c r="R34" s="1720"/>
      <c r="S34" s="1720"/>
      <c r="T34" s="1720"/>
      <c r="U34" s="1680"/>
      <c r="V34" s="1676"/>
      <c r="W34" s="1676"/>
      <c r="X34" s="1676"/>
      <c r="Y34" s="1725"/>
      <c r="Z34" s="1724"/>
      <c r="AA34" s="1723"/>
      <c r="AB34" s="1675"/>
      <c r="AC34" s="1676"/>
      <c r="AD34" s="1676"/>
      <c r="AE34" s="1676"/>
      <c r="AF34" s="1676"/>
      <c r="AG34" s="1676"/>
      <c r="AH34" s="1676"/>
      <c r="AI34" s="1722"/>
      <c r="AJ34" s="1721"/>
      <c r="AK34" s="1718"/>
      <c r="AL34" s="1636"/>
      <c r="AN34" s="680"/>
      <c r="AO34" s="680"/>
      <c r="AP34" s="1539"/>
      <c r="AQ34" s="1539"/>
      <c r="AR34" s="1539"/>
      <c r="AS34" s="1539"/>
      <c r="AT34" s="1539"/>
      <c r="AU34" s="1539"/>
      <c r="AV34" s="1539"/>
      <c r="AW34" s="1539"/>
      <c r="AX34" s="1539"/>
    </row>
    <row r="35" spans="1:50" s="49" customFormat="1" ht="19.5" customHeight="1" x14ac:dyDescent="0.3">
      <c r="A35" s="605">
        <v>1</v>
      </c>
      <c r="B35" s="1672"/>
      <c r="C35" s="1647"/>
      <c r="D35" s="1647"/>
      <c r="E35" s="1647"/>
      <c r="F35" s="1647"/>
      <c r="G35" s="1650"/>
      <c r="H35" s="1649"/>
      <c r="I35" s="1648"/>
      <c r="J35" s="1647"/>
      <c r="K35" s="1647"/>
      <c r="L35" s="1647"/>
      <c r="M35" s="1647"/>
      <c r="N35" s="1647"/>
      <c r="O35" s="1720"/>
      <c r="P35" s="1720"/>
      <c r="Q35" s="1720"/>
      <c r="R35" s="1720"/>
      <c r="S35" s="1720"/>
      <c r="T35" s="1720"/>
      <c r="U35" s="1720"/>
      <c r="V35" s="1720"/>
      <c r="W35" s="1720"/>
      <c r="X35" s="1720"/>
      <c r="Y35" s="1646"/>
      <c r="Z35" s="1646"/>
      <c r="AA35" s="1646"/>
      <c r="AB35" s="1646"/>
      <c r="AC35" s="1646"/>
      <c r="AD35" s="1646"/>
      <c r="AE35" s="1648"/>
      <c r="AF35" s="1648"/>
      <c r="AG35" s="1648"/>
      <c r="AH35" s="1719"/>
      <c r="AI35" s="1648"/>
      <c r="AJ35" s="1719"/>
      <c r="AK35" s="1718"/>
      <c r="AL35" s="1636"/>
      <c r="AN35" s="680"/>
      <c r="AO35" s="680"/>
      <c r="AP35" s="1539"/>
      <c r="AQ35" s="1539"/>
      <c r="AR35" s="1539"/>
      <c r="AS35" s="1539"/>
      <c r="AT35" s="1539"/>
      <c r="AU35" s="1539"/>
      <c r="AV35" s="1539"/>
      <c r="AW35" s="1539"/>
      <c r="AX35" s="1539"/>
    </row>
    <row r="36" spans="1:50" ht="18.75" customHeight="1" x14ac:dyDescent="0.2">
      <c r="A36" s="605">
        <v>1</v>
      </c>
      <c r="B36" s="1703"/>
      <c r="C36" s="1620" t="s">
        <v>401</v>
      </c>
      <c r="D36" s="1647"/>
      <c r="E36" s="1647"/>
      <c r="F36" s="1647"/>
      <c r="G36" s="1693"/>
      <c r="H36" s="1692"/>
      <c r="I36" s="1691"/>
      <c r="J36" s="1647"/>
      <c r="K36" s="1647"/>
      <c r="L36" s="1647"/>
      <c r="M36" s="1647"/>
      <c r="N36" s="1647"/>
      <c r="O36" s="1647"/>
      <c r="P36" s="1647"/>
      <c r="Q36" s="887"/>
      <c r="R36" s="887"/>
      <c r="S36" s="887"/>
      <c r="T36" s="887"/>
      <c r="U36" s="887"/>
      <c r="V36" s="887"/>
      <c r="W36" s="887"/>
      <c r="X36" s="887"/>
      <c r="Y36" s="887"/>
      <c r="Z36" s="887"/>
      <c r="AA36" s="887"/>
      <c r="AB36" s="887"/>
      <c r="AC36" s="887"/>
      <c r="AD36" s="887"/>
      <c r="AE36" s="1647"/>
      <c r="AF36" s="1691"/>
      <c r="AG36" s="1717"/>
      <c r="AH36" s="887"/>
      <c r="AI36" s="887"/>
      <c r="AJ36" s="887"/>
      <c r="AK36" s="1716"/>
      <c r="AL36" s="1701"/>
    </row>
    <row r="37" spans="1:50" ht="18.75" customHeight="1" x14ac:dyDescent="0.2">
      <c r="A37" s="605">
        <v>1</v>
      </c>
      <c r="B37" s="1703"/>
      <c r="C37" s="887"/>
      <c r="D37" s="887"/>
      <c r="E37" s="887"/>
      <c r="F37" s="887"/>
      <c r="G37" s="887"/>
      <c r="H37" s="887"/>
      <c r="I37" s="887"/>
      <c r="J37" s="887"/>
      <c r="K37" s="887"/>
      <c r="L37" s="887"/>
      <c r="M37" s="887"/>
      <c r="N37" s="887"/>
      <c r="O37" s="887"/>
      <c r="P37" s="1647"/>
      <c r="Q37" s="887"/>
      <c r="R37" s="887"/>
      <c r="S37" s="887"/>
      <c r="T37" s="887"/>
      <c r="U37" s="1647"/>
      <c r="V37" s="1647"/>
      <c r="W37" s="1647"/>
      <c r="X37" s="1647"/>
      <c r="Y37" s="1693"/>
      <c r="Z37" s="1692"/>
      <c r="AA37" s="1691"/>
      <c r="AB37" s="1647"/>
      <c r="AC37" s="1647"/>
      <c r="AD37" s="1647"/>
      <c r="AE37" s="1647"/>
      <c r="AF37" s="1647"/>
      <c r="AG37" s="1647"/>
      <c r="AH37" s="1647"/>
      <c r="AI37" s="887"/>
      <c r="AJ37" s="887"/>
      <c r="AK37" s="1702"/>
      <c r="AL37" s="1701"/>
      <c r="AP37" s="11"/>
      <c r="AQ37" s="11"/>
      <c r="AR37" s="11"/>
      <c r="AS37" s="11"/>
      <c r="AT37" s="11"/>
      <c r="AU37" s="11"/>
      <c r="AV37" s="11"/>
      <c r="AW37" s="11"/>
      <c r="AX37" s="11"/>
    </row>
    <row r="38" spans="1:50" ht="19.5" customHeight="1" x14ac:dyDescent="0.2">
      <c r="A38" s="605">
        <v>1</v>
      </c>
      <c r="B38" s="1703"/>
      <c r="C38" s="1715"/>
      <c r="D38" s="1712"/>
      <c r="E38" s="1712"/>
      <c r="F38" s="1714"/>
      <c r="G38" s="1714"/>
      <c r="H38" s="1713"/>
      <c r="I38" s="1712"/>
      <c r="J38" s="1712"/>
      <c r="K38" s="1712"/>
      <c r="L38" s="1712"/>
      <c r="M38" s="1712"/>
      <c r="N38" s="1712"/>
      <c r="O38" s="1711"/>
      <c r="P38" s="1647"/>
      <c r="Q38" s="887"/>
      <c r="R38" s="887"/>
      <c r="S38" s="887"/>
      <c r="T38" s="887"/>
      <c r="U38" s="1647"/>
      <c r="V38" s="1647"/>
      <c r="W38" s="1647"/>
      <c r="X38" s="1647"/>
      <c r="Y38" s="1693"/>
      <c r="Z38" s="1692"/>
      <c r="AA38" s="1691"/>
      <c r="AB38" s="1647"/>
      <c r="AC38" s="1647"/>
      <c r="AD38" s="1647"/>
      <c r="AE38" s="1647"/>
      <c r="AF38" s="1647"/>
      <c r="AG38" s="1693"/>
      <c r="AH38" s="1692"/>
      <c r="AI38" s="1691"/>
      <c r="AJ38" s="887"/>
      <c r="AK38" s="1702"/>
      <c r="AL38" s="1701"/>
      <c r="AP38" s="11"/>
      <c r="AQ38" s="11"/>
      <c r="AR38" s="11"/>
      <c r="AS38" s="11"/>
      <c r="AT38" s="11"/>
      <c r="AU38" s="11"/>
      <c r="AV38" s="11"/>
      <c r="AW38" s="11"/>
      <c r="AX38" s="11"/>
    </row>
    <row r="39" spans="1:50" ht="19.5" customHeight="1" x14ac:dyDescent="0.2">
      <c r="A39" s="605">
        <v>1</v>
      </c>
      <c r="B39" s="1703"/>
      <c r="C39" s="1690"/>
      <c r="D39" s="1710"/>
      <c r="E39" s="1707"/>
      <c r="F39" s="1706"/>
      <c r="G39" s="1705"/>
      <c r="H39" s="1709"/>
      <c r="I39" s="1708"/>
      <c r="J39" s="1707"/>
      <c r="K39" s="1707"/>
      <c r="L39" s="1706"/>
      <c r="M39" s="1705"/>
      <c r="N39" s="1704"/>
      <c r="O39" s="1682"/>
      <c r="P39" s="1647"/>
      <c r="Q39" s="887"/>
      <c r="R39" s="887"/>
      <c r="S39" s="887"/>
      <c r="T39" s="887"/>
      <c r="U39" s="1647"/>
      <c r="V39" s="1647"/>
      <c r="W39" s="1647"/>
      <c r="X39" s="1647"/>
      <c r="Y39" s="1693"/>
      <c r="Z39" s="1692"/>
      <c r="AA39" s="1691"/>
      <c r="AB39" s="1647"/>
      <c r="AC39" s="1647"/>
      <c r="AD39" s="1647"/>
      <c r="AE39" s="1647"/>
      <c r="AF39" s="1647"/>
      <c r="AG39" s="1693"/>
      <c r="AH39" s="1692"/>
      <c r="AI39" s="1691"/>
      <c r="AJ39" s="887"/>
      <c r="AK39" s="1702"/>
      <c r="AL39" s="1701"/>
      <c r="AP39" s="11"/>
      <c r="AQ39" s="11"/>
      <c r="AR39" s="11"/>
      <c r="AS39" s="11"/>
      <c r="AT39" s="11"/>
      <c r="AU39" s="11"/>
      <c r="AV39" s="11"/>
      <c r="AW39" s="11"/>
      <c r="AX39" s="11"/>
    </row>
    <row r="40" spans="1:50" ht="19.5" customHeight="1" x14ac:dyDescent="0.2">
      <c r="A40" s="605">
        <v>1</v>
      </c>
      <c r="B40" s="1703"/>
      <c r="C40" s="1690"/>
      <c r="D40" s="1696"/>
      <c r="E40" s="1647"/>
      <c r="F40" s="1693"/>
      <c r="G40" s="1692"/>
      <c r="H40" s="1691"/>
      <c r="I40" s="1695"/>
      <c r="J40" s="1647"/>
      <c r="K40" s="1647"/>
      <c r="L40" s="1693"/>
      <c r="M40" s="1692"/>
      <c r="N40" s="1694"/>
      <c r="O40" s="1682"/>
      <c r="P40" s="1647"/>
      <c r="Q40" s="887"/>
      <c r="R40" s="887"/>
      <c r="S40" s="887"/>
      <c r="T40" s="887"/>
      <c r="U40" s="1647"/>
      <c r="V40" s="1647"/>
      <c r="W40" s="1647"/>
      <c r="X40" s="1647"/>
      <c r="Y40" s="1693"/>
      <c r="Z40" s="1692"/>
      <c r="AA40" s="1691"/>
      <c r="AB40" s="1647"/>
      <c r="AC40" s="1647"/>
      <c r="AD40" s="1647"/>
      <c r="AE40" s="1647"/>
      <c r="AF40" s="1647"/>
      <c r="AG40" s="1693"/>
      <c r="AH40" s="1692"/>
      <c r="AI40" s="1691"/>
      <c r="AJ40" s="887"/>
      <c r="AK40" s="1702"/>
      <c r="AL40" s="1701"/>
      <c r="AP40" s="11"/>
      <c r="AQ40" s="11"/>
      <c r="AR40" s="11"/>
      <c r="AS40" s="11"/>
      <c r="AT40" s="11"/>
      <c r="AU40" s="11"/>
      <c r="AV40" s="11"/>
      <c r="AW40" s="11"/>
      <c r="AX40" s="11"/>
    </row>
    <row r="41" spans="1:50" s="49" customFormat="1" ht="19.5" customHeight="1" x14ac:dyDescent="0.25">
      <c r="A41" s="605">
        <v>1</v>
      </c>
      <c r="B41" s="1700"/>
      <c r="C41" s="1690"/>
      <c r="D41" s="1696"/>
      <c r="E41" s="1647"/>
      <c r="F41" s="1693"/>
      <c r="G41" s="1692"/>
      <c r="H41" s="1691"/>
      <c r="I41" s="1695"/>
      <c r="J41" s="1647"/>
      <c r="K41" s="1647"/>
      <c r="L41" s="1693"/>
      <c r="M41" s="1692"/>
      <c r="N41" s="1694"/>
      <c r="O41" s="1682"/>
      <c r="P41" s="1646"/>
      <c r="Q41" s="1646"/>
      <c r="R41" s="1646"/>
      <c r="S41" s="1646"/>
      <c r="T41" s="1646"/>
      <c r="U41" s="1647"/>
      <c r="V41" s="1647"/>
      <c r="W41" s="1647"/>
      <c r="X41" s="1647"/>
      <c r="Y41" s="1681"/>
      <c r="Z41" s="1681"/>
      <c r="AA41" s="1681"/>
      <c r="AB41" s="1647"/>
      <c r="AC41" s="1647"/>
      <c r="AD41" s="1647"/>
      <c r="AE41" s="1647"/>
      <c r="AF41" s="1647"/>
      <c r="AG41" s="1681"/>
      <c r="AH41" s="1681"/>
      <c r="AI41" s="1681"/>
      <c r="AJ41" s="1646"/>
      <c r="AK41" s="1671"/>
      <c r="AL41" s="1636"/>
      <c r="AN41" s="680"/>
      <c r="AO41" s="680"/>
    </row>
    <row r="42" spans="1:50" s="49" customFormat="1" ht="19.5" customHeight="1" x14ac:dyDescent="0.25">
      <c r="A42" s="605">
        <v>1</v>
      </c>
      <c r="B42" s="1700"/>
      <c r="C42" s="1690"/>
      <c r="D42" s="1696"/>
      <c r="E42" s="1647"/>
      <c r="F42" s="1693"/>
      <c r="G42" s="1692"/>
      <c r="H42" s="1691"/>
      <c r="I42" s="1695"/>
      <c r="J42" s="1647"/>
      <c r="K42" s="1647"/>
      <c r="L42" s="1693"/>
      <c r="M42" s="1692"/>
      <c r="N42" s="1694"/>
      <c r="O42" s="1682"/>
      <c r="P42" s="1646"/>
      <c r="Q42" s="1646"/>
      <c r="R42" s="1646"/>
      <c r="S42" s="1646"/>
      <c r="T42" s="1646"/>
      <c r="U42" s="1647"/>
      <c r="V42" s="1647"/>
      <c r="W42" s="1647"/>
      <c r="X42" s="1647"/>
      <c r="Y42" s="1674"/>
      <c r="Z42" s="1674"/>
      <c r="AA42" s="1673"/>
      <c r="AB42" s="1647"/>
      <c r="AC42" s="1647"/>
      <c r="AD42" s="1647"/>
      <c r="AE42" s="1647"/>
      <c r="AF42" s="1647"/>
      <c r="AG42" s="1674"/>
      <c r="AH42" s="1674"/>
      <c r="AI42" s="1673"/>
      <c r="AJ42" s="1698"/>
      <c r="AK42" s="1671"/>
      <c r="AL42" s="1636"/>
      <c r="AN42" s="680"/>
      <c r="AO42" s="680"/>
    </row>
    <row r="43" spans="1:50" s="152" customFormat="1" ht="19.5" customHeight="1" x14ac:dyDescent="0.2">
      <c r="A43" s="605">
        <v>1</v>
      </c>
      <c r="B43" s="1699"/>
      <c r="C43" s="1690"/>
      <c r="D43" s="1696"/>
      <c r="E43" s="1647"/>
      <c r="F43" s="1693"/>
      <c r="G43" s="1692"/>
      <c r="H43" s="1691"/>
      <c r="I43" s="1695"/>
      <c r="J43" s="1647"/>
      <c r="K43" s="1647"/>
      <c r="L43" s="1693"/>
      <c r="M43" s="1692"/>
      <c r="N43" s="1694"/>
      <c r="O43" s="1682"/>
      <c r="P43" s="1698"/>
      <c r="Q43" s="1698"/>
      <c r="R43" s="1698"/>
      <c r="S43" s="1698"/>
      <c r="T43" s="1698"/>
      <c r="U43" s="1647"/>
      <c r="V43" s="1647"/>
      <c r="W43" s="1647"/>
      <c r="X43" s="1647"/>
      <c r="Y43" s="1693"/>
      <c r="Z43" s="1649"/>
      <c r="AA43" s="1648"/>
      <c r="AB43" s="1647"/>
      <c r="AC43" s="1647"/>
      <c r="AD43" s="1647"/>
      <c r="AE43" s="1647"/>
      <c r="AF43" s="1647"/>
      <c r="AG43" s="1647"/>
      <c r="AH43" s="1647"/>
      <c r="AI43" s="1646"/>
      <c r="AJ43" s="1646"/>
      <c r="AK43" s="1697"/>
      <c r="AL43" s="1542"/>
      <c r="AN43" s="675"/>
      <c r="AO43" s="675"/>
    </row>
    <row r="44" spans="1:50" s="49" customFormat="1" ht="19.5" customHeight="1" x14ac:dyDescent="0.2">
      <c r="A44" s="605">
        <v>1</v>
      </c>
      <c r="B44" s="1672"/>
      <c r="C44" s="1690"/>
      <c r="D44" s="1696"/>
      <c r="E44" s="1647"/>
      <c r="F44" s="1693"/>
      <c r="G44" s="1692"/>
      <c r="H44" s="1691"/>
      <c r="I44" s="1695"/>
      <c r="J44" s="1647"/>
      <c r="K44" s="1647"/>
      <c r="L44" s="1693"/>
      <c r="M44" s="1692"/>
      <c r="N44" s="1694"/>
      <c r="O44" s="1682"/>
      <c r="P44" s="1646"/>
      <c r="Q44" s="1646"/>
      <c r="R44" s="1646"/>
      <c r="S44" s="1646"/>
      <c r="T44" s="1646"/>
      <c r="U44" s="1647"/>
      <c r="V44" s="1647"/>
      <c r="W44" s="1647"/>
      <c r="X44" s="1647"/>
      <c r="Y44" s="1693"/>
      <c r="Z44" s="1692"/>
      <c r="AA44" s="1691"/>
      <c r="AB44" s="1647"/>
      <c r="AC44" s="1647"/>
      <c r="AD44" s="1647"/>
      <c r="AE44" s="1647"/>
      <c r="AF44" s="1647"/>
      <c r="AG44" s="1693"/>
      <c r="AH44" s="1692"/>
      <c r="AI44" s="1691"/>
      <c r="AJ44" s="1646"/>
      <c r="AK44" s="1671"/>
      <c r="AL44" s="1636"/>
      <c r="AN44" s="680"/>
      <c r="AO44" s="680"/>
    </row>
    <row r="45" spans="1:50" s="49" customFormat="1" ht="19.5" customHeight="1" x14ac:dyDescent="0.2">
      <c r="A45" s="605">
        <v>1</v>
      </c>
      <c r="B45" s="1672"/>
      <c r="C45" s="1690"/>
      <c r="D45" s="1696"/>
      <c r="E45" s="1647"/>
      <c r="F45" s="1693"/>
      <c r="G45" s="1692"/>
      <c r="H45" s="1691"/>
      <c r="I45" s="1695"/>
      <c r="J45" s="1647"/>
      <c r="K45" s="1647"/>
      <c r="L45" s="1693"/>
      <c r="M45" s="1692"/>
      <c r="N45" s="1694"/>
      <c r="O45" s="1682"/>
      <c r="P45" s="1646"/>
      <c r="Q45" s="1646"/>
      <c r="R45" s="1646"/>
      <c r="S45" s="1646"/>
      <c r="T45" s="1646"/>
      <c r="U45" s="1647"/>
      <c r="V45" s="1647"/>
      <c r="W45" s="1647"/>
      <c r="X45" s="1647"/>
      <c r="Y45" s="1693"/>
      <c r="Z45" s="1692"/>
      <c r="AA45" s="1691"/>
      <c r="AB45" s="1647"/>
      <c r="AC45" s="1647"/>
      <c r="AD45" s="1647"/>
      <c r="AE45" s="1647"/>
      <c r="AF45" s="1647"/>
      <c r="AG45" s="1693"/>
      <c r="AH45" s="1692"/>
      <c r="AI45" s="1691"/>
      <c r="AJ45" s="1646"/>
      <c r="AK45" s="1671"/>
      <c r="AL45" s="1636"/>
      <c r="AN45" s="680"/>
      <c r="AO45" s="680"/>
    </row>
    <row r="46" spans="1:50" s="49" customFormat="1" ht="19.5" customHeight="1" x14ac:dyDescent="0.2">
      <c r="A46" s="605">
        <v>1</v>
      </c>
      <c r="B46" s="1672"/>
      <c r="C46" s="1690"/>
      <c r="D46" s="1696"/>
      <c r="E46" s="1647"/>
      <c r="F46" s="1693"/>
      <c r="G46" s="1692"/>
      <c r="H46" s="1691"/>
      <c r="I46" s="1695"/>
      <c r="J46" s="1647"/>
      <c r="K46" s="1647"/>
      <c r="L46" s="1693"/>
      <c r="M46" s="1692"/>
      <c r="N46" s="1694"/>
      <c r="O46" s="1682"/>
      <c r="P46" s="1646"/>
      <c r="Q46" s="1646"/>
      <c r="R46" s="1646"/>
      <c r="S46" s="1646"/>
      <c r="T46" s="1646"/>
      <c r="U46" s="1647"/>
      <c r="V46" s="1647"/>
      <c r="W46" s="1647"/>
      <c r="X46" s="1647"/>
      <c r="Y46" s="1693"/>
      <c r="Z46" s="1692"/>
      <c r="AA46" s="1691"/>
      <c r="AB46" s="1647"/>
      <c r="AC46" s="1647"/>
      <c r="AD46" s="1647"/>
      <c r="AE46" s="1647"/>
      <c r="AF46" s="1647"/>
      <c r="AG46" s="1693"/>
      <c r="AH46" s="1692"/>
      <c r="AI46" s="1691"/>
      <c r="AJ46" s="1646"/>
      <c r="AK46" s="1671"/>
      <c r="AL46" s="1636"/>
      <c r="AN46" s="680"/>
      <c r="AO46" s="680"/>
    </row>
    <row r="47" spans="1:50" s="49" customFormat="1" ht="19.5" customHeight="1" x14ac:dyDescent="0.2">
      <c r="A47" s="605">
        <v>1</v>
      </c>
      <c r="B47" s="1672"/>
      <c r="C47" s="1690"/>
      <c r="D47" s="1689"/>
      <c r="E47" s="1686"/>
      <c r="F47" s="1685"/>
      <c r="G47" s="1684"/>
      <c r="H47" s="1688"/>
      <c r="I47" s="1687"/>
      <c r="J47" s="1686"/>
      <c r="K47" s="1686"/>
      <c r="L47" s="1685"/>
      <c r="M47" s="1684"/>
      <c r="N47" s="1683"/>
      <c r="O47" s="1682"/>
      <c r="P47" s="1646"/>
      <c r="Q47" s="1646"/>
      <c r="R47" s="1646"/>
      <c r="S47" s="1646"/>
      <c r="T47" s="1646"/>
      <c r="U47" s="1647"/>
      <c r="V47" s="1647"/>
      <c r="W47" s="1647"/>
      <c r="X47" s="1647"/>
      <c r="Y47" s="1681"/>
      <c r="Z47" s="1681"/>
      <c r="AA47" s="1681"/>
      <c r="AB47" s="1647"/>
      <c r="AC47" s="1647"/>
      <c r="AD47" s="1647"/>
      <c r="AE47" s="1647"/>
      <c r="AF47" s="1647"/>
      <c r="AG47" s="1681"/>
      <c r="AH47" s="1681"/>
      <c r="AI47" s="1681"/>
      <c r="AJ47" s="1646"/>
      <c r="AK47" s="1671"/>
      <c r="AL47" s="1636"/>
      <c r="AN47" s="680"/>
      <c r="AO47" s="680"/>
    </row>
    <row r="48" spans="1:50" s="49" customFormat="1" ht="19.5" customHeight="1" x14ac:dyDescent="0.2">
      <c r="A48" s="605">
        <v>1</v>
      </c>
      <c r="B48" s="1672"/>
      <c r="C48" s="1680"/>
      <c r="D48" s="1676"/>
      <c r="E48" s="1676"/>
      <c r="F48" s="1679"/>
      <c r="G48" s="1678"/>
      <c r="H48" s="1677"/>
      <c r="I48" s="1676"/>
      <c r="J48" s="1676"/>
      <c r="K48" s="1676"/>
      <c r="L48" s="1676"/>
      <c r="M48" s="1676"/>
      <c r="N48" s="1676"/>
      <c r="O48" s="1675"/>
      <c r="P48" s="1646"/>
      <c r="Q48" s="1646"/>
      <c r="R48" s="1646"/>
      <c r="S48" s="1646"/>
      <c r="T48" s="1646"/>
      <c r="U48" s="1647"/>
      <c r="V48" s="1647"/>
      <c r="W48" s="1647"/>
      <c r="X48" s="1647"/>
      <c r="Y48" s="1674"/>
      <c r="Z48" s="1674"/>
      <c r="AA48" s="1673"/>
      <c r="AB48" s="1647"/>
      <c r="AC48" s="1647"/>
      <c r="AD48" s="1647"/>
      <c r="AE48" s="1647"/>
      <c r="AF48" s="1647"/>
      <c r="AG48" s="1674"/>
      <c r="AH48" s="1674"/>
      <c r="AI48" s="1673"/>
      <c r="AJ48" s="1646"/>
      <c r="AK48" s="1671"/>
      <c r="AL48" s="1636"/>
      <c r="AN48" s="680"/>
      <c r="AO48" s="680"/>
    </row>
    <row r="49" spans="1:52" s="49" customFormat="1" ht="19.5" customHeight="1" x14ac:dyDescent="0.2">
      <c r="A49" s="605">
        <v>1</v>
      </c>
      <c r="B49" s="1672"/>
      <c r="C49" s="1646"/>
      <c r="D49" s="1646"/>
      <c r="E49" s="1646"/>
      <c r="F49" s="1646"/>
      <c r="G49" s="1646"/>
      <c r="H49" s="1646"/>
      <c r="I49" s="1646"/>
      <c r="J49" s="1646"/>
      <c r="K49" s="1646"/>
      <c r="L49" s="1646"/>
      <c r="M49" s="1646"/>
      <c r="N49" s="1646"/>
      <c r="O49" s="1646"/>
      <c r="P49" s="1646"/>
      <c r="Q49" s="1646"/>
      <c r="R49" s="1646"/>
      <c r="S49" s="1646"/>
      <c r="T49" s="1646"/>
      <c r="U49" s="1647"/>
      <c r="V49" s="1647"/>
      <c r="W49" s="1647"/>
      <c r="X49" s="1647"/>
      <c r="Y49" s="1650"/>
      <c r="Z49" s="1649"/>
      <c r="AA49" s="1648"/>
      <c r="AB49" s="1647"/>
      <c r="AC49" s="1647"/>
      <c r="AD49" s="1647"/>
      <c r="AE49" s="1647"/>
      <c r="AF49" s="1647"/>
      <c r="AG49" s="1647"/>
      <c r="AH49" s="1647"/>
      <c r="AI49" s="1646"/>
      <c r="AJ49" s="1646"/>
      <c r="AK49" s="1671"/>
      <c r="AL49" s="1636"/>
      <c r="AN49" s="680"/>
      <c r="AO49" s="680"/>
    </row>
    <row r="50" spans="1:52" s="49" customFormat="1" ht="19.5" customHeight="1" x14ac:dyDescent="0.2">
      <c r="A50" s="605">
        <v>1</v>
      </c>
      <c r="B50" s="1672"/>
      <c r="C50" s="1646"/>
      <c r="D50" s="1646"/>
      <c r="E50" s="1646"/>
      <c r="F50" s="1646"/>
      <c r="G50" s="1646"/>
      <c r="H50" s="1646"/>
      <c r="I50" s="1646"/>
      <c r="J50" s="1646"/>
      <c r="K50" s="1646"/>
      <c r="L50" s="1646"/>
      <c r="M50" s="1646"/>
      <c r="N50" s="1646"/>
      <c r="O50" s="1646"/>
      <c r="P50" s="1646"/>
      <c r="Q50" s="1646"/>
      <c r="R50" s="1646"/>
      <c r="S50" s="1646"/>
      <c r="T50" s="1646"/>
      <c r="U50" s="1646"/>
      <c r="V50" s="1646"/>
      <c r="W50" s="1646"/>
      <c r="X50" s="1646"/>
      <c r="Y50" s="1646"/>
      <c r="Z50" s="1646"/>
      <c r="AA50" s="1646"/>
      <c r="AB50" s="1646"/>
      <c r="AC50" s="1646"/>
      <c r="AD50" s="1646"/>
      <c r="AE50" s="1646"/>
      <c r="AF50" s="1646"/>
      <c r="AG50" s="1646"/>
      <c r="AH50" s="1646"/>
      <c r="AI50" s="1646"/>
      <c r="AJ50" s="1646"/>
      <c r="AK50" s="1671"/>
      <c r="AL50" s="1636"/>
      <c r="AN50" s="680"/>
      <c r="AO50" s="680"/>
    </row>
    <row r="51" spans="1:52" s="49" customFormat="1" ht="26.25" customHeight="1" thickBot="1" x14ac:dyDescent="0.25">
      <c r="A51" s="605">
        <v>1</v>
      </c>
      <c r="B51" s="1670" t="s">
        <v>1222</v>
      </c>
      <c r="C51" s="1668"/>
      <c r="D51" s="1669"/>
      <c r="E51" s="1669"/>
      <c r="F51" s="1669"/>
      <c r="G51" s="1668"/>
      <c r="H51" s="1667" t="s">
        <v>1221</v>
      </c>
      <c r="I51" s="1666"/>
      <c r="J51" s="1668"/>
      <c r="K51" s="1669"/>
      <c r="L51" s="1669"/>
      <c r="M51" s="1669"/>
      <c r="N51" s="1669"/>
      <c r="O51" s="1668"/>
      <c r="P51" s="1667" t="s">
        <v>1220</v>
      </c>
      <c r="Q51" s="1669"/>
      <c r="R51" s="1669"/>
      <c r="S51" s="1668"/>
      <c r="T51" s="1669"/>
      <c r="U51" s="1669"/>
      <c r="V51" s="1669"/>
      <c r="W51" s="1668"/>
      <c r="X51" s="1669" t="s">
        <v>1219</v>
      </c>
      <c r="Y51" s="1669"/>
      <c r="Z51" s="1669"/>
      <c r="AA51" s="1669"/>
      <c r="AB51" s="1668"/>
      <c r="AC51" s="1669"/>
      <c r="AD51" s="1668"/>
      <c r="AE51" s="1667" t="s">
        <v>1218</v>
      </c>
      <c r="AF51" s="1666"/>
      <c r="AG51" s="1666"/>
      <c r="AH51" s="1665"/>
      <c r="AI51" s="1666"/>
      <c r="AJ51" s="1665"/>
      <c r="AK51" s="1664"/>
      <c r="AL51" s="1636"/>
      <c r="AN51" s="1632"/>
      <c r="AO51" s="1632"/>
      <c r="AP51" s="1541"/>
      <c r="AQ51" s="1541"/>
      <c r="AR51" s="1541"/>
      <c r="AS51" s="1541"/>
      <c r="AT51" s="1541"/>
      <c r="AU51" s="1541"/>
      <c r="AV51" s="1541"/>
      <c r="AW51" s="1541"/>
      <c r="AX51" s="1541"/>
      <c r="AY51" s="1631"/>
      <c r="AZ51" s="1631"/>
    </row>
    <row r="52" spans="1:52" s="49" customFormat="1" ht="15" customHeight="1" thickBot="1" x14ac:dyDescent="0.25">
      <c r="A52" s="605">
        <v>1</v>
      </c>
      <c r="B52" s="1663"/>
      <c r="C52" s="1660"/>
      <c r="D52" s="1660"/>
      <c r="E52" s="1660"/>
      <c r="F52" s="1660"/>
      <c r="G52" s="1662"/>
      <c r="H52" s="1661"/>
      <c r="I52" s="1658"/>
      <c r="J52" s="1660"/>
      <c r="K52" s="1660"/>
      <c r="L52" s="1660"/>
      <c r="M52" s="1660"/>
      <c r="N52" s="1660"/>
      <c r="O52" s="1660"/>
      <c r="P52" s="1660"/>
      <c r="Q52" s="1659"/>
      <c r="R52" s="1659"/>
      <c r="S52" s="1659"/>
      <c r="T52" s="1659"/>
      <c r="U52" s="1659"/>
      <c r="V52" s="1659"/>
      <c r="W52" s="1659"/>
      <c r="X52" s="1659"/>
      <c r="Y52" s="1659"/>
      <c r="Z52" s="1659"/>
      <c r="AA52" s="1659"/>
      <c r="AB52" s="1659"/>
      <c r="AC52" s="1659"/>
      <c r="AD52" s="1659"/>
      <c r="AE52" s="1658"/>
      <c r="AF52" s="1658"/>
      <c r="AG52" s="1658"/>
      <c r="AH52" s="1657"/>
      <c r="AI52" s="1658"/>
      <c r="AJ52" s="1657"/>
      <c r="AK52" s="1656"/>
      <c r="AL52" s="1636"/>
      <c r="AN52" s="1632"/>
      <c r="AO52" s="1632"/>
      <c r="AP52" s="1541"/>
      <c r="AQ52" s="1541"/>
      <c r="AR52" s="1541"/>
      <c r="AS52" s="1541"/>
      <c r="AT52" s="1541"/>
      <c r="AU52" s="1541"/>
      <c r="AV52" s="1541"/>
      <c r="AW52" s="1541"/>
      <c r="AX52" s="1541"/>
      <c r="AY52" s="1631"/>
      <c r="AZ52" s="1631"/>
    </row>
    <row r="53" spans="1:52" s="49" customFormat="1" ht="29.25" customHeight="1" x14ac:dyDescent="0.4">
      <c r="A53" s="605">
        <v>1</v>
      </c>
      <c r="B53" s="1655" t="s">
        <v>1217</v>
      </c>
      <c r="C53" s="1596"/>
      <c r="D53" s="1596"/>
      <c r="E53" s="1596"/>
      <c r="F53" s="1596"/>
      <c r="G53" s="1601"/>
      <c r="H53" s="1600"/>
      <c r="I53" s="1599"/>
      <c r="J53" s="1596"/>
      <c r="K53" s="1596"/>
      <c r="L53" s="1596"/>
      <c r="M53" s="1596"/>
      <c r="N53" s="1596"/>
      <c r="O53" s="1596"/>
      <c r="P53" s="1596"/>
      <c r="Q53" s="1654"/>
      <c r="R53" s="1654"/>
      <c r="S53" s="1654"/>
      <c r="T53" s="1654"/>
      <c r="U53" s="1654"/>
      <c r="V53" s="1654"/>
      <c r="W53" s="1654"/>
      <c r="X53" s="1654"/>
      <c r="Y53" s="1654"/>
      <c r="Z53" s="1654"/>
      <c r="AA53" s="1654"/>
      <c r="AB53" s="1654"/>
      <c r="AC53" s="1654"/>
      <c r="AD53" s="1654"/>
      <c r="AE53" s="1599"/>
      <c r="AF53" s="1599"/>
      <c r="AG53" s="1599"/>
      <c r="AH53" s="1653"/>
      <c r="AI53" s="1599"/>
      <c r="AJ53" s="1653"/>
      <c r="AK53" s="1652"/>
      <c r="AL53" s="1636"/>
      <c r="AN53" s="1632"/>
      <c r="AO53" s="1631"/>
      <c r="AP53" s="1637"/>
      <c r="AQ53" s="1637"/>
      <c r="AR53" s="1637"/>
      <c r="AS53" s="1541"/>
      <c r="AT53" s="1637"/>
      <c r="AU53" s="1637"/>
      <c r="AV53" s="1637"/>
      <c r="AW53" s="1637"/>
      <c r="AX53" s="1637"/>
      <c r="AY53" s="1637"/>
      <c r="AZ53" s="1631"/>
    </row>
    <row r="54" spans="1:52" s="49" customFormat="1" ht="21" customHeight="1" x14ac:dyDescent="0.3">
      <c r="A54" s="605">
        <v>1</v>
      </c>
      <c r="B54" s="1651"/>
      <c r="C54" s="1647"/>
      <c r="D54" s="1647"/>
      <c r="E54" s="1647"/>
      <c r="F54" s="1647"/>
      <c r="G54" s="1650"/>
      <c r="H54" s="1649"/>
      <c r="I54" s="1648"/>
      <c r="J54" s="1647"/>
      <c r="K54" s="1647"/>
      <c r="L54" s="1647"/>
      <c r="M54" s="1647"/>
      <c r="N54" s="1647"/>
      <c r="O54" s="1647"/>
      <c r="P54" s="1647"/>
      <c r="Q54" s="1646"/>
      <c r="R54" s="1646"/>
      <c r="S54" s="1646"/>
      <c r="T54" s="1646"/>
      <c r="U54" s="1646"/>
      <c r="V54" s="1646"/>
      <c r="W54" s="1646"/>
      <c r="X54" s="1646"/>
      <c r="Y54" s="1646"/>
      <c r="Z54" s="1646"/>
      <c r="AA54" s="1646"/>
      <c r="AB54" s="2344" t="s">
        <v>1216</v>
      </c>
      <c r="AC54" s="2344"/>
      <c r="AD54" s="2344"/>
      <c r="AE54" s="2344"/>
      <c r="AF54" s="2344"/>
      <c r="AG54" s="2344"/>
      <c r="AH54" s="2344"/>
      <c r="AI54" s="2438" t="s">
        <v>58</v>
      </c>
      <c r="AJ54" s="2438"/>
      <c r="AK54" s="2439"/>
      <c r="AL54" s="1636"/>
      <c r="AN54" s="1632"/>
      <c r="AO54" s="1631"/>
      <c r="AP54" s="1637"/>
      <c r="AQ54" s="1637"/>
      <c r="AR54" s="1637"/>
      <c r="AS54" s="1541"/>
      <c r="AT54" s="1637"/>
      <c r="AU54" s="1637"/>
      <c r="AV54" s="1637"/>
      <c r="AW54" s="1637"/>
      <c r="AX54" s="1637"/>
      <c r="AY54" s="1637"/>
      <c r="AZ54" s="1631"/>
    </row>
    <row r="55" spans="1:52" s="49" customFormat="1" ht="24" customHeight="1" x14ac:dyDescent="0.3">
      <c r="A55" s="605">
        <v>1</v>
      </c>
      <c r="B55" s="1651"/>
      <c r="C55" s="1647"/>
      <c r="D55" s="1647"/>
      <c r="E55" s="1647"/>
      <c r="F55" s="1647"/>
      <c r="G55" s="1650"/>
      <c r="H55" s="1649"/>
      <c r="I55" s="1648"/>
      <c r="J55" s="1647"/>
      <c r="K55" s="1647"/>
      <c r="L55" s="1647"/>
      <c r="M55" s="1647"/>
      <c r="N55" s="1647"/>
      <c r="O55" s="1647"/>
      <c r="P55" s="1647"/>
      <c r="Q55" s="1646"/>
      <c r="R55" s="1646"/>
      <c r="S55" s="1646"/>
      <c r="T55" s="1646"/>
      <c r="U55" s="1646"/>
      <c r="V55" s="1646"/>
      <c r="W55" s="1646"/>
      <c r="X55" s="1646"/>
      <c r="Y55" s="1646"/>
      <c r="Z55" s="1646"/>
      <c r="AA55" s="1646"/>
      <c r="AB55" s="2440"/>
      <c r="AC55" s="2440"/>
      <c r="AD55" s="2440"/>
      <c r="AE55" s="2440"/>
      <c r="AF55" s="2440"/>
      <c r="AG55" s="2440"/>
      <c r="AH55" s="2440"/>
      <c r="AI55" s="2441"/>
      <c r="AJ55" s="2441"/>
      <c r="AK55" s="2442"/>
      <c r="AL55" s="1636"/>
      <c r="AN55" s="1632"/>
      <c r="AO55" s="1631"/>
      <c r="AP55" s="1637"/>
      <c r="AQ55" s="1637"/>
      <c r="AR55" s="1637"/>
      <c r="AS55" s="1541"/>
      <c r="AT55" s="1637"/>
      <c r="AU55" s="1637"/>
      <c r="AV55" s="1637"/>
      <c r="AW55" s="1637"/>
      <c r="AX55" s="1637"/>
      <c r="AY55" s="1637"/>
      <c r="AZ55" s="1631"/>
    </row>
    <row r="56" spans="1:52" s="49" customFormat="1" ht="9" customHeight="1" thickBot="1" x14ac:dyDescent="0.35">
      <c r="A56" s="605">
        <v>1</v>
      </c>
      <c r="B56" s="1645"/>
      <c r="C56" s="1642"/>
      <c r="D56" s="1642"/>
      <c r="E56" s="1642"/>
      <c r="F56" s="1642"/>
      <c r="G56" s="1644"/>
      <c r="H56" s="1643"/>
      <c r="I56" s="1640"/>
      <c r="J56" s="1642"/>
      <c r="K56" s="1642"/>
      <c r="L56" s="1642"/>
      <c r="M56" s="1642"/>
      <c r="N56" s="1642"/>
      <c r="O56" s="1642"/>
      <c r="P56" s="1642"/>
      <c r="Q56" s="1641"/>
      <c r="R56" s="1641"/>
      <c r="S56" s="1641"/>
      <c r="T56" s="1641"/>
      <c r="U56" s="1641"/>
      <c r="V56" s="1641"/>
      <c r="W56" s="1641"/>
      <c r="X56" s="1641"/>
      <c r="Y56" s="1641"/>
      <c r="Z56" s="1641"/>
      <c r="AA56" s="1641"/>
      <c r="AB56" s="1641"/>
      <c r="AC56" s="1641"/>
      <c r="AD56" s="1641"/>
      <c r="AE56" s="1640"/>
      <c r="AF56" s="1640"/>
      <c r="AG56" s="1640"/>
      <c r="AH56" s="1639"/>
      <c r="AI56" s="1640"/>
      <c r="AJ56" s="1639"/>
      <c r="AK56" s="1638"/>
      <c r="AL56" s="1636"/>
      <c r="AN56" s="1632"/>
      <c r="AO56" s="1631"/>
      <c r="AP56" s="1637"/>
      <c r="AQ56" s="1637"/>
      <c r="AR56" s="1637"/>
      <c r="AS56" s="1541"/>
      <c r="AT56" s="1637"/>
      <c r="AU56" s="1637"/>
      <c r="AV56" s="1637"/>
      <c r="AW56" s="1637"/>
      <c r="AX56" s="1637"/>
      <c r="AY56" s="1637"/>
      <c r="AZ56" s="1631"/>
    </row>
    <row r="57" spans="1:52" s="49" customFormat="1" ht="36.75" customHeight="1" thickBot="1" x14ac:dyDescent="0.25">
      <c r="A57" s="605">
        <v>1</v>
      </c>
      <c r="B57" s="2365" t="s">
        <v>188</v>
      </c>
      <c r="C57" s="2366"/>
      <c r="D57" s="2366"/>
      <c r="E57" s="2366"/>
      <c r="F57" s="2366"/>
      <c r="G57" s="2366"/>
      <c r="H57" s="2366"/>
      <c r="I57" s="2366"/>
      <c r="J57" s="2366"/>
      <c r="K57" s="2366"/>
      <c r="L57" s="2366"/>
      <c r="M57" s="2366"/>
      <c r="N57" s="2367" t="s">
        <v>65</v>
      </c>
      <c r="O57" s="2367"/>
      <c r="P57" s="2367"/>
      <c r="Q57" s="2367"/>
      <c r="R57" s="2368" t="s">
        <v>58</v>
      </c>
      <c r="S57" s="2368"/>
      <c r="T57" s="2367" t="s">
        <v>66</v>
      </c>
      <c r="U57" s="2367"/>
      <c r="V57" s="2367"/>
      <c r="W57" s="2367"/>
      <c r="X57" s="2367"/>
      <c r="Y57" s="2367" t="s">
        <v>67</v>
      </c>
      <c r="Z57" s="2367"/>
      <c r="AA57" s="2367"/>
      <c r="AB57" s="2369" t="s">
        <v>1215</v>
      </c>
      <c r="AC57" s="2369"/>
      <c r="AD57" s="2369"/>
      <c r="AE57" s="2370" t="s">
        <v>1214</v>
      </c>
      <c r="AF57" s="2370"/>
      <c r="AG57" s="2370"/>
      <c r="AH57" s="2370"/>
      <c r="AI57" s="2371" t="s">
        <v>1213</v>
      </c>
      <c r="AJ57" s="2371"/>
      <c r="AK57" s="2372"/>
      <c r="AL57" s="1636"/>
      <c r="AN57" s="1632"/>
      <c r="AO57" s="1635"/>
      <c r="AP57" s="1635"/>
      <c r="AQ57" s="1635"/>
      <c r="AR57" s="1633"/>
      <c r="AS57" s="1634"/>
      <c r="AT57" s="1633"/>
      <c r="AU57" s="1633"/>
      <c r="AV57" s="1633"/>
      <c r="AW57" s="1633"/>
      <c r="AX57" s="641"/>
      <c r="AY57" s="641"/>
      <c r="AZ57" s="1631"/>
    </row>
    <row r="58" spans="1:52" s="49" customFormat="1" ht="42" hidden="1" customHeight="1" x14ac:dyDescent="0.2">
      <c r="A58" s="605">
        <f>IF(AL58=3,1,0)</f>
        <v>0</v>
      </c>
      <c r="B58" s="2356" t="str">
        <f>Исх!C30</f>
        <v>газетная                              все форматы</v>
      </c>
      <c r="C58" s="2357"/>
      <c r="D58" s="2357"/>
      <c r="E58" s="2357"/>
      <c r="F58" s="2357"/>
      <c r="G58" s="2357"/>
      <c r="H58" s="2357"/>
      <c r="I58" s="2357"/>
      <c r="J58" s="2357"/>
      <c r="K58" s="2357"/>
      <c r="L58" s="2357"/>
      <c r="M58" s="2357"/>
      <c r="N58" s="2358">
        <f>Исх!I30</f>
        <v>42</v>
      </c>
      <c r="O58" s="2359"/>
      <c r="P58" s="2359"/>
      <c r="Q58" s="2360"/>
      <c r="R58" s="2355">
        <f>Исх!L30</f>
        <v>8</v>
      </c>
      <c r="S58" s="2355"/>
      <c r="T58" s="2355" t="str">
        <f>Исх!J30&amp;" x "&amp;Исх!K30</f>
        <v>66 x 57,8</v>
      </c>
      <c r="U58" s="2355"/>
      <c r="V58" s="2355"/>
      <c r="W58" s="2355"/>
      <c r="X58" s="2355"/>
      <c r="Y58" s="2354">
        <f>Исх!Z30</f>
        <v>25000</v>
      </c>
      <c r="Z58" s="2354"/>
      <c r="AA58" s="2354"/>
      <c r="AB58" s="2355" t="str">
        <f ca="1">Исх!AA30&amp;" / "&amp;Исх!Z30*Исх!N45</f>
        <v>4375 / 0</v>
      </c>
      <c r="AC58" s="2355"/>
      <c r="AD58" s="2355"/>
      <c r="AE58" s="2354">
        <f ca="1">Y58+Исх!AA30</f>
        <v>29375</v>
      </c>
      <c r="AF58" s="2354"/>
      <c r="AG58" s="2354"/>
      <c r="AH58" s="2354"/>
      <c r="AI58" s="2362">
        <f ca="1">Исх!I30*Исх!J30*Исх!K30*AE58/10000000</f>
        <v>470.65095000000002</v>
      </c>
      <c r="AJ58" s="2362"/>
      <c r="AK58" s="2363"/>
      <c r="AL58" s="1627">
        <f>Исх!AL30</f>
        <v>1</v>
      </c>
      <c r="AN58" s="1632"/>
      <c r="AO58" s="1630"/>
      <c r="AP58" s="1630"/>
      <c r="AQ58" s="1630"/>
      <c r="AR58" s="1625"/>
      <c r="AS58" s="1625"/>
      <c r="AT58" s="1625"/>
      <c r="AU58" s="1625"/>
      <c r="AV58" s="1629"/>
      <c r="AW58" s="1625"/>
      <c r="AX58" s="1629"/>
      <c r="AY58" s="1628"/>
      <c r="AZ58" s="1631"/>
    </row>
    <row r="59" spans="1:52" s="12" customFormat="1" ht="42" hidden="1" customHeight="1" x14ac:dyDescent="0.2">
      <c r="A59" s="605">
        <f>IF(AL59=3,1,0)</f>
        <v>0</v>
      </c>
      <c r="B59" s="2356" t="str">
        <f>Исх!C31</f>
        <v>газетная.                             все форматы</v>
      </c>
      <c r="C59" s="2357"/>
      <c r="D59" s="2357"/>
      <c r="E59" s="2357"/>
      <c r="F59" s="2357"/>
      <c r="G59" s="2357"/>
      <c r="H59" s="2357"/>
      <c r="I59" s="2357"/>
      <c r="J59" s="2357"/>
      <c r="K59" s="2357"/>
      <c r="L59" s="2357"/>
      <c r="M59" s="2357"/>
      <c r="N59" s="2358">
        <f>Исх!I31</f>
        <v>42</v>
      </c>
      <c r="O59" s="2359"/>
      <c r="P59" s="2359"/>
      <c r="Q59" s="2360"/>
      <c r="R59" s="2355">
        <f>Исх!L31</f>
        <v>4</v>
      </c>
      <c r="S59" s="2355"/>
      <c r="T59" s="2355" t="str">
        <f>Исх!J31&amp;" x "&amp;Исх!K31</f>
        <v>33 x 57,8</v>
      </c>
      <c r="U59" s="2355"/>
      <c r="V59" s="2355"/>
      <c r="W59" s="2355"/>
      <c r="X59" s="2355"/>
      <c r="Y59" s="2354">
        <f>Исх!Z31</f>
        <v>25000</v>
      </c>
      <c r="Z59" s="2354"/>
      <c r="AA59" s="2354"/>
      <c r="AB59" s="2355" t="str">
        <f ca="1">Исх!AA31&amp;" / "&amp;Исх!Z31*Исх!N46</f>
        <v>4375 / 0</v>
      </c>
      <c r="AC59" s="2355"/>
      <c r="AD59" s="2355"/>
      <c r="AE59" s="2354">
        <f ca="1">Y59+Исх!AA31</f>
        <v>29375</v>
      </c>
      <c r="AF59" s="2354"/>
      <c r="AG59" s="2354"/>
      <c r="AH59" s="2354"/>
      <c r="AI59" s="2362">
        <f ca="1">Исх!I31*Исх!J31*Исх!K31*AE59/10000000</f>
        <v>235.32547500000001</v>
      </c>
      <c r="AJ59" s="2362"/>
      <c r="AK59" s="2363"/>
      <c r="AL59" s="1627">
        <f>Исх!AL31</f>
        <v>1</v>
      </c>
      <c r="AN59" s="637"/>
      <c r="AO59" s="1630"/>
      <c r="AP59" s="1630"/>
      <c r="AQ59" s="1630"/>
      <c r="AR59" s="1625"/>
      <c r="AS59" s="1625"/>
      <c r="AT59" s="1625"/>
      <c r="AU59" s="1625"/>
      <c r="AV59" s="1629"/>
      <c r="AW59" s="1625"/>
      <c r="AX59" s="1629"/>
      <c r="AY59" s="1628"/>
    </row>
    <row r="60" spans="1:52" s="12" customFormat="1" ht="42" hidden="1" customHeight="1" x14ac:dyDescent="0.2">
      <c r="A60" s="605">
        <f t="shared" ref="A60:A69" si="0">IF(AL60=3,1,0)</f>
        <v>0</v>
      </c>
      <c r="B60" s="2356" t="str">
        <f>Исх!C32</f>
        <v xml:space="preserve"> </v>
      </c>
      <c r="C60" s="2357"/>
      <c r="D60" s="2357"/>
      <c r="E60" s="2357"/>
      <c r="F60" s="2357"/>
      <c r="G60" s="2357"/>
      <c r="H60" s="2357"/>
      <c r="I60" s="2357"/>
      <c r="J60" s="2357"/>
      <c r="K60" s="2357"/>
      <c r="L60" s="2357"/>
      <c r="M60" s="2357"/>
      <c r="N60" s="2358">
        <f>Исх!I32</f>
        <v>0</v>
      </c>
      <c r="O60" s="2359"/>
      <c r="P60" s="2359"/>
      <c r="Q60" s="2360"/>
      <c r="R60" s="2355">
        <f>Исх!L32</f>
        <v>0</v>
      </c>
      <c r="S60" s="2355"/>
      <c r="T60" s="2355" t="str">
        <f>Исх!J32&amp;" x "&amp;Исх!K32</f>
        <v xml:space="preserve"> x </v>
      </c>
      <c r="U60" s="2355"/>
      <c r="V60" s="2355"/>
      <c r="W60" s="2355"/>
      <c r="X60" s="2355"/>
      <c r="Y60" s="2354">
        <f>Исх!Z32</f>
        <v>0</v>
      </c>
      <c r="Z60" s="2354"/>
      <c r="AA60" s="2354"/>
      <c r="AB60" s="2355" t="str">
        <f>Исх!AA32&amp;" / "&amp;Исх!Z32*Исх!N47</f>
        <v>0 / 0</v>
      </c>
      <c r="AC60" s="2355"/>
      <c r="AD60" s="2355"/>
      <c r="AE60" s="2354">
        <f>Y60+Исх!AA32</f>
        <v>0</v>
      </c>
      <c r="AF60" s="2354"/>
      <c r="AG60" s="2354"/>
      <c r="AH60" s="2354"/>
      <c r="AI60" s="2362">
        <f>Исх!I32*Исх!J32*Исх!K32*AE60/10000000</f>
        <v>0</v>
      </c>
      <c r="AJ60" s="2362"/>
      <c r="AK60" s="2363"/>
      <c r="AL60" s="1627">
        <f>Исх!AL32</f>
        <v>5</v>
      </c>
      <c r="AN60" s="637"/>
      <c r="AO60" s="1630"/>
      <c r="AP60" s="1630"/>
      <c r="AQ60" s="1630"/>
      <c r="AR60" s="1625"/>
      <c r="AS60" s="1625"/>
      <c r="AT60" s="1625"/>
      <c r="AU60" s="1625"/>
      <c r="AV60" s="1629"/>
      <c r="AW60" s="1625"/>
      <c r="AX60" s="1629"/>
      <c r="AY60" s="1628"/>
    </row>
    <row r="61" spans="1:52" s="12" customFormat="1" ht="42" hidden="1" customHeight="1" x14ac:dyDescent="0.2">
      <c r="A61" s="605">
        <f t="shared" si="0"/>
        <v>0</v>
      </c>
      <c r="B61" s="2356" t="str">
        <f>Исх!C33</f>
        <v xml:space="preserve"> </v>
      </c>
      <c r="C61" s="2357"/>
      <c r="D61" s="2357"/>
      <c r="E61" s="2357"/>
      <c r="F61" s="2357"/>
      <c r="G61" s="2357"/>
      <c r="H61" s="2357"/>
      <c r="I61" s="2357"/>
      <c r="J61" s="2357"/>
      <c r="K61" s="2357"/>
      <c r="L61" s="2357"/>
      <c r="M61" s="2357"/>
      <c r="N61" s="2358">
        <f>Исх!I33</f>
        <v>0</v>
      </c>
      <c r="O61" s="2359"/>
      <c r="P61" s="2359"/>
      <c r="Q61" s="2360"/>
      <c r="R61" s="2355">
        <f>Исх!L33</f>
        <v>0</v>
      </c>
      <c r="S61" s="2355"/>
      <c r="T61" s="2355" t="str">
        <f>Исх!J33&amp;" x "&amp;Исх!K33</f>
        <v xml:space="preserve"> x </v>
      </c>
      <c r="U61" s="2355"/>
      <c r="V61" s="2355"/>
      <c r="W61" s="2355"/>
      <c r="X61" s="2355"/>
      <c r="Y61" s="2354">
        <f>Исх!Z33</f>
        <v>0</v>
      </c>
      <c r="Z61" s="2354"/>
      <c r="AA61" s="2354"/>
      <c r="AB61" s="2355" t="str">
        <f>Исх!AA33&amp;" / "&amp;Исх!Z33*Исх!N48</f>
        <v>0 / 0</v>
      </c>
      <c r="AC61" s="2355"/>
      <c r="AD61" s="2355"/>
      <c r="AE61" s="2354">
        <f>Y61+Исх!AA33</f>
        <v>0</v>
      </c>
      <c r="AF61" s="2354"/>
      <c r="AG61" s="2354"/>
      <c r="AH61" s="2354"/>
      <c r="AI61" s="2362">
        <f>Исх!I33*Исх!J33*Исх!K33*AE61/10000000</f>
        <v>0</v>
      </c>
      <c r="AJ61" s="2362"/>
      <c r="AK61" s="2363"/>
      <c r="AL61" s="1627">
        <f>Исх!AL33</f>
        <v>5</v>
      </c>
      <c r="AN61" s="637"/>
      <c r="AO61" s="1630"/>
      <c r="AP61" s="1630"/>
      <c r="AQ61" s="1630"/>
      <c r="AR61" s="1625"/>
      <c r="AS61" s="1625"/>
      <c r="AT61" s="1625"/>
      <c r="AU61" s="1625"/>
      <c r="AV61" s="1629"/>
      <c r="AW61" s="1625"/>
      <c r="AX61" s="1629"/>
      <c r="AY61" s="1628"/>
    </row>
    <row r="62" spans="1:52" s="12" customFormat="1" ht="42" hidden="1" customHeight="1" x14ac:dyDescent="0.2">
      <c r="A62" s="605">
        <f t="shared" si="0"/>
        <v>0</v>
      </c>
      <c r="B62" s="2356" t="str">
        <f>Исх!C34</f>
        <v xml:space="preserve"> </v>
      </c>
      <c r="C62" s="2357"/>
      <c r="D62" s="2357"/>
      <c r="E62" s="2357"/>
      <c r="F62" s="2357"/>
      <c r="G62" s="2357"/>
      <c r="H62" s="2357"/>
      <c r="I62" s="2357"/>
      <c r="J62" s="2357"/>
      <c r="K62" s="2357"/>
      <c r="L62" s="2357"/>
      <c r="M62" s="2357"/>
      <c r="N62" s="2358">
        <f>Исх!I34</f>
        <v>0</v>
      </c>
      <c r="O62" s="2359"/>
      <c r="P62" s="2359"/>
      <c r="Q62" s="2360"/>
      <c r="R62" s="2355">
        <f>Исх!L34</f>
        <v>0</v>
      </c>
      <c r="S62" s="2355"/>
      <c r="T62" s="2355" t="str">
        <f>Исх!J34&amp;" x "&amp;Исх!K34</f>
        <v xml:space="preserve"> x </v>
      </c>
      <c r="U62" s="2355"/>
      <c r="V62" s="2355"/>
      <c r="W62" s="2355"/>
      <c r="X62" s="2355"/>
      <c r="Y62" s="2354">
        <f>Исх!Z34</f>
        <v>0</v>
      </c>
      <c r="Z62" s="2354"/>
      <c r="AA62" s="2354"/>
      <c r="AB62" s="2355" t="str">
        <f>Исх!AA34&amp;" / "&amp;Исх!Z34*Исх!N49</f>
        <v>0 / 0</v>
      </c>
      <c r="AC62" s="2355"/>
      <c r="AD62" s="2355"/>
      <c r="AE62" s="2354">
        <f>Y62+Исх!AA34</f>
        <v>0</v>
      </c>
      <c r="AF62" s="2354"/>
      <c r="AG62" s="2354"/>
      <c r="AH62" s="2354"/>
      <c r="AI62" s="2362">
        <f>Исх!I34*Исх!J34*Исх!K34*AE62/10000000</f>
        <v>0</v>
      </c>
      <c r="AJ62" s="2362"/>
      <c r="AK62" s="2363"/>
      <c r="AL62" s="1627">
        <f>Исх!AL34</f>
        <v>5</v>
      </c>
      <c r="AN62" s="637"/>
      <c r="AO62" s="1630"/>
      <c r="AP62" s="1630"/>
      <c r="AQ62" s="1630"/>
      <c r="AR62" s="1625"/>
      <c r="AS62" s="1625"/>
      <c r="AT62" s="1625"/>
      <c r="AU62" s="1625"/>
      <c r="AV62" s="1629"/>
      <c r="AW62" s="1625"/>
      <c r="AX62" s="1629"/>
      <c r="AY62" s="1628"/>
    </row>
    <row r="63" spans="1:52" s="12" customFormat="1" ht="42" hidden="1" customHeight="1" x14ac:dyDescent="0.2">
      <c r="A63" s="605">
        <f t="shared" si="0"/>
        <v>0</v>
      </c>
      <c r="B63" s="2356" t="str">
        <f>Исх!C35</f>
        <v xml:space="preserve"> </v>
      </c>
      <c r="C63" s="2357"/>
      <c r="D63" s="2357"/>
      <c r="E63" s="2357"/>
      <c r="F63" s="2357"/>
      <c r="G63" s="2357"/>
      <c r="H63" s="2357"/>
      <c r="I63" s="2357"/>
      <c r="J63" s="2357"/>
      <c r="K63" s="2357"/>
      <c r="L63" s="2357"/>
      <c r="M63" s="2357"/>
      <c r="N63" s="2358">
        <f>Исх!I35</f>
        <v>0</v>
      </c>
      <c r="O63" s="2359"/>
      <c r="P63" s="2359"/>
      <c r="Q63" s="2360"/>
      <c r="R63" s="2355">
        <f>Исх!L35</f>
        <v>0</v>
      </c>
      <c r="S63" s="2355"/>
      <c r="T63" s="2355" t="str">
        <f>Исх!J35&amp;" x "&amp;Исх!K35</f>
        <v xml:space="preserve"> x </v>
      </c>
      <c r="U63" s="2355"/>
      <c r="V63" s="2355"/>
      <c r="W63" s="2355"/>
      <c r="X63" s="2355"/>
      <c r="Y63" s="2354">
        <f>Исх!Z35</f>
        <v>0</v>
      </c>
      <c r="Z63" s="2354"/>
      <c r="AA63" s="2354"/>
      <c r="AB63" s="2355" t="str">
        <f>Исх!AA35&amp;" / "&amp;Исх!Z35*Исх!N50</f>
        <v>0 / 0</v>
      </c>
      <c r="AC63" s="2355"/>
      <c r="AD63" s="2355"/>
      <c r="AE63" s="2354">
        <f>Y63+Исх!AA35</f>
        <v>0</v>
      </c>
      <c r="AF63" s="2354"/>
      <c r="AG63" s="2354"/>
      <c r="AH63" s="2354"/>
      <c r="AI63" s="2362">
        <f>Исх!I35*Исх!J35*Исх!K35*AE63/10000000</f>
        <v>0</v>
      </c>
      <c r="AJ63" s="2362"/>
      <c r="AK63" s="2363"/>
      <c r="AL63" s="1627">
        <f>Исх!AL35</f>
        <v>5</v>
      </c>
      <c r="AN63" s="637"/>
      <c r="AO63" s="1630"/>
      <c r="AP63" s="1630"/>
      <c r="AQ63" s="1630"/>
      <c r="AR63" s="1625"/>
      <c r="AS63" s="1625"/>
      <c r="AT63" s="1625"/>
      <c r="AU63" s="1625"/>
      <c r="AV63" s="1629"/>
      <c r="AW63" s="1625"/>
      <c r="AX63" s="1629"/>
      <c r="AY63" s="1628"/>
    </row>
    <row r="64" spans="1:52" s="12" customFormat="1" ht="42" hidden="1" customHeight="1" x14ac:dyDescent="0.2">
      <c r="A64" s="605">
        <f t="shared" si="0"/>
        <v>0</v>
      </c>
      <c r="B64" s="2356" t="str">
        <f>Исх!C36</f>
        <v xml:space="preserve"> </v>
      </c>
      <c r="C64" s="2357"/>
      <c r="D64" s="2357"/>
      <c r="E64" s="2357"/>
      <c r="F64" s="2357"/>
      <c r="G64" s="2357"/>
      <c r="H64" s="2357"/>
      <c r="I64" s="2357"/>
      <c r="J64" s="2357"/>
      <c r="K64" s="2357"/>
      <c r="L64" s="2357"/>
      <c r="M64" s="2357"/>
      <c r="N64" s="2358">
        <f>Исх!I36</f>
        <v>0</v>
      </c>
      <c r="O64" s="2359"/>
      <c r="P64" s="2359"/>
      <c r="Q64" s="2360"/>
      <c r="R64" s="2355">
        <f>Исх!L36</f>
        <v>0</v>
      </c>
      <c r="S64" s="2355"/>
      <c r="T64" s="2355" t="str">
        <f>Исх!J36&amp;" x "&amp;Исх!K36</f>
        <v xml:space="preserve"> x </v>
      </c>
      <c r="U64" s="2355"/>
      <c r="V64" s="2355"/>
      <c r="W64" s="2355"/>
      <c r="X64" s="2355"/>
      <c r="Y64" s="2354">
        <f>Исх!Z36</f>
        <v>0</v>
      </c>
      <c r="Z64" s="2354"/>
      <c r="AA64" s="2354"/>
      <c r="AB64" s="2355" t="str">
        <f>Исх!AA36&amp;" / "&amp;Исх!Z36*Исх!N51</f>
        <v>0 / 0</v>
      </c>
      <c r="AC64" s="2355"/>
      <c r="AD64" s="2355"/>
      <c r="AE64" s="2354">
        <f>Y64+Исх!AA36</f>
        <v>0</v>
      </c>
      <c r="AF64" s="2354"/>
      <c r="AG64" s="2354"/>
      <c r="AH64" s="2354"/>
      <c r="AI64" s="2362">
        <f>Исх!I36*Исх!J36*Исх!K36*AE64/10000000</f>
        <v>0</v>
      </c>
      <c r="AJ64" s="2362"/>
      <c r="AK64" s="2363"/>
      <c r="AL64" s="1627">
        <f>Исх!AL36</f>
        <v>5</v>
      </c>
      <c r="AN64" s="637"/>
      <c r="AO64" s="1630"/>
      <c r="AP64" s="1630"/>
      <c r="AQ64" s="1630"/>
      <c r="AR64" s="1625"/>
      <c r="AS64" s="1625"/>
      <c r="AT64" s="1625"/>
      <c r="AU64" s="1625"/>
      <c r="AV64" s="1629"/>
      <c r="AW64" s="1625"/>
      <c r="AX64" s="1629"/>
      <c r="AY64" s="1628"/>
    </row>
    <row r="65" spans="1:51" s="12" customFormat="1" ht="42" hidden="1" customHeight="1" x14ac:dyDescent="0.2">
      <c r="A65" s="605">
        <f t="shared" si="0"/>
        <v>0</v>
      </c>
      <c r="B65" s="2356" t="str">
        <f>Исх!C37</f>
        <v xml:space="preserve"> </v>
      </c>
      <c r="C65" s="2357"/>
      <c r="D65" s="2357"/>
      <c r="E65" s="2357"/>
      <c r="F65" s="2357"/>
      <c r="G65" s="2357"/>
      <c r="H65" s="2357"/>
      <c r="I65" s="2357"/>
      <c r="J65" s="2357"/>
      <c r="K65" s="2357"/>
      <c r="L65" s="2357"/>
      <c r="M65" s="2357"/>
      <c r="N65" s="2358">
        <f>Исх!I37</f>
        <v>0</v>
      </c>
      <c r="O65" s="2359"/>
      <c r="P65" s="2359"/>
      <c r="Q65" s="2360"/>
      <c r="R65" s="2355">
        <f>Исх!L37</f>
        <v>0</v>
      </c>
      <c r="S65" s="2355"/>
      <c r="T65" s="2355" t="str">
        <f>Исх!J37&amp;" x "&amp;Исх!K37</f>
        <v xml:space="preserve"> x </v>
      </c>
      <c r="U65" s="2355"/>
      <c r="V65" s="2355"/>
      <c r="W65" s="2355"/>
      <c r="X65" s="2355"/>
      <c r="Y65" s="2354">
        <f>Исх!Z37</f>
        <v>0</v>
      </c>
      <c r="Z65" s="2354"/>
      <c r="AA65" s="2354"/>
      <c r="AB65" s="2355" t="str">
        <f>Исх!AA37&amp;" / "&amp;Исх!Z37*Исх!N52</f>
        <v>0 / 0</v>
      </c>
      <c r="AC65" s="2355"/>
      <c r="AD65" s="2355"/>
      <c r="AE65" s="2354">
        <f>Y65+Исх!AA37</f>
        <v>0</v>
      </c>
      <c r="AF65" s="2354"/>
      <c r="AG65" s="2354"/>
      <c r="AH65" s="2354"/>
      <c r="AI65" s="2362">
        <f>Исх!I37*Исх!J37*Исх!K37*AE65/10000000</f>
        <v>0</v>
      </c>
      <c r="AJ65" s="2362"/>
      <c r="AK65" s="2363"/>
      <c r="AL65" s="1627">
        <f>Исх!AL37</f>
        <v>5</v>
      </c>
      <c r="AN65" s="637"/>
      <c r="AO65" s="1630"/>
      <c r="AP65" s="1630"/>
      <c r="AQ65" s="1630"/>
      <c r="AR65" s="1625"/>
      <c r="AS65" s="1625"/>
      <c r="AT65" s="1625"/>
      <c r="AU65" s="1625"/>
      <c r="AV65" s="1629"/>
      <c r="AW65" s="1625"/>
      <c r="AX65" s="1629"/>
      <c r="AY65" s="1628"/>
    </row>
    <row r="66" spans="1:51" s="12" customFormat="1" ht="42" hidden="1" customHeight="1" x14ac:dyDescent="0.2">
      <c r="A66" s="605">
        <f t="shared" si="0"/>
        <v>0</v>
      </c>
      <c r="B66" s="2356" t="str">
        <f>Исх!C38</f>
        <v xml:space="preserve"> </v>
      </c>
      <c r="C66" s="2357"/>
      <c r="D66" s="2357"/>
      <c r="E66" s="2357"/>
      <c r="F66" s="2357"/>
      <c r="G66" s="2357"/>
      <c r="H66" s="2357"/>
      <c r="I66" s="2357"/>
      <c r="J66" s="2357"/>
      <c r="K66" s="2357"/>
      <c r="L66" s="2357"/>
      <c r="M66" s="2357"/>
      <c r="N66" s="2358">
        <f>Исх!I38</f>
        <v>0</v>
      </c>
      <c r="O66" s="2359"/>
      <c r="P66" s="2359"/>
      <c r="Q66" s="2360"/>
      <c r="R66" s="2355">
        <f>Исх!L38</f>
        <v>0</v>
      </c>
      <c r="S66" s="2355"/>
      <c r="T66" s="2355" t="str">
        <f>Исх!J38&amp;" x "&amp;Исх!K38</f>
        <v xml:space="preserve"> x </v>
      </c>
      <c r="U66" s="2355"/>
      <c r="V66" s="2355"/>
      <c r="W66" s="2355"/>
      <c r="X66" s="2355"/>
      <c r="Y66" s="2354">
        <f>Исх!Z38</f>
        <v>0</v>
      </c>
      <c r="Z66" s="2354"/>
      <c r="AA66" s="2354"/>
      <c r="AB66" s="2355" t="str">
        <f>Исх!AA38&amp;" / "&amp;Исх!Z38*Исх!N53</f>
        <v>0 / 0</v>
      </c>
      <c r="AC66" s="2355"/>
      <c r="AD66" s="2355"/>
      <c r="AE66" s="2354">
        <f>Y66+Исх!AA38</f>
        <v>0</v>
      </c>
      <c r="AF66" s="2354"/>
      <c r="AG66" s="2354"/>
      <c r="AH66" s="2354"/>
      <c r="AI66" s="2362">
        <f>Исх!I38*Исх!J38*Исх!K38*AE66/10000000</f>
        <v>0</v>
      </c>
      <c r="AJ66" s="2362"/>
      <c r="AK66" s="2363"/>
      <c r="AL66" s="1627">
        <f>Исх!AL38</f>
        <v>5</v>
      </c>
      <c r="AN66" s="637"/>
      <c r="AO66" s="1630"/>
      <c r="AP66" s="1630"/>
      <c r="AQ66" s="1630"/>
      <c r="AR66" s="1625"/>
      <c r="AS66" s="1625"/>
      <c r="AT66" s="1625"/>
      <c r="AU66" s="1625"/>
      <c r="AV66" s="1629"/>
      <c r="AW66" s="1625"/>
      <c r="AX66" s="1629"/>
      <c r="AY66" s="1628"/>
    </row>
    <row r="67" spans="1:51" s="12" customFormat="1" ht="42" hidden="1" customHeight="1" x14ac:dyDescent="0.2">
      <c r="A67" s="605">
        <f t="shared" si="0"/>
        <v>0</v>
      </c>
      <c r="B67" s="2356" t="str">
        <f>Исх!C39</f>
        <v xml:space="preserve"> </v>
      </c>
      <c r="C67" s="2357"/>
      <c r="D67" s="2357"/>
      <c r="E67" s="2357"/>
      <c r="F67" s="2357"/>
      <c r="G67" s="2357"/>
      <c r="H67" s="2357"/>
      <c r="I67" s="2357"/>
      <c r="J67" s="2357"/>
      <c r="K67" s="2357"/>
      <c r="L67" s="2357"/>
      <c r="M67" s="2357"/>
      <c r="N67" s="2358">
        <f>Исх!I39</f>
        <v>0</v>
      </c>
      <c r="O67" s="2359"/>
      <c r="P67" s="2359"/>
      <c r="Q67" s="2360"/>
      <c r="R67" s="2355">
        <f>Исх!L39</f>
        <v>0</v>
      </c>
      <c r="S67" s="2355"/>
      <c r="T67" s="2355" t="str">
        <f>Исх!J39&amp;" x "&amp;Исх!K39</f>
        <v xml:space="preserve"> x </v>
      </c>
      <c r="U67" s="2355"/>
      <c r="V67" s="2355"/>
      <c r="W67" s="2355"/>
      <c r="X67" s="2355"/>
      <c r="Y67" s="2354">
        <f>Исх!Z39</f>
        <v>0</v>
      </c>
      <c r="Z67" s="2354"/>
      <c r="AA67" s="2354"/>
      <c r="AB67" s="2355" t="str">
        <f>Исх!AA39&amp;" / "&amp;Исх!Z39*Исх!N54</f>
        <v>0 / 0</v>
      </c>
      <c r="AC67" s="2355"/>
      <c r="AD67" s="2355"/>
      <c r="AE67" s="2354">
        <f>Y67+Исх!AA39</f>
        <v>0</v>
      </c>
      <c r="AF67" s="2354"/>
      <c r="AG67" s="2354"/>
      <c r="AH67" s="2354"/>
      <c r="AI67" s="2362">
        <f>Исх!I39*Исх!J39*Исх!K39*AE67/10000000</f>
        <v>0</v>
      </c>
      <c r="AJ67" s="2362"/>
      <c r="AK67" s="2363"/>
      <c r="AL67" s="1627">
        <f>Исх!AL39</f>
        <v>5</v>
      </c>
      <c r="AN67" s="637"/>
      <c r="AO67" s="1630"/>
      <c r="AP67" s="1630"/>
      <c r="AQ67" s="1630"/>
      <c r="AR67" s="1625"/>
      <c r="AS67" s="1625"/>
      <c r="AT67" s="1625"/>
      <c r="AU67" s="1625"/>
      <c r="AV67" s="1629"/>
      <c r="AW67" s="1625"/>
      <c r="AX67" s="1629"/>
      <c r="AY67" s="1628"/>
    </row>
    <row r="68" spans="1:51" s="12" customFormat="1" ht="42" hidden="1" customHeight="1" x14ac:dyDescent="0.2">
      <c r="A68" s="605">
        <f t="shared" si="0"/>
        <v>0</v>
      </c>
      <c r="B68" s="2356" t="str">
        <f>Исх!C40</f>
        <v xml:space="preserve"> </v>
      </c>
      <c r="C68" s="2357"/>
      <c r="D68" s="2357"/>
      <c r="E68" s="2357"/>
      <c r="F68" s="2357"/>
      <c r="G68" s="2357"/>
      <c r="H68" s="2357"/>
      <c r="I68" s="2357"/>
      <c r="J68" s="2357"/>
      <c r="K68" s="2357"/>
      <c r="L68" s="2357"/>
      <c r="M68" s="2357"/>
      <c r="N68" s="2358">
        <f>Исх!I40</f>
        <v>0</v>
      </c>
      <c r="O68" s="2359"/>
      <c r="P68" s="2359"/>
      <c r="Q68" s="2360"/>
      <c r="R68" s="2355">
        <f>Исх!L40</f>
        <v>0</v>
      </c>
      <c r="S68" s="2355"/>
      <c r="T68" s="2355" t="str">
        <f>Исх!J40&amp;" x "&amp;Исх!K40</f>
        <v xml:space="preserve"> x </v>
      </c>
      <c r="U68" s="2355"/>
      <c r="V68" s="2355"/>
      <c r="W68" s="2355"/>
      <c r="X68" s="2355"/>
      <c r="Y68" s="2354">
        <f>Исх!Z40</f>
        <v>0</v>
      </c>
      <c r="Z68" s="2354"/>
      <c r="AA68" s="2354"/>
      <c r="AB68" s="2355" t="str">
        <f>Исх!AA40&amp;" / "&amp;Исх!Z40*Исх!N55</f>
        <v>0 / 0</v>
      </c>
      <c r="AC68" s="2355"/>
      <c r="AD68" s="2355"/>
      <c r="AE68" s="2354">
        <f>Y68+Исх!AA40</f>
        <v>0</v>
      </c>
      <c r="AF68" s="2354"/>
      <c r="AG68" s="2354"/>
      <c r="AH68" s="2354"/>
      <c r="AI68" s="2362">
        <f>Исх!I40*Исх!J40*Исх!K40*AE68/10000000</f>
        <v>0</v>
      </c>
      <c r="AJ68" s="2362"/>
      <c r="AK68" s="2363"/>
      <c r="AL68" s="1627">
        <f>Исх!AL40</f>
        <v>5</v>
      </c>
      <c r="AN68" s="637"/>
      <c r="AO68" s="1630"/>
      <c r="AP68" s="1630"/>
      <c r="AQ68" s="1630"/>
      <c r="AR68" s="1625"/>
      <c r="AS68" s="1625"/>
      <c r="AT68" s="1625"/>
      <c r="AU68" s="1625"/>
      <c r="AV68" s="1629"/>
      <c r="AW68" s="1625"/>
      <c r="AX68" s="1629"/>
      <c r="AY68" s="1628"/>
    </row>
    <row r="69" spans="1:51" s="12" customFormat="1" ht="42" hidden="1" customHeight="1" x14ac:dyDescent="0.2">
      <c r="A69" s="605">
        <f t="shared" si="0"/>
        <v>0</v>
      </c>
      <c r="B69" s="2356" t="str">
        <f>Исх!C41</f>
        <v xml:space="preserve"> </v>
      </c>
      <c r="C69" s="2357"/>
      <c r="D69" s="2357"/>
      <c r="E69" s="2357"/>
      <c r="F69" s="2357"/>
      <c r="G69" s="2357"/>
      <c r="H69" s="2357"/>
      <c r="I69" s="2357"/>
      <c r="J69" s="2357"/>
      <c r="K69" s="2357"/>
      <c r="L69" s="2357"/>
      <c r="M69" s="2357"/>
      <c r="N69" s="2358">
        <f>Исх!I41</f>
        <v>0</v>
      </c>
      <c r="O69" s="2359"/>
      <c r="P69" s="2359"/>
      <c r="Q69" s="2360"/>
      <c r="R69" s="2355">
        <f>Исх!L41</f>
        <v>0</v>
      </c>
      <c r="S69" s="2355"/>
      <c r="T69" s="2355" t="str">
        <f>Исх!J41&amp;" x "&amp;Исх!K41</f>
        <v xml:space="preserve"> x </v>
      </c>
      <c r="U69" s="2355"/>
      <c r="V69" s="2355"/>
      <c r="W69" s="2355"/>
      <c r="X69" s="2355"/>
      <c r="Y69" s="2354">
        <f>Исх!Z41</f>
        <v>0</v>
      </c>
      <c r="Z69" s="2354"/>
      <c r="AA69" s="2354"/>
      <c r="AB69" s="2355" t="str">
        <f>Исх!AA41&amp;" / "&amp;Исх!Z41*Исх!N56</f>
        <v>0 / 0</v>
      </c>
      <c r="AC69" s="2355"/>
      <c r="AD69" s="2355"/>
      <c r="AE69" s="2354">
        <f>Y69+Исх!AA41</f>
        <v>0</v>
      </c>
      <c r="AF69" s="2354"/>
      <c r="AG69" s="2354"/>
      <c r="AH69" s="2354"/>
      <c r="AI69" s="2362">
        <f>Исх!I41*Исх!J41*Исх!K41*AE69/10000000</f>
        <v>0</v>
      </c>
      <c r="AJ69" s="2362"/>
      <c r="AK69" s="2363"/>
      <c r="AL69" s="1627">
        <f>Исх!AL41</f>
        <v>5</v>
      </c>
      <c r="AN69" s="637"/>
      <c r="AO69" s="1626"/>
      <c r="AP69" s="1626"/>
      <c r="AQ69" s="636"/>
      <c r="AR69" s="1625"/>
      <c r="AS69" s="1541"/>
      <c r="AT69" s="636"/>
      <c r="AU69" s="1625"/>
      <c r="AV69" s="1624"/>
      <c r="AW69" s="703"/>
      <c r="AX69" s="1624"/>
      <c r="AY69" s="1623"/>
    </row>
    <row r="70" spans="1:51" s="12" customFormat="1" ht="5.25" customHeight="1" x14ac:dyDescent="0.2">
      <c r="A70" s="606">
        <v>1</v>
      </c>
      <c r="B70" s="1622"/>
      <c r="C70" s="1588"/>
      <c r="D70" s="1588"/>
      <c r="E70" s="1588"/>
      <c r="F70" s="1588"/>
      <c r="G70" s="1621"/>
      <c r="H70" s="1621"/>
      <c r="I70" s="1621"/>
      <c r="J70" s="1588"/>
      <c r="K70" s="1588"/>
      <c r="L70" s="1588"/>
      <c r="M70" s="1588"/>
      <c r="N70" s="1588"/>
      <c r="O70" s="1588"/>
      <c r="P70" s="1588"/>
      <c r="Q70" s="1588"/>
      <c r="R70" s="1588"/>
      <c r="S70" s="1588"/>
      <c r="T70" s="1588"/>
      <c r="U70" s="1588"/>
      <c r="V70" s="1588"/>
      <c r="W70" s="1588"/>
      <c r="X70" s="1588"/>
      <c r="Y70" s="1588"/>
      <c r="Z70" s="1588"/>
      <c r="AA70" s="1588"/>
      <c r="AB70" s="1588"/>
      <c r="AC70" s="1588"/>
      <c r="AD70" s="1588"/>
      <c r="AE70" s="1621"/>
      <c r="AF70" s="1621"/>
      <c r="AG70" s="1621"/>
      <c r="AH70" s="1621"/>
      <c r="AI70" s="1620"/>
      <c r="AJ70" s="1620"/>
      <c r="AK70" s="1619"/>
      <c r="AL70" s="1542"/>
      <c r="AN70" s="637"/>
      <c r="AO70" s="704"/>
      <c r="AP70" s="704"/>
      <c r="AQ70" s="704"/>
      <c r="AR70" s="704"/>
      <c r="AS70" s="1541"/>
      <c r="AT70" s="704"/>
      <c r="AU70" s="704"/>
      <c r="AV70" s="704"/>
      <c r="AW70" s="704"/>
      <c r="AX70" s="704"/>
      <c r="AY70" s="704"/>
    </row>
    <row r="71" spans="1:51" s="12" customFormat="1" ht="19.5" customHeight="1" x14ac:dyDescent="0.2">
      <c r="A71" s="606">
        <v>1</v>
      </c>
      <c r="B71" s="1592" t="s">
        <v>596</v>
      </c>
      <c r="C71" s="1591"/>
      <c r="D71" s="1590"/>
      <c r="E71" s="2334"/>
      <c r="F71" s="2335"/>
      <c r="G71" s="2335"/>
      <c r="H71" s="2335"/>
      <c r="I71" s="2335"/>
      <c r="J71" s="2335"/>
      <c r="K71" s="2335"/>
      <c r="L71" s="2335"/>
      <c r="M71" s="2335"/>
      <c r="N71" s="2335"/>
      <c r="O71" s="2335"/>
      <c r="P71" s="2335"/>
      <c r="Q71" s="2335"/>
      <c r="R71" s="2335"/>
      <c r="S71" s="2335"/>
      <c r="T71" s="2335"/>
      <c r="U71" s="2335"/>
      <c r="V71" s="2335"/>
      <c r="W71" s="2335"/>
      <c r="X71" s="2335"/>
      <c r="Y71" s="2335"/>
      <c r="Z71" s="2335"/>
      <c r="AA71" s="2335"/>
      <c r="AB71" s="2335"/>
      <c r="AC71" s="2335"/>
      <c r="AD71" s="2335"/>
      <c r="AE71" s="2335"/>
      <c r="AF71" s="2335"/>
      <c r="AG71" s="2335"/>
      <c r="AH71" s="2335"/>
      <c r="AI71" s="2335"/>
      <c r="AJ71" s="2335"/>
      <c r="AK71" s="2336"/>
      <c r="AL71" s="1542"/>
      <c r="AN71" s="637"/>
      <c r="AO71" s="1618"/>
      <c r="AP71" s="1617"/>
      <c r="AQ71" s="1617"/>
      <c r="AR71" s="1617"/>
      <c r="AS71" s="1617"/>
      <c r="AT71" s="1617"/>
      <c r="AU71" s="1617"/>
      <c r="AV71" s="1617"/>
      <c r="AW71" s="1617"/>
      <c r="AX71" s="1617"/>
      <c r="AY71" s="1617"/>
    </row>
    <row r="72" spans="1:51" s="12" customFormat="1" ht="19.5" customHeight="1" x14ac:dyDescent="0.2">
      <c r="A72" s="606">
        <v>1</v>
      </c>
      <c r="B72" s="1589"/>
      <c r="C72" s="1588"/>
      <c r="D72" s="1587"/>
      <c r="E72" s="2337"/>
      <c r="F72" s="2338"/>
      <c r="G72" s="2338"/>
      <c r="H72" s="2338"/>
      <c r="I72" s="2338"/>
      <c r="J72" s="2338"/>
      <c r="K72" s="2338"/>
      <c r="L72" s="2338"/>
      <c r="M72" s="2338"/>
      <c r="N72" s="2338"/>
      <c r="O72" s="2338"/>
      <c r="P72" s="2338"/>
      <c r="Q72" s="2338"/>
      <c r="R72" s="2338"/>
      <c r="S72" s="2338"/>
      <c r="T72" s="2338"/>
      <c r="U72" s="2338"/>
      <c r="V72" s="2338"/>
      <c r="W72" s="2338"/>
      <c r="X72" s="2338"/>
      <c r="Y72" s="2338"/>
      <c r="Z72" s="2338"/>
      <c r="AA72" s="2338"/>
      <c r="AB72" s="2338"/>
      <c r="AC72" s="2338"/>
      <c r="AD72" s="2338"/>
      <c r="AE72" s="2338"/>
      <c r="AF72" s="2338"/>
      <c r="AG72" s="2338"/>
      <c r="AH72" s="2338"/>
      <c r="AI72" s="2338"/>
      <c r="AJ72" s="2338"/>
      <c r="AK72" s="2339"/>
      <c r="AL72" s="1542"/>
      <c r="AN72" s="637"/>
      <c r="AO72" s="637"/>
      <c r="AP72" s="1541"/>
      <c r="AQ72" s="1541"/>
      <c r="AR72" s="1541"/>
      <c r="AS72" s="1541"/>
      <c r="AT72" s="1541"/>
      <c r="AU72" s="1541"/>
      <c r="AV72" s="1541"/>
      <c r="AW72" s="1541"/>
      <c r="AX72" s="1541"/>
    </row>
    <row r="73" spans="1:51" s="12" customFormat="1" ht="19.5" customHeight="1" x14ac:dyDescent="0.2">
      <c r="A73" s="606">
        <v>1</v>
      </c>
      <c r="B73" s="1589"/>
      <c r="C73" s="1588"/>
      <c r="D73" s="1587"/>
      <c r="E73" s="2337"/>
      <c r="F73" s="2338"/>
      <c r="G73" s="2338"/>
      <c r="H73" s="2338"/>
      <c r="I73" s="2338"/>
      <c r="J73" s="2338"/>
      <c r="K73" s="2338"/>
      <c r="L73" s="2338"/>
      <c r="M73" s="2338"/>
      <c r="N73" s="2338"/>
      <c r="O73" s="2338"/>
      <c r="P73" s="2338"/>
      <c r="Q73" s="2338"/>
      <c r="R73" s="2338"/>
      <c r="S73" s="2338"/>
      <c r="T73" s="2338"/>
      <c r="U73" s="2338"/>
      <c r="V73" s="2338"/>
      <c r="W73" s="2338"/>
      <c r="X73" s="2338"/>
      <c r="Y73" s="2338"/>
      <c r="Z73" s="2338"/>
      <c r="AA73" s="2338"/>
      <c r="AB73" s="2338"/>
      <c r="AC73" s="2338"/>
      <c r="AD73" s="2338"/>
      <c r="AE73" s="2338"/>
      <c r="AF73" s="2338"/>
      <c r="AG73" s="2338"/>
      <c r="AH73" s="2338"/>
      <c r="AI73" s="2338"/>
      <c r="AJ73" s="2338"/>
      <c r="AK73" s="2339"/>
      <c r="AL73" s="1616"/>
      <c r="AN73" s="637"/>
      <c r="AO73" s="637"/>
      <c r="AP73" s="1541"/>
      <c r="AQ73" s="1541"/>
      <c r="AR73" s="1541"/>
      <c r="AS73" s="1541"/>
      <c r="AT73" s="1541"/>
      <c r="AU73" s="1541"/>
      <c r="AV73" s="1541"/>
      <c r="AW73" s="1541"/>
      <c r="AX73" s="1541"/>
    </row>
    <row r="74" spans="1:51" s="12" customFormat="1" ht="19.5" customHeight="1" x14ac:dyDescent="0.2">
      <c r="A74" s="606">
        <v>1</v>
      </c>
      <c r="B74" s="1589"/>
      <c r="C74" s="1588"/>
      <c r="D74" s="1587"/>
      <c r="E74" s="2337"/>
      <c r="F74" s="2338"/>
      <c r="G74" s="2338"/>
      <c r="H74" s="2338"/>
      <c r="I74" s="2338"/>
      <c r="J74" s="2338"/>
      <c r="K74" s="2338"/>
      <c r="L74" s="2338"/>
      <c r="M74" s="2338"/>
      <c r="N74" s="2338"/>
      <c r="O74" s="2338"/>
      <c r="P74" s="2338"/>
      <c r="Q74" s="2338"/>
      <c r="R74" s="2338"/>
      <c r="S74" s="2338"/>
      <c r="T74" s="2338"/>
      <c r="U74" s="2338"/>
      <c r="V74" s="2338"/>
      <c r="W74" s="2338"/>
      <c r="X74" s="2338"/>
      <c r="Y74" s="2338"/>
      <c r="Z74" s="2338"/>
      <c r="AA74" s="2338"/>
      <c r="AB74" s="2338"/>
      <c r="AC74" s="2338"/>
      <c r="AD74" s="2338"/>
      <c r="AE74" s="2338"/>
      <c r="AF74" s="2338"/>
      <c r="AG74" s="2338"/>
      <c r="AH74" s="2338"/>
      <c r="AI74" s="2338"/>
      <c r="AJ74" s="2338"/>
      <c r="AK74" s="2339"/>
      <c r="AL74" s="1542"/>
      <c r="AN74" s="1615" t="s">
        <v>1212</v>
      </c>
      <c r="AO74" s="1615" t="s">
        <v>1211</v>
      </c>
      <c r="AP74" s="1541"/>
      <c r="AQ74" s="1541"/>
      <c r="AR74" s="1541"/>
      <c r="AS74" s="1541"/>
      <c r="AT74" s="1541"/>
      <c r="AU74" s="1541"/>
      <c r="AV74" s="1541"/>
      <c r="AW74" s="1541"/>
      <c r="AX74" s="1541"/>
    </row>
    <row r="75" spans="1:51" s="12" customFormat="1" ht="19.5" customHeight="1" thickBot="1" x14ac:dyDescent="0.25">
      <c r="A75" s="606">
        <v>1</v>
      </c>
      <c r="B75" s="1589"/>
      <c r="C75" s="1588"/>
      <c r="D75" s="1587"/>
      <c r="E75" s="2331"/>
      <c r="F75" s="2332"/>
      <c r="G75" s="2332"/>
      <c r="H75" s="2332"/>
      <c r="I75" s="2332"/>
      <c r="J75" s="2332"/>
      <c r="K75" s="2332"/>
      <c r="L75" s="2332"/>
      <c r="M75" s="2332"/>
      <c r="N75" s="2332"/>
      <c r="O75" s="2332"/>
      <c r="P75" s="2332"/>
      <c r="Q75" s="2332"/>
      <c r="R75" s="2332"/>
      <c r="S75" s="2332"/>
      <c r="T75" s="2332"/>
      <c r="U75" s="2332"/>
      <c r="V75" s="2332"/>
      <c r="W75" s="2332"/>
      <c r="X75" s="2332"/>
      <c r="Y75" s="2332"/>
      <c r="Z75" s="2332"/>
      <c r="AA75" s="2332"/>
      <c r="AB75" s="2332"/>
      <c r="AC75" s="2332"/>
      <c r="AD75" s="2332"/>
      <c r="AE75" s="2332"/>
      <c r="AF75" s="2332"/>
      <c r="AG75" s="2332"/>
      <c r="AH75" s="2332"/>
      <c r="AI75" s="2332"/>
      <c r="AJ75" s="2332"/>
      <c r="AK75" s="2333"/>
      <c r="AL75" s="1614" t="s">
        <v>1062</v>
      </c>
      <c r="AM75" s="1613" t="s">
        <v>1210</v>
      </c>
      <c r="AN75" s="1612" t="s">
        <v>1209</v>
      </c>
      <c r="AO75" s="1612" t="s">
        <v>1209</v>
      </c>
      <c r="AP75" s="1541"/>
      <c r="AQ75" s="1541"/>
      <c r="AR75" s="1541"/>
      <c r="AS75" s="1541"/>
      <c r="AT75" s="1541"/>
      <c r="AU75" s="1541"/>
      <c r="AV75" s="1541"/>
      <c r="AW75" s="1541"/>
      <c r="AX75" s="1541"/>
    </row>
    <row r="76" spans="1:51" s="12" customFormat="1" ht="30.75" customHeight="1" x14ac:dyDescent="0.2">
      <c r="A76" s="606">
        <v>1</v>
      </c>
      <c r="B76" s="2361" t="s">
        <v>430</v>
      </c>
      <c r="C76" s="2353"/>
      <c r="D76" s="2353"/>
      <c r="E76" s="2353" t="s">
        <v>48</v>
      </c>
      <c r="F76" s="2353"/>
      <c r="G76" s="2353"/>
      <c r="H76" s="2353"/>
      <c r="I76" s="2353" t="s">
        <v>1208</v>
      </c>
      <c r="J76" s="2353"/>
      <c r="K76" s="2353"/>
      <c r="L76" s="2353"/>
      <c r="M76" s="2345" t="s">
        <v>590</v>
      </c>
      <c r="N76" s="2345"/>
      <c r="O76" s="2345"/>
      <c r="P76" s="2345"/>
      <c r="Q76" s="2345" t="s">
        <v>265</v>
      </c>
      <c r="R76" s="2345"/>
      <c r="S76" s="2345"/>
      <c r="T76" s="2345"/>
      <c r="U76" s="2345" t="s">
        <v>52</v>
      </c>
      <c r="V76" s="2345"/>
      <c r="W76" s="2345"/>
      <c r="X76" s="2345"/>
      <c r="Y76" s="2347"/>
      <c r="Z76" s="2347"/>
      <c r="AA76" s="2347"/>
      <c r="AB76" s="2347"/>
      <c r="AC76" s="2347"/>
      <c r="AD76" s="2347"/>
      <c r="AE76" s="2347"/>
      <c r="AF76" s="2347"/>
      <c r="AG76" s="2347"/>
      <c r="AH76" s="2347"/>
      <c r="AI76" s="2347"/>
      <c r="AJ76" s="2347"/>
      <c r="AK76" s="2348"/>
      <c r="AL76" s="1542"/>
      <c r="AM76" s="1552"/>
      <c r="AN76" s="1542"/>
      <c r="AO76" s="637"/>
      <c r="AP76" s="1541"/>
      <c r="AQ76" s="1541"/>
      <c r="AR76" s="1541"/>
      <c r="AS76" s="1541"/>
      <c r="AT76" s="1541"/>
      <c r="AU76" s="1541"/>
      <c r="AV76" s="1541"/>
      <c r="AW76" s="1541"/>
      <c r="AX76" s="1541"/>
    </row>
    <row r="77" spans="1:51" s="12" customFormat="1" ht="19.5" hidden="1" customHeight="1" x14ac:dyDescent="0.2">
      <c r="A77" s="606">
        <v>0</v>
      </c>
      <c r="B77" s="2364" t="s">
        <v>399</v>
      </c>
      <c r="C77" s="2344"/>
      <c r="D77" s="2344"/>
      <c r="E77" s="2344" t="str">
        <f>Заказ!C49</f>
        <v>СityLine</v>
      </c>
      <c r="F77" s="2344"/>
      <c r="G77" s="2344"/>
      <c r="H77" s="2344"/>
      <c r="I77" s="2344" t="str">
        <f>Заказ!E49</f>
        <v>4+4</v>
      </c>
      <c r="J77" s="2344"/>
      <c r="K77" s="2344"/>
      <c r="L77" s="2344"/>
      <c r="M77" s="2344">
        <f>Заказ!F49</f>
        <v>0</v>
      </c>
      <c r="N77" s="2344"/>
      <c r="O77" s="2344"/>
      <c r="P77" s="2344"/>
      <c r="Q77" s="2346">
        <f>Заказ!G49</f>
        <v>400000</v>
      </c>
      <c r="R77" s="2344"/>
      <c r="S77" s="2344"/>
      <c r="T77" s="2344"/>
      <c r="U77" s="2346">
        <f>Заказ!I49</f>
        <v>25000</v>
      </c>
      <c r="V77" s="2344"/>
      <c r="W77" s="2344"/>
      <c r="X77" s="2344"/>
      <c r="Y77" s="2349"/>
      <c r="Z77" s="2349"/>
      <c r="AA77" s="2349"/>
      <c r="AB77" s="2349"/>
      <c r="AC77" s="2349"/>
      <c r="AD77" s="2349"/>
      <c r="AE77" s="2349"/>
      <c r="AF77" s="2349"/>
      <c r="AG77" s="2349"/>
      <c r="AH77" s="2349"/>
      <c r="AI77" s="2349"/>
      <c r="AJ77" s="2349"/>
      <c r="AK77" s="2350"/>
      <c r="AL77" s="1611">
        <f>Заказ!M49</f>
        <v>2</v>
      </c>
      <c r="AM77" s="1610">
        <f>SUMIFS(Исх!$S$30:$S$41,Исх!$AN$30:$AN$41,Заказ_Обложка!$J$18,Исх!$AM$30:$AM$41,Заказ_Обложка!$AL$16)</f>
        <v>0</v>
      </c>
      <c r="AN77" s="1609"/>
      <c r="AO77" s="1609"/>
      <c r="AP77" s="1541"/>
      <c r="AQ77" s="1541"/>
      <c r="AR77" s="1541"/>
      <c r="AS77" s="1541"/>
      <c r="AT77" s="1541"/>
      <c r="AU77" s="1541"/>
      <c r="AV77" s="1541"/>
      <c r="AW77" s="1541"/>
      <c r="AX77" s="1541"/>
    </row>
    <row r="78" spans="1:51" s="12" customFormat="1" ht="19.5" hidden="1" customHeight="1" x14ac:dyDescent="0.2">
      <c r="A78" s="606">
        <v>0</v>
      </c>
      <c r="B78" s="2364" t="s">
        <v>400</v>
      </c>
      <c r="C78" s="2344"/>
      <c r="D78" s="2344"/>
      <c r="E78" s="2344">
        <f>Заказ!C50</f>
        <v>0</v>
      </c>
      <c r="F78" s="2344"/>
      <c r="G78" s="2344"/>
      <c r="H78" s="2344"/>
      <c r="I78" s="2344">
        <f>Заказ!E50</f>
        <v>0</v>
      </c>
      <c r="J78" s="2344"/>
      <c r="K78" s="2344"/>
      <c r="L78" s="2344"/>
      <c r="M78" s="2344">
        <f>Заказ!F50</f>
        <v>0</v>
      </c>
      <c r="N78" s="2344"/>
      <c r="O78" s="2344"/>
      <c r="P78" s="2344"/>
      <c r="Q78" s="2346">
        <f>Заказ!G50</f>
        <v>0</v>
      </c>
      <c r="R78" s="2344"/>
      <c r="S78" s="2344"/>
      <c r="T78" s="2344"/>
      <c r="U78" s="2346">
        <f>Заказ!I50</f>
        <v>0</v>
      </c>
      <c r="V78" s="2344"/>
      <c r="W78" s="2344"/>
      <c r="X78" s="2344"/>
      <c r="Y78" s="2349"/>
      <c r="Z78" s="2349"/>
      <c r="AA78" s="2349"/>
      <c r="AB78" s="2349"/>
      <c r="AC78" s="2349"/>
      <c r="AD78" s="2349"/>
      <c r="AE78" s="2349"/>
      <c r="AF78" s="2349"/>
      <c r="AG78" s="2349"/>
      <c r="AH78" s="2349"/>
      <c r="AI78" s="2349"/>
      <c r="AJ78" s="2349"/>
      <c r="AK78" s="2350"/>
      <c r="AL78" s="1542"/>
      <c r="AM78" s="1552"/>
      <c r="AN78" s="1542"/>
      <c r="AO78" s="637"/>
      <c r="AP78" s="1541"/>
      <c r="AQ78" s="1541"/>
      <c r="AR78" s="1541"/>
      <c r="AS78" s="1541"/>
      <c r="AT78" s="1541"/>
      <c r="AU78" s="1541"/>
      <c r="AV78" s="1541"/>
      <c r="AW78" s="1541"/>
      <c r="AX78" s="1541"/>
    </row>
    <row r="79" spans="1:51" s="12" customFormat="1" ht="19.5" customHeight="1" x14ac:dyDescent="0.2">
      <c r="A79" s="606">
        <v>1</v>
      </c>
      <c r="B79" s="2364" t="s">
        <v>401</v>
      </c>
      <c r="C79" s="2344"/>
      <c r="D79" s="2344"/>
      <c r="E79" s="2344">
        <f>Заказ!C51</f>
        <v>0</v>
      </c>
      <c r="F79" s="2344"/>
      <c r="G79" s="2344"/>
      <c r="H79" s="2344"/>
      <c r="I79" s="2344">
        <f>Заказ!E51</f>
        <v>0</v>
      </c>
      <c r="J79" s="2344"/>
      <c r="K79" s="2344"/>
      <c r="L79" s="2344"/>
      <c r="M79" s="2344">
        <f>Заказ!F51</f>
        <v>0</v>
      </c>
      <c r="N79" s="2344"/>
      <c r="O79" s="2344"/>
      <c r="P79" s="2344"/>
      <c r="Q79" s="2346">
        <f>Заказ!G51</f>
        <v>0</v>
      </c>
      <c r="R79" s="2344"/>
      <c r="S79" s="2344"/>
      <c r="T79" s="2344"/>
      <c r="U79" s="2346">
        <f>Заказ!I51</f>
        <v>0</v>
      </c>
      <c r="V79" s="2344"/>
      <c r="W79" s="2344"/>
      <c r="X79" s="2344"/>
      <c r="Y79" s="2349"/>
      <c r="Z79" s="2349"/>
      <c r="AA79" s="2349"/>
      <c r="AB79" s="2349"/>
      <c r="AC79" s="2349"/>
      <c r="AD79" s="2349"/>
      <c r="AE79" s="2349"/>
      <c r="AF79" s="2349"/>
      <c r="AG79" s="2349"/>
      <c r="AH79" s="2349"/>
      <c r="AI79" s="2349"/>
      <c r="AJ79" s="2349"/>
      <c r="AK79" s="2350"/>
      <c r="AL79" s="1609">
        <f>Заказ!M51</f>
        <v>0</v>
      </c>
      <c r="AM79" s="1610">
        <f>SUMIFS(Исх!$S$30:$S$41,Исх!$AN$30:$AN$41,Заказ_Обложка!$J$18,Исх!$AM$30:$AM$41,Заказ_Обложка!$AL$18)</f>
        <v>0</v>
      </c>
      <c r="AN79" s="1609"/>
      <c r="AO79" s="1609"/>
      <c r="AP79" s="1541"/>
      <c r="AQ79" s="1541"/>
      <c r="AR79" s="1541"/>
      <c r="AS79" s="1541"/>
      <c r="AT79" s="1541"/>
      <c r="AU79" s="1541"/>
      <c r="AV79" s="1541"/>
      <c r="AW79" s="1541"/>
      <c r="AX79" s="1541"/>
    </row>
    <row r="80" spans="1:51" s="12" customFormat="1" ht="19.5" hidden="1" customHeight="1" x14ac:dyDescent="0.2">
      <c r="A80" s="606">
        <v>0</v>
      </c>
      <c r="B80" s="2364" t="s">
        <v>402</v>
      </c>
      <c r="C80" s="2344"/>
      <c r="D80" s="2344"/>
      <c r="E80" s="2344">
        <f>Заказ!C52</f>
        <v>0</v>
      </c>
      <c r="F80" s="2344"/>
      <c r="G80" s="2344"/>
      <c r="H80" s="2344"/>
      <c r="I80" s="2344">
        <f>Заказ!E52</f>
        <v>0</v>
      </c>
      <c r="J80" s="2344"/>
      <c r="K80" s="2344"/>
      <c r="L80" s="2344"/>
      <c r="M80" s="2344">
        <f>Заказ!F52</f>
        <v>0</v>
      </c>
      <c r="N80" s="2344"/>
      <c r="O80" s="2344"/>
      <c r="P80" s="2344"/>
      <c r="Q80" s="2346">
        <f>Заказ!G52</f>
        <v>0</v>
      </c>
      <c r="R80" s="2344"/>
      <c r="S80" s="2344"/>
      <c r="T80" s="2344"/>
      <c r="U80" s="2346">
        <f>Заказ!I52</f>
        <v>0</v>
      </c>
      <c r="V80" s="2344"/>
      <c r="W80" s="2344"/>
      <c r="X80" s="2344"/>
      <c r="Y80" s="2351"/>
      <c r="Z80" s="2351"/>
      <c r="AA80" s="2351"/>
      <c r="AB80" s="2351"/>
      <c r="AC80" s="2351"/>
      <c r="AD80" s="2351"/>
      <c r="AE80" s="2351"/>
      <c r="AF80" s="2351"/>
      <c r="AG80" s="2351"/>
      <c r="AH80" s="2351"/>
      <c r="AI80" s="2351"/>
      <c r="AJ80" s="2351"/>
      <c r="AK80" s="2352"/>
      <c r="AL80" s="1542"/>
      <c r="AM80" s="1552"/>
      <c r="AN80" s="1542"/>
      <c r="AO80" s="637"/>
      <c r="AP80" s="1541"/>
      <c r="AQ80" s="1541"/>
      <c r="AR80" s="1541"/>
      <c r="AS80" s="1541"/>
      <c r="AT80" s="1541"/>
      <c r="AU80" s="1541"/>
      <c r="AV80" s="1541"/>
      <c r="AW80" s="1541"/>
      <c r="AX80" s="1541"/>
    </row>
    <row r="81" spans="1:50" s="12" customFormat="1" ht="6.75" customHeight="1" thickBot="1" x14ac:dyDescent="0.25">
      <c r="A81" s="606">
        <v>1</v>
      </c>
      <c r="B81" s="1608"/>
      <c r="C81" s="1607"/>
      <c r="D81" s="1607"/>
      <c r="E81" s="1607"/>
      <c r="F81" s="1607"/>
      <c r="G81" s="1607"/>
      <c r="H81" s="1607"/>
      <c r="I81" s="1607"/>
      <c r="J81" s="1607"/>
      <c r="K81" s="1607"/>
      <c r="L81" s="1607"/>
      <c r="M81" s="1607"/>
      <c r="N81" s="1607"/>
      <c r="O81" s="1607"/>
      <c r="P81" s="1607"/>
      <c r="Q81" s="1607"/>
      <c r="R81" s="1607"/>
      <c r="S81" s="1607"/>
      <c r="T81" s="1607"/>
      <c r="U81" s="1607"/>
      <c r="V81" s="1607"/>
      <c r="W81" s="1607"/>
      <c r="X81" s="1607"/>
      <c r="Y81" s="1607"/>
      <c r="Z81" s="1607"/>
      <c r="AA81" s="1607"/>
      <c r="AB81" s="1607"/>
      <c r="AC81" s="1607"/>
      <c r="AD81" s="1607"/>
      <c r="AE81" s="1607"/>
      <c r="AF81" s="1607"/>
      <c r="AG81" s="1607"/>
      <c r="AH81" s="1607"/>
      <c r="AI81" s="1607"/>
      <c r="AJ81" s="1607"/>
      <c r="AK81" s="1606"/>
      <c r="AL81" s="1542"/>
      <c r="AN81" s="637"/>
      <c r="AO81" s="637"/>
      <c r="AP81" s="1541"/>
      <c r="AQ81" s="1541"/>
      <c r="AR81" s="1541"/>
      <c r="AS81" s="1541"/>
      <c r="AT81" s="1541"/>
      <c r="AU81" s="1541"/>
      <c r="AV81" s="1541"/>
      <c r="AW81" s="1541"/>
      <c r="AX81" s="1541"/>
    </row>
    <row r="82" spans="1:50" s="12" customFormat="1" ht="15" customHeight="1" thickBot="1" x14ac:dyDescent="0.25">
      <c r="A82" s="606">
        <v>1</v>
      </c>
      <c r="B82" s="1605"/>
      <c r="C82" s="1604"/>
      <c r="D82" s="1604"/>
      <c r="E82" s="1604"/>
      <c r="F82" s="1604"/>
      <c r="G82" s="1604"/>
      <c r="H82" s="1604"/>
      <c r="I82" s="1604"/>
      <c r="J82" s="1604"/>
      <c r="K82" s="1604"/>
      <c r="L82" s="1604"/>
      <c r="M82" s="1604"/>
      <c r="N82" s="1604"/>
      <c r="O82" s="1604"/>
      <c r="P82" s="1604"/>
      <c r="Q82" s="1604"/>
      <c r="R82" s="1604"/>
      <c r="S82" s="1604"/>
      <c r="T82" s="1604"/>
      <c r="U82" s="1604"/>
      <c r="V82" s="1604"/>
      <c r="W82" s="1604"/>
      <c r="X82" s="1604"/>
      <c r="Y82" s="1604"/>
      <c r="Z82" s="1604"/>
      <c r="AA82" s="1604"/>
      <c r="AB82" s="1604"/>
      <c r="AC82" s="1604"/>
      <c r="AD82" s="1604"/>
      <c r="AE82" s="1604"/>
      <c r="AF82" s="1604"/>
      <c r="AG82" s="1604"/>
      <c r="AH82" s="1604"/>
      <c r="AI82" s="1604"/>
      <c r="AJ82" s="1604"/>
      <c r="AK82" s="1603"/>
      <c r="AL82" s="1542"/>
      <c r="AN82" s="637"/>
      <c r="AO82" s="637"/>
      <c r="AP82" s="1541"/>
      <c r="AQ82" s="1541"/>
      <c r="AR82" s="1541"/>
      <c r="AS82" s="1541"/>
      <c r="AT82" s="1541"/>
      <c r="AU82" s="1541"/>
      <c r="AV82" s="1541"/>
      <c r="AW82" s="1541"/>
      <c r="AX82" s="1541"/>
    </row>
    <row r="83" spans="1:50" s="12" customFormat="1" ht="30" customHeight="1" x14ac:dyDescent="0.2">
      <c r="A83" s="606">
        <v>1</v>
      </c>
      <c r="B83" s="1602" t="s">
        <v>1207</v>
      </c>
      <c r="C83" s="1596"/>
      <c r="D83" s="1596"/>
      <c r="E83" s="1596"/>
      <c r="F83" s="1596"/>
      <c r="G83" s="1601"/>
      <c r="H83" s="1600"/>
      <c r="I83" s="1599"/>
      <c r="J83" s="1596"/>
      <c r="K83" s="1596"/>
      <c r="L83" s="1596"/>
      <c r="M83" s="1596"/>
      <c r="N83" s="1596"/>
      <c r="O83" s="1596"/>
      <c r="P83" s="2340" t="s">
        <v>1206</v>
      </c>
      <c r="Q83" s="2341"/>
      <c r="R83" s="2341"/>
      <c r="S83" s="2341"/>
      <c r="T83" s="2341"/>
      <c r="U83" s="2342">
        <f>Заказ!C56</f>
        <v>0</v>
      </c>
      <c r="V83" s="2343"/>
      <c r="W83" s="2343"/>
      <c r="X83" s="2343"/>
      <c r="Y83" s="2343"/>
      <c r="Z83" s="2343"/>
      <c r="AA83" s="2343"/>
      <c r="AB83" s="1598"/>
      <c r="AC83" s="1597"/>
      <c r="AD83" s="1597"/>
      <c r="AE83" s="1596"/>
      <c r="AF83" s="1595"/>
      <c r="AG83" s="1595"/>
      <c r="AH83" s="1595"/>
      <c r="AI83" s="1595"/>
      <c r="AJ83" s="1594"/>
      <c r="AK83" s="1593"/>
      <c r="AL83" s="1542"/>
      <c r="AN83" s="637"/>
      <c r="AO83" s="637"/>
      <c r="AP83" s="1541"/>
      <c r="AQ83" s="1541"/>
      <c r="AR83" s="1541"/>
      <c r="AS83" s="1541"/>
      <c r="AT83" s="1541"/>
      <c r="AU83" s="1541"/>
      <c r="AV83" s="1541"/>
      <c r="AW83" s="1541"/>
      <c r="AX83" s="1541"/>
    </row>
    <row r="84" spans="1:50" s="12" customFormat="1" ht="19.5" customHeight="1" x14ac:dyDescent="0.2">
      <c r="A84" s="606">
        <v>1</v>
      </c>
      <c r="B84" s="1592" t="s">
        <v>596</v>
      </c>
      <c r="C84" s="1591"/>
      <c r="D84" s="1590"/>
      <c r="E84" s="2334"/>
      <c r="F84" s="2335"/>
      <c r="G84" s="2335"/>
      <c r="H84" s="2335"/>
      <c r="I84" s="2335"/>
      <c r="J84" s="2335"/>
      <c r="K84" s="2335"/>
      <c r="L84" s="2335"/>
      <c r="M84" s="2335"/>
      <c r="N84" s="2335"/>
      <c r="O84" s="2335"/>
      <c r="P84" s="2335"/>
      <c r="Q84" s="2335"/>
      <c r="R84" s="2335"/>
      <c r="S84" s="2335"/>
      <c r="T84" s="2335"/>
      <c r="U84" s="2335"/>
      <c r="V84" s="2335"/>
      <c r="W84" s="2335"/>
      <c r="X84" s="2335"/>
      <c r="Y84" s="2335"/>
      <c r="Z84" s="2335"/>
      <c r="AA84" s="2335"/>
      <c r="AB84" s="2335"/>
      <c r="AC84" s="2335"/>
      <c r="AD84" s="2335"/>
      <c r="AE84" s="2335"/>
      <c r="AF84" s="2335"/>
      <c r="AG84" s="2335"/>
      <c r="AH84" s="2335"/>
      <c r="AI84" s="2335"/>
      <c r="AJ84" s="2335"/>
      <c r="AK84" s="2336"/>
      <c r="AL84" s="1542"/>
      <c r="AN84" s="637"/>
      <c r="AO84" s="637"/>
      <c r="AP84" s="1541"/>
      <c r="AQ84" s="1541"/>
      <c r="AR84" s="1541"/>
      <c r="AS84" s="1541"/>
      <c r="AT84" s="1541"/>
      <c r="AU84" s="1541"/>
      <c r="AV84" s="1541"/>
      <c r="AW84" s="1541"/>
      <c r="AX84" s="1541"/>
    </row>
    <row r="85" spans="1:50" s="12" customFormat="1" ht="19.5" customHeight="1" x14ac:dyDescent="0.2">
      <c r="A85" s="606">
        <v>1</v>
      </c>
      <c r="B85" s="1589"/>
      <c r="C85" s="1588"/>
      <c r="D85" s="1587"/>
      <c r="E85" s="2337"/>
      <c r="F85" s="2338"/>
      <c r="G85" s="2338"/>
      <c r="H85" s="2338"/>
      <c r="I85" s="2338"/>
      <c r="J85" s="2338"/>
      <c r="K85" s="2338"/>
      <c r="L85" s="2338"/>
      <c r="M85" s="2338"/>
      <c r="N85" s="2338"/>
      <c r="O85" s="2338"/>
      <c r="P85" s="2338"/>
      <c r="Q85" s="2338"/>
      <c r="R85" s="2338"/>
      <c r="S85" s="2338"/>
      <c r="T85" s="2338"/>
      <c r="U85" s="2338"/>
      <c r="V85" s="2338"/>
      <c r="W85" s="2338"/>
      <c r="X85" s="2338"/>
      <c r="Y85" s="2338"/>
      <c r="Z85" s="2338"/>
      <c r="AA85" s="2338"/>
      <c r="AB85" s="2338"/>
      <c r="AC85" s="2338"/>
      <c r="AD85" s="2338"/>
      <c r="AE85" s="2338"/>
      <c r="AF85" s="2338"/>
      <c r="AG85" s="2338"/>
      <c r="AH85" s="2338"/>
      <c r="AI85" s="2338"/>
      <c r="AJ85" s="2338"/>
      <c r="AK85" s="2339"/>
      <c r="AL85" s="1542"/>
      <c r="AN85" s="637"/>
      <c r="AO85" s="637"/>
      <c r="AP85" s="1541"/>
      <c r="AQ85" s="1541"/>
      <c r="AR85" s="1541"/>
      <c r="AS85" s="1541"/>
      <c r="AT85" s="1541"/>
      <c r="AU85" s="1541"/>
      <c r="AV85" s="1541"/>
      <c r="AW85" s="1541"/>
      <c r="AX85" s="1541"/>
    </row>
    <row r="86" spans="1:50" s="12" customFormat="1" ht="19.5" customHeight="1" x14ac:dyDescent="0.2">
      <c r="A86" s="606">
        <v>1</v>
      </c>
      <c r="B86" s="1589"/>
      <c r="C86" s="1588"/>
      <c r="D86" s="1587"/>
      <c r="E86" s="2337"/>
      <c r="F86" s="2338"/>
      <c r="G86" s="2338"/>
      <c r="H86" s="2338"/>
      <c r="I86" s="2338"/>
      <c r="J86" s="2338"/>
      <c r="K86" s="2338"/>
      <c r="L86" s="2338"/>
      <c r="M86" s="2338"/>
      <c r="N86" s="2338"/>
      <c r="O86" s="2338"/>
      <c r="P86" s="2338"/>
      <c r="Q86" s="2338"/>
      <c r="R86" s="2338"/>
      <c r="S86" s="2338"/>
      <c r="T86" s="2338"/>
      <c r="U86" s="2338"/>
      <c r="V86" s="2338"/>
      <c r="W86" s="2338"/>
      <c r="X86" s="2338"/>
      <c r="Y86" s="2338"/>
      <c r="Z86" s="2338"/>
      <c r="AA86" s="2338"/>
      <c r="AB86" s="2338"/>
      <c r="AC86" s="2338"/>
      <c r="AD86" s="2338"/>
      <c r="AE86" s="2338"/>
      <c r="AF86" s="2338"/>
      <c r="AG86" s="2338"/>
      <c r="AH86" s="2338"/>
      <c r="AI86" s="2338"/>
      <c r="AJ86" s="2338"/>
      <c r="AK86" s="2339"/>
      <c r="AL86" s="1542"/>
      <c r="AN86" s="637"/>
      <c r="AO86" s="637"/>
      <c r="AP86" s="1541"/>
      <c r="AQ86" s="1541"/>
      <c r="AR86" s="1541"/>
      <c r="AS86" s="1541"/>
      <c r="AT86" s="1541"/>
      <c r="AU86" s="1541"/>
      <c r="AV86" s="1541"/>
      <c r="AW86" s="1541"/>
      <c r="AX86" s="1541"/>
    </row>
    <row r="87" spans="1:50" s="12" customFormat="1" ht="19.5" customHeight="1" x14ac:dyDescent="0.2">
      <c r="A87" s="606">
        <v>1</v>
      </c>
      <c r="B87" s="1589"/>
      <c r="C87" s="1588"/>
      <c r="D87" s="1587"/>
      <c r="E87" s="2337"/>
      <c r="F87" s="2338"/>
      <c r="G87" s="2338"/>
      <c r="H87" s="2338"/>
      <c r="I87" s="2338"/>
      <c r="J87" s="2338"/>
      <c r="K87" s="2338"/>
      <c r="L87" s="2338"/>
      <c r="M87" s="2338"/>
      <c r="N87" s="2338"/>
      <c r="O87" s="2338"/>
      <c r="P87" s="2338"/>
      <c r="Q87" s="2338"/>
      <c r="R87" s="2338"/>
      <c r="S87" s="2338"/>
      <c r="T87" s="2338"/>
      <c r="U87" s="2338"/>
      <c r="V87" s="2338"/>
      <c r="W87" s="2338"/>
      <c r="X87" s="2338"/>
      <c r="Y87" s="2338"/>
      <c r="Z87" s="2338"/>
      <c r="AA87" s="2338"/>
      <c r="AB87" s="2338"/>
      <c r="AC87" s="2338"/>
      <c r="AD87" s="2338"/>
      <c r="AE87" s="2338"/>
      <c r="AF87" s="2338"/>
      <c r="AG87" s="2338"/>
      <c r="AH87" s="2338"/>
      <c r="AI87" s="2338"/>
      <c r="AJ87" s="2338"/>
      <c r="AK87" s="2339"/>
      <c r="AL87" s="1542"/>
      <c r="AN87" s="637"/>
      <c r="AO87" s="637"/>
      <c r="AP87" s="1541"/>
      <c r="AQ87" s="1541"/>
      <c r="AR87" s="1541"/>
      <c r="AS87" s="1541"/>
      <c r="AT87" s="1541"/>
      <c r="AU87" s="1541"/>
      <c r="AV87" s="1541"/>
      <c r="AW87" s="1541"/>
      <c r="AX87" s="1541"/>
    </row>
    <row r="88" spans="1:50" s="12" customFormat="1" ht="19.5" customHeight="1" thickBot="1" x14ac:dyDescent="0.25">
      <c r="A88" s="606">
        <v>1</v>
      </c>
      <c r="B88" s="1586"/>
      <c r="C88" s="1585"/>
      <c r="D88" s="1584"/>
      <c r="E88" s="2331"/>
      <c r="F88" s="2332"/>
      <c r="G88" s="2332"/>
      <c r="H88" s="2332"/>
      <c r="I88" s="2332"/>
      <c r="J88" s="2332"/>
      <c r="K88" s="2332"/>
      <c r="L88" s="2332"/>
      <c r="M88" s="2332"/>
      <c r="N88" s="2332"/>
      <c r="O88" s="2332"/>
      <c r="P88" s="2332"/>
      <c r="Q88" s="2332"/>
      <c r="R88" s="2332"/>
      <c r="S88" s="2332"/>
      <c r="T88" s="2332"/>
      <c r="U88" s="2332"/>
      <c r="V88" s="2332"/>
      <c r="W88" s="2332"/>
      <c r="X88" s="2332"/>
      <c r="Y88" s="2332"/>
      <c r="Z88" s="2332"/>
      <c r="AA88" s="2332"/>
      <c r="AB88" s="2332"/>
      <c r="AC88" s="2332"/>
      <c r="AD88" s="2332"/>
      <c r="AE88" s="2332"/>
      <c r="AF88" s="2332"/>
      <c r="AG88" s="2332"/>
      <c r="AH88" s="2332"/>
      <c r="AI88" s="2332"/>
      <c r="AJ88" s="2332"/>
      <c r="AK88" s="2333"/>
      <c r="AL88" s="1542"/>
      <c r="AN88" s="637"/>
      <c r="AO88" s="637"/>
      <c r="AP88" s="1541"/>
      <c r="AQ88" s="1541"/>
      <c r="AR88" s="1541"/>
      <c r="AS88" s="1541"/>
      <c r="AT88" s="1541"/>
      <c r="AU88" s="1541"/>
      <c r="AV88" s="1541"/>
      <c r="AW88" s="1541"/>
      <c r="AX88" s="1541"/>
    </row>
    <row r="89" spans="1:50" s="12" customFormat="1" ht="19.5" customHeight="1" x14ac:dyDescent="0.2">
      <c r="A89" s="606"/>
      <c r="B89" s="666"/>
      <c r="C89" s="1541"/>
      <c r="D89" s="1541"/>
      <c r="E89" s="1541"/>
      <c r="F89" s="1541"/>
      <c r="G89" s="666"/>
      <c r="H89" s="666"/>
      <c r="I89" s="634"/>
      <c r="J89" s="1541"/>
      <c r="K89" s="1541"/>
      <c r="L89" s="1541"/>
      <c r="M89" s="1541"/>
      <c r="N89" s="1541"/>
      <c r="O89" s="1541"/>
      <c r="P89" s="1541"/>
      <c r="AE89" s="1541"/>
      <c r="AF89" s="637"/>
      <c r="AG89" s="637"/>
      <c r="AH89" s="637"/>
      <c r="AI89" s="637"/>
      <c r="AJ89" s="652"/>
      <c r="AK89" s="652"/>
      <c r="AL89" s="1542"/>
      <c r="AN89" s="637"/>
      <c r="AO89" s="637"/>
      <c r="AP89" s="1541"/>
      <c r="AQ89" s="1541"/>
      <c r="AR89" s="1541"/>
      <c r="AS89" s="1541"/>
      <c r="AT89" s="1541"/>
      <c r="AU89" s="1541"/>
      <c r="AV89" s="1541"/>
      <c r="AW89" s="1541"/>
      <c r="AX89" s="1541"/>
    </row>
    <row r="90" spans="1:50" s="12" customFormat="1" ht="19.5" customHeight="1" x14ac:dyDescent="0.2">
      <c r="A90" s="1782"/>
      <c r="B90" s="913"/>
      <c r="C90" s="913"/>
      <c r="D90" s="913"/>
      <c r="E90" s="913"/>
      <c r="F90" s="913"/>
      <c r="G90" s="913"/>
      <c r="H90" s="913"/>
      <c r="I90" s="913"/>
      <c r="J90" s="913"/>
      <c r="K90" s="913"/>
      <c r="L90" s="913"/>
      <c r="M90" s="913"/>
      <c r="N90" s="913"/>
      <c r="O90" s="913"/>
      <c r="P90" s="913"/>
      <c r="Q90" s="913"/>
      <c r="R90" s="913"/>
      <c r="S90" s="913"/>
      <c r="T90" s="913"/>
      <c r="U90" s="913"/>
      <c r="V90" s="913"/>
      <c r="W90" s="913"/>
      <c r="X90" s="913"/>
      <c r="Y90" s="913"/>
      <c r="Z90" s="1583"/>
      <c r="AA90" s="913"/>
      <c r="AB90" s="913"/>
      <c r="AC90" s="913"/>
      <c r="AD90" s="913"/>
      <c r="AE90" s="913"/>
      <c r="AF90" s="913"/>
      <c r="AG90" s="913"/>
      <c r="AH90" s="913"/>
      <c r="AI90" s="913"/>
      <c r="AJ90" s="652"/>
      <c r="AK90" s="652"/>
      <c r="AL90" s="1542"/>
      <c r="AN90" s="637"/>
      <c r="AO90" s="637"/>
      <c r="AP90" s="1541"/>
      <c r="AQ90" s="1541"/>
      <c r="AR90" s="1541"/>
      <c r="AS90" s="1541"/>
      <c r="AT90" s="1541"/>
      <c r="AU90" s="1541"/>
      <c r="AV90" s="1541"/>
      <c r="AW90" s="1541"/>
      <c r="AX90" s="1541"/>
    </row>
    <row r="91" spans="1:50" s="12" customFormat="1" ht="27.75" customHeight="1" x14ac:dyDescent="0.4">
      <c r="A91" s="1782"/>
      <c r="B91" s="1582"/>
      <c r="C91" s="1582"/>
      <c r="D91" s="1582"/>
      <c r="E91" s="1582"/>
      <c r="F91" s="913"/>
      <c r="G91" s="913"/>
      <c r="H91" s="1581"/>
      <c r="I91" s="913"/>
      <c r="J91" s="913"/>
      <c r="K91" s="913"/>
      <c r="L91" s="913"/>
      <c r="M91" s="1580"/>
      <c r="N91" s="913"/>
      <c r="O91" s="913"/>
      <c r="P91" s="913"/>
      <c r="Q91" s="913"/>
      <c r="R91" s="913"/>
      <c r="S91" s="1579"/>
      <c r="T91" s="913"/>
      <c r="U91" s="913"/>
      <c r="V91" s="913"/>
      <c r="W91" s="913"/>
      <c r="X91" s="913"/>
      <c r="Y91" s="913"/>
      <c r="Z91" s="913"/>
      <c r="AB91" s="1578"/>
      <c r="AC91" s="1578"/>
      <c r="AD91" s="1577"/>
      <c r="AE91" s="913"/>
      <c r="AF91" s="913"/>
      <c r="AG91" s="913"/>
      <c r="AH91" s="913"/>
      <c r="AI91" s="913"/>
      <c r="AJ91" s="652"/>
      <c r="AK91" s="652"/>
      <c r="AL91" s="1542"/>
      <c r="AN91" s="637"/>
      <c r="AO91" s="637"/>
      <c r="AP91" s="1541"/>
      <c r="AQ91" s="1541"/>
      <c r="AR91" s="1541"/>
      <c r="AS91" s="1541"/>
      <c r="AT91" s="1541"/>
      <c r="AU91" s="1541"/>
      <c r="AV91" s="1541"/>
      <c r="AW91" s="1541"/>
      <c r="AX91" s="1541"/>
    </row>
    <row r="92" spans="1:50" s="12" customFormat="1" ht="19.5" customHeight="1" x14ac:dyDescent="0.2">
      <c r="A92" s="1782"/>
      <c r="B92" s="913"/>
      <c r="C92" s="913"/>
      <c r="E92" s="913"/>
      <c r="F92" s="913"/>
      <c r="G92" s="913"/>
      <c r="H92" s="913"/>
      <c r="I92" s="913"/>
      <c r="J92" s="913"/>
      <c r="K92" s="913"/>
      <c r="L92" s="913"/>
      <c r="M92" s="913"/>
      <c r="N92" s="913"/>
      <c r="O92" s="913"/>
      <c r="P92" s="913"/>
      <c r="Q92" s="913"/>
      <c r="R92" s="913"/>
      <c r="S92" s="913"/>
      <c r="T92" s="913"/>
      <c r="U92" s="913"/>
      <c r="V92" s="913"/>
      <c r="W92" s="913"/>
      <c r="X92" s="913"/>
      <c r="Y92" s="913"/>
      <c r="Z92" s="913"/>
      <c r="AA92" s="913"/>
      <c r="AB92" s="913"/>
      <c r="AC92" s="913"/>
      <c r="AD92" s="913"/>
      <c r="AE92" s="913"/>
      <c r="AF92" s="913"/>
      <c r="AG92" s="913"/>
      <c r="AH92" s="913"/>
      <c r="AI92" s="913"/>
      <c r="AJ92" s="652"/>
      <c r="AK92" s="652"/>
      <c r="AL92" s="1542"/>
      <c r="AN92" s="637"/>
      <c r="AO92" s="637"/>
      <c r="AP92" s="1541"/>
      <c r="AQ92" s="1541"/>
      <c r="AR92" s="1541"/>
      <c r="AS92" s="1541"/>
      <c r="AT92" s="1541"/>
      <c r="AU92" s="1541"/>
      <c r="AV92" s="1541"/>
      <c r="AW92" s="1541"/>
      <c r="AX92" s="1541"/>
    </row>
    <row r="93" spans="1:50" s="12" customFormat="1" ht="19.5" customHeight="1" x14ac:dyDescent="0.25">
      <c r="A93" s="1782"/>
      <c r="B93" s="913"/>
      <c r="C93" s="1563"/>
      <c r="D93" s="853"/>
      <c r="E93" s="853"/>
      <c r="F93" s="853"/>
      <c r="G93" s="853"/>
      <c r="H93" s="913"/>
      <c r="I93" s="913"/>
      <c r="J93" s="913"/>
      <c r="K93" s="1576"/>
      <c r="L93" s="1576"/>
      <c r="M93" s="1576"/>
      <c r="N93" s="1576"/>
      <c r="O93" s="1576"/>
      <c r="P93" s="1576"/>
      <c r="Q93" s="1576"/>
      <c r="R93" s="1576"/>
      <c r="S93" s="853"/>
      <c r="T93" s="853"/>
      <c r="U93" s="1575"/>
      <c r="V93" s="853"/>
      <c r="W93" s="913"/>
      <c r="X93" s="913"/>
      <c r="Y93" s="913"/>
      <c r="Z93" s="913"/>
      <c r="AA93" s="913"/>
      <c r="AB93" s="1569"/>
      <c r="AC93" s="1569"/>
      <c r="AD93" s="1574"/>
      <c r="AE93" s="1572"/>
      <c r="AF93" s="1574"/>
      <c r="AG93" s="1573"/>
      <c r="AH93" s="1573"/>
      <c r="AI93" s="853"/>
      <c r="AJ93" s="652"/>
      <c r="AK93" s="652"/>
      <c r="AL93" s="1542"/>
      <c r="AN93" s="637"/>
      <c r="AO93" s="637"/>
      <c r="AP93" s="1541"/>
      <c r="AQ93" s="1541"/>
      <c r="AR93" s="1541"/>
      <c r="AS93" s="1541"/>
      <c r="AT93" s="1541"/>
      <c r="AU93" s="1541"/>
      <c r="AV93" s="1541"/>
      <c r="AW93" s="1541"/>
      <c r="AX93" s="1541"/>
    </row>
    <row r="94" spans="1:50" s="12" customFormat="1" ht="19.5" customHeight="1" x14ac:dyDescent="0.2">
      <c r="A94" s="1782"/>
      <c r="B94" s="913"/>
      <c r="C94" s="913"/>
      <c r="D94" s="913"/>
      <c r="E94" s="913"/>
      <c r="F94" s="913"/>
      <c r="G94" s="913"/>
      <c r="H94" s="913"/>
      <c r="I94" s="913"/>
      <c r="J94" s="913"/>
      <c r="K94" s="913"/>
      <c r="L94" s="913"/>
      <c r="M94" s="1563"/>
      <c r="N94" s="913"/>
      <c r="O94" s="913"/>
      <c r="P94" s="913"/>
      <c r="Q94" s="913"/>
      <c r="R94" s="913"/>
      <c r="S94" s="913"/>
      <c r="T94" s="913"/>
      <c r="U94" s="913"/>
      <c r="V94" s="913"/>
      <c r="W94" s="913"/>
      <c r="X94" s="913"/>
      <c r="Y94" s="913"/>
      <c r="Z94" s="913"/>
      <c r="AA94" s="913"/>
      <c r="AB94" s="913"/>
      <c r="AC94" s="913"/>
      <c r="AD94" s="913"/>
      <c r="AE94" s="913"/>
      <c r="AF94" s="913"/>
      <c r="AG94" s="913"/>
      <c r="AH94" s="913"/>
      <c r="AI94" s="913"/>
      <c r="AJ94" s="652"/>
      <c r="AK94" s="652"/>
      <c r="AL94" s="1542"/>
      <c r="AN94" s="637"/>
      <c r="AO94" s="637"/>
      <c r="AP94" s="1541"/>
      <c r="AQ94" s="1541"/>
      <c r="AR94" s="1541"/>
      <c r="AS94" s="1541"/>
      <c r="AT94" s="1541"/>
      <c r="AU94" s="1541"/>
      <c r="AV94" s="1541"/>
      <c r="AW94" s="1541"/>
      <c r="AX94" s="1541"/>
    </row>
    <row r="95" spans="1:50" s="12" customFormat="1" ht="19.5" customHeight="1" x14ac:dyDescent="0.25">
      <c r="A95" s="1782"/>
      <c r="B95" s="913"/>
      <c r="C95" s="1572"/>
      <c r="D95" s="1571"/>
      <c r="E95" s="913"/>
      <c r="F95" s="913"/>
      <c r="G95" s="1570"/>
      <c r="H95" s="1570"/>
      <c r="I95" s="1570"/>
      <c r="J95" s="1570"/>
      <c r="K95" s="1570"/>
      <c r="L95" s="1570"/>
      <c r="M95" s="1570"/>
      <c r="N95" s="1570"/>
      <c r="O95" s="1570"/>
      <c r="P95" s="1570"/>
      <c r="Q95" s="1570"/>
      <c r="R95" s="1570"/>
      <c r="S95" s="1570"/>
      <c r="T95" s="1570"/>
      <c r="U95" s="1570"/>
      <c r="V95" s="1570"/>
      <c r="W95" s="1570"/>
      <c r="X95" s="1570"/>
      <c r="Y95" s="1570"/>
      <c r="Z95" s="913"/>
      <c r="AA95" s="1569"/>
      <c r="AB95" s="1569"/>
      <c r="AC95" s="1569"/>
      <c r="AD95" s="1568"/>
      <c r="AE95" s="1567"/>
      <c r="AF95" s="1567"/>
      <c r="AG95" s="1567"/>
      <c r="AH95" s="1567"/>
      <c r="AI95" s="913"/>
      <c r="AJ95" s="652"/>
      <c r="AK95" s="652"/>
      <c r="AL95" s="1542"/>
      <c r="AN95" s="637"/>
      <c r="AO95" s="637"/>
      <c r="AP95" s="1541"/>
      <c r="AQ95" s="1541"/>
      <c r="AR95" s="1541"/>
      <c r="AS95" s="1541"/>
      <c r="AT95" s="1541"/>
      <c r="AU95" s="1541"/>
      <c r="AV95" s="1541"/>
      <c r="AW95" s="1541"/>
      <c r="AX95" s="1541"/>
    </row>
    <row r="96" spans="1:50" s="12" customFormat="1" ht="19.5" customHeight="1" x14ac:dyDescent="0.2">
      <c r="A96" s="1782"/>
      <c r="B96" s="913"/>
      <c r="C96" s="913"/>
      <c r="D96" s="913"/>
      <c r="E96" s="913"/>
      <c r="F96" s="913"/>
      <c r="G96" s="913"/>
      <c r="H96" s="913"/>
      <c r="I96" s="913"/>
      <c r="J96" s="913"/>
      <c r="K96" s="913"/>
      <c r="L96" s="913"/>
      <c r="M96" s="913"/>
      <c r="N96" s="913"/>
      <c r="O96" s="913"/>
      <c r="P96" s="913"/>
      <c r="Q96" s="913"/>
      <c r="R96" s="913"/>
      <c r="S96" s="913"/>
      <c r="T96" s="913"/>
      <c r="U96" s="913"/>
      <c r="V96" s="913"/>
      <c r="W96" s="913"/>
      <c r="X96" s="913"/>
      <c r="Y96" s="913"/>
      <c r="Z96" s="913"/>
      <c r="AA96" s="913"/>
      <c r="AB96" s="913"/>
      <c r="AC96" s="913"/>
      <c r="AD96" s="913"/>
      <c r="AE96" s="913"/>
      <c r="AF96" s="913"/>
      <c r="AG96" s="913"/>
      <c r="AH96" s="913"/>
      <c r="AI96" s="913"/>
      <c r="AJ96" s="652"/>
      <c r="AK96" s="652"/>
      <c r="AL96" s="1542"/>
      <c r="AM96" s="1560"/>
      <c r="AN96" s="637"/>
      <c r="AO96" s="637"/>
      <c r="AP96" s="1541"/>
      <c r="AQ96" s="1541"/>
      <c r="AR96" s="1541"/>
      <c r="AS96" s="1541"/>
      <c r="AT96" s="1541"/>
      <c r="AU96" s="1541"/>
      <c r="AV96" s="1541"/>
      <c r="AW96" s="1541"/>
      <c r="AX96" s="1541"/>
    </row>
    <row r="97" spans="1:50" s="12" customFormat="1" ht="19.5" customHeight="1" x14ac:dyDescent="0.2">
      <c r="A97" s="1782"/>
      <c r="B97" s="1555"/>
      <c r="C97" s="1555"/>
      <c r="D97" s="1555"/>
      <c r="E97" s="1555"/>
      <c r="F97" s="1555"/>
      <c r="G97" s="1555"/>
      <c r="H97" s="1566"/>
      <c r="I97" s="1555"/>
      <c r="J97" s="1555"/>
      <c r="K97" s="1555"/>
      <c r="L97" s="1555"/>
      <c r="M97" s="1555"/>
      <c r="N97" s="1555"/>
      <c r="O97" s="1555"/>
      <c r="P97" s="1555"/>
      <c r="Q97" s="1555"/>
      <c r="R97" s="1555"/>
      <c r="S97" s="1555"/>
      <c r="T97" s="1555"/>
      <c r="U97" s="1555"/>
      <c r="V97" s="1555"/>
      <c r="W97" s="1555"/>
      <c r="X97" s="1555"/>
      <c r="Y97" s="1555"/>
      <c r="Z97" s="1555"/>
      <c r="AA97" s="1555"/>
      <c r="AB97" s="1555"/>
      <c r="AC97" s="1555"/>
      <c r="AD97" s="1555"/>
      <c r="AE97" s="1555"/>
      <c r="AF97" s="1555"/>
      <c r="AG97" s="1555"/>
      <c r="AH97" s="1551"/>
      <c r="AI97" s="1551"/>
      <c r="AJ97" s="1551"/>
      <c r="AK97" s="1551"/>
      <c r="AL97" s="1552"/>
      <c r="AM97" s="1564"/>
      <c r="AV97" s="1541"/>
      <c r="AW97" s="1541"/>
      <c r="AX97" s="1541"/>
    </row>
    <row r="98" spans="1:50" s="12" customFormat="1" ht="22.5" customHeight="1" x14ac:dyDescent="0.2">
      <c r="A98" s="1782"/>
      <c r="B98" s="1555"/>
      <c r="C98" s="1555"/>
      <c r="D98" s="1555"/>
      <c r="E98" s="1555"/>
      <c r="F98" s="1555"/>
      <c r="G98" s="1555"/>
      <c r="H98" s="1566"/>
      <c r="I98" s="1555"/>
      <c r="J98" s="1555"/>
      <c r="K98" s="1555"/>
      <c r="L98" s="1555"/>
      <c r="M98" s="1555"/>
      <c r="N98" s="1555"/>
      <c r="O98" s="1555"/>
      <c r="P98" s="1555"/>
      <c r="Q98" s="1555"/>
      <c r="R98" s="1555"/>
      <c r="S98" s="1555"/>
      <c r="T98" s="1555"/>
      <c r="U98" s="1565"/>
      <c r="V98" s="1565"/>
      <c r="W98" s="1565"/>
      <c r="X98" s="1565"/>
      <c r="Y98" s="1565"/>
      <c r="Z98" s="1565"/>
      <c r="AA98" s="1565"/>
      <c r="AB98" s="1565"/>
      <c r="AC98" s="966"/>
      <c r="AD98" s="966"/>
      <c r="AE98" s="966"/>
      <c r="AF98" s="966"/>
      <c r="AG98" s="966"/>
      <c r="AH98" s="1551"/>
      <c r="AI98" s="1551"/>
      <c r="AJ98" s="1551"/>
      <c r="AK98" s="1551"/>
      <c r="AL98" s="1552"/>
      <c r="AM98" s="1564"/>
      <c r="AV98" s="1541"/>
      <c r="AW98" s="1541"/>
      <c r="AX98" s="1541"/>
    </row>
    <row r="99" spans="1:50" s="12" customFormat="1" ht="6.75" customHeight="1" x14ac:dyDescent="0.2">
      <c r="A99" s="1782"/>
      <c r="B99" s="1563"/>
      <c r="C99" s="913"/>
      <c r="D99" s="913"/>
      <c r="E99" s="913"/>
      <c r="F99" s="913"/>
      <c r="G99" s="913"/>
      <c r="H99" s="913"/>
      <c r="I99" s="913"/>
      <c r="J99" s="913"/>
      <c r="K99" s="913"/>
      <c r="L99" s="913"/>
      <c r="M99" s="913"/>
      <c r="N99" s="913"/>
      <c r="O99" s="913"/>
      <c r="P99" s="913"/>
      <c r="Q99" s="913"/>
      <c r="R99" s="913"/>
      <c r="S99" s="913"/>
      <c r="T99" s="913"/>
      <c r="U99" s="913"/>
      <c r="X99" s="913"/>
      <c r="Y99" s="913"/>
      <c r="Z99" s="913"/>
      <c r="AC99" s="913"/>
      <c r="AD99" s="913"/>
      <c r="AE99" s="913"/>
      <c r="AF99" s="913"/>
      <c r="AG99" s="913"/>
      <c r="AH99" s="913"/>
      <c r="AI99" s="913"/>
      <c r="AJ99" s="913"/>
      <c r="AK99" s="913"/>
      <c r="AL99" s="1552"/>
      <c r="AV99" s="1541"/>
      <c r="AW99" s="1541"/>
      <c r="AX99" s="1541"/>
    </row>
    <row r="100" spans="1:50" s="12" customFormat="1" ht="23.1" customHeight="1" x14ac:dyDescent="0.2">
      <c r="A100" s="1021"/>
      <c r="B100" s="1558"/>
      <c r="C100" s="934"/>
      <c r="D100" s="934"/>
      <c r="E100" s="934"/>
      <c r="F100" s="934"/>
      <c r="G100" s="1559"/>
      <c r="H100" s="1558"/>
      <c r="I100" s="1562"/>
      <c r="J100" s="1562"/>
      <c r="K100" s="1562"/>
      <c r="L100" s="1562"/>
      <c r="M100" s="1562"/>
      <c r="N100" s="1562"/>
      <c r="O100" s="1562"/>
      <c r="P100" s="1562"/>
      <c r="Q100" s="1562"/>
      <c r="R100" s="1562"/>
      <c r="S100" s="1562"/>
      <c r="T100" s="1562"/>
      <c r="U100" s="1561"/>
      <c r="V100" s="1561"/>
      <c r="W100" s="1561"/>
      <c r="X100" s="1556"/>
      <c r="Y100" s="1556"/>
      <c r="Z100" s="1556"/>
      <c r="AA100" s="1555"/>
      <c r="AB100" s="1555"/>
      <c r="AL100" s="1552"/>
      <c r="AV100" s="1541"/>
      <c r="AW100" s="1541"/>
      <c r="AX100" s="1541"/>
    </row>
    <row r="101" spans="1:50" s="12" customFormat="1" ht="23.1" customHeight="1" x14ac:dyDescent="0.2">
      <c r="A101" s="1021"/>
      <c r="B101" s="1558"/>
      <c r="C101" s="934"/>
      <c r="D101" s="934"/>
      <c r="E101" s="934"/>
      <c r="F101" s="934"/>
      <c r="G101" s="1559"/>
      <c r="H101" s="1558"/>
      <c r="I101" s="1562"/>
      <c r="J101" s="1562"/>
      <c r="K101" s="1562"/>
      <c r="L101" s="1562"/>
      <c r="M101" s="1562"/>
      <c r="N101" s="1562"/>
      <c r="O101" s="1562"/>
      <c r="P101" s="1562"/>
      <c r="Q101" s="1562"/>
      <c r="R101" s="1562"/>
      <c r="S101" s="1562"/>
      <c r="T101" s="1562"/>
      <c r="U101" s="1561"/>
      <c r="V101" s="1561"/>
      <c r="W101" s="1561"/>
      <c r="X101" s="1556"/>
      <c r="Y101" s="1556"/>
      <c r="Z101" s="1556"/>
      <c r="AA101" s="1555"/>
      <c r="AB101" s="1555"/>
      <c r="AL101" s="1552"/>
      <c r="AV101" s="1541"/>
      <c r="AW101" s="1541"/>
      <c r="AX101" s="1541"/>
    </row>
    <row r="102" spans="1:50" s="12" customFormat="1" ht="23.1" customHeight="1" x14ac:dyDescent="0.2">
      <c r="A102" s="1021"/>
      <c r="B102" s="1558"/>
      <c r="C102" s="934"/>
      <c r="D102" s="934"/>
      <c r="E102" s="934"/>
      <c r="F102" s="934"/>
      <c r="G102" s="1559"/>
      <c r="H102" s="1558"/>
      <c r="I102" s="1562"/>
      <c r="J102" s="1562"/>
      <c r="K102" s="1562"/>
      <c r="L102" s="1562"/>
      <c r="M102" s="1562"/>
      <c r="N102" s="1562"/>
      <c r="O102" s="1562"/>
      <c r="P102" s="1562"/>
      <c r="Q102" s="1562"/>
      <c r="R102" s="1562"/>
      <c r="S102" s="1562"/>
      <c r="T102" s="1562"/>
      <c r="U102" s="1561"/>
      <c r="V102" s="1561"/>
      <c r="W102" s="1561"/>
      <c r="X102" s="1556"/>
      <c r="Y102" s="1556"/>
      <c r="Z102" s="1556"/>
      <c r="AA102" s="1555"/>
      <c r="AB102" s="1555"/>
      <c r="AL102" s="1552"/>
      <c r="AV102" s="1541"/>
      <c r="AW102" s="1541"/>
      <c r="AX102" s="1541"/>
    </row>
    <row r="103" spans="1:50" s="12" customFormat="1" ht="23.1" customHeight="1" x14ac:dyDescent="0.2">
      <c r="A103" s="1021"/>
      <c r="B103" s="1558"/>
      <c r="C103" s="934"/>
      <c r="D103" s="934"/>
      <c r="E103" s="934"/>
      <c r="F103" s="934"/>
      <c r="G103" s="1559"/>
      <c r="H103" s="1558"/>
      <c r="I103" s="1562"/>
      <c r="J103" s="1562"/>
      <c r="K103" s="1562"/>
      <c r="L103" s="1562"/>
      <c r="M103" s="1562"/>
      <c r="N103" s="1562"/>
      <c r="O103" s="1562"/>
      <c r="P103" s="1562"/>
      <c r="Q103" s="1562"/>
      <c r="R103" s="1562"/>
      <c r="S103" s="1562"/>
      <c r="T103" s="1562"/>
      <c r="U103" s="1561"/>
      <c r="V103" s="1561"/>
      <c r="W103" s="1561"/>
      <c r="X103" s="1556"/>
      <c r="Y103" s="1556"/>
      <c r="Z103" s="1556"/>
      <c r="AA103" s="1555"/>
      <c r="AB103" s="1555"/>
      <c r="AL103" s="1552"/>
      <c r="AM103" s="1560"/>
      <c r="AV103" s="1541"/>
      <c r="AW103" s="1541"/>
      <c r="AX103" s="1541"/>
    </row>
    <row r="104" spans="1:50" s="12" customFormat="1" ht="23.1" customHeight="1" x14ac:dyDescent="0.2">
      <c r="A104" s="1021"/>
      <c r="B104" s="1558"/>
      <c r="C104" s="934"/>
      <c r="D104" s="934"/>
      <c r="E104" s="934"/>
      <c r="F104" s="934"/>
      <c r="G104" s="1559"/>
      <c r="H104" s="1558"/>
      <c r="I104" s="1562"/>
      <c r="J104" s="1562"/>
      <c r="K104" s="1562"/>
      <c r="L104" s="1562"/>
      <c r="M104" s="1562"/>
      <c r="N104" s="1562"/>
      <c r="O104" s="1562"/>
      <c r="P104" s="1562"/>
      <c r="Q104" s="1562"/>
      <c r="R104" s="1562"/>
      <c r="S104" s="1562"/>
      <c r="T104" s="1562"/>
      <c r="U104" s="1561"/>
      <c r="V104" s="1561"/>
      <c r="W104" s="1561"/>
      <c r="X104" s="1556"/>
      <c r="Y104" s="1556"/>
      <c r="Z104" s="1556"/>
      <c r="AA104" s="1555"/>
      <c r="AB104" s="1555"/>
      <c r="AL104" s="1552"/>
      <c r="AM104" s="1560"/>
      <c r="AV104" s="1541"/>
      <c r="AW104" s="1541"/>
      <c r="AX104" s="1541"/>
    </row>
    <row r="105" spans="1:50" s="12" customFormat="1" ht="23.1" customHeight="1" x14ac:dyDescent="0.2">
      <c r="A105" s="1021"/>
      <c r="B105" s="1558"/>
      <c r="C105" s="934"/>
      <c r="D105" s="934"/>
      <c r="E105" s="934"/>
      <c r="F105" s="934"/>
      <c r="G105" s="1559"/>
      <c r="H105" s="1558"/>
      <c r="I105" s="1562"/>
      <c r="J105" s="1562"/>
      <c r="K105" s="1562"/>
      <c r="L105" s="1562"/>
      <c r="M105" s="1562"/>
      <c r="N105" s="1562"/>
      <c r="O105" s="1562"/>
      <c r="P105" s="1562"/>
      <c r="Q105" s="1562"/>
      <c r="R105" s="1562"/>
      <c r="S105" s="1562"/>
      <c r="T105" s="1562"/>
      <c r="U105" s="1561"/>
      <c r="V105" s="1561"/>
      <c r="W105" s="1561"/>
      <c r="X105" s="1556"/>
      <c r="Y105" s="1556"/>
      <c r="Z105" s="1556"/>
      <c r="AA105" s="1555"/>
      <c r="AB105" s="1555"/>
      <c r="AL105" s="1552"/>
      <c r="AM105" s="1560"/>
      <c r="AV105" s="1541"/>
      <c r="AW105" s="1541"/>
      <c r="AX105" s="1541"/>
    </row>
    <row r="106" spans="1:50" s="12" customFormat="1" ht="23.1" customHeight="1" x14ac:dyDescent="0.2">
      <c r="A106" s="1021"/>
      <c r="B106" s="1558"/>
      <c r="C106" s="934"/>
      <c r="D106" s="934"/>
      <c r="E106" s="934"/>
      <c r="F106" s="934"/>
      <c r="G106" s="1559"/>
      <c r="H106" s="1558"/>
      <c r="I106" s="1541"/>
      <c r="U106" s="1557"/>
      <c r="V106" s="1557"/>
      <c r="W106" s="1557"/>
      <c r="X106" s="1556"/>
      <c r="Y106" s="1555"/>
      <c r="Z106" s="1555"/>
      <c r="AA106" s="1555"/>
      <c r="AB106" s="1555"/>
      <c r="AL106" s="1552"/>
      <c r="AV106" s="1541"/>
      <c r="AW106" s="1541"/>
      <c r="AX106" s="1541"/>
    </row>
    <row r="107" spans="1:50" s="12" customFormat="1" ht="19.5" customHeight="1" x14ac:dyDescent="0.2">
      <c r="A107" s="1782"/>
      <c r="B107" s="666"/>
      <c r="C107" s="1541"/>
      <c r="D107" s="1541"/>
      <c r="E107" s="1541"/>
      <c r="F107" s="1541"/>
      <c r="G107" s="666"/>
      <c r="H107" s="666"/>
      <c r="I107" s="634"/>
      <c r="J107" s="1541"/>
      <c r="K107" s="1541"/>
      <c r="L107" s="1541"/>
      <c r="M107" s="1541"/>
      <c r="N107" s="1541"/>
      <c r="O107" s="1541"/>
      <c r="P107" s="1541"/>
      <c r="AE107" s="1541"/>
      <c r="AF107" s="637"/>
      <c r="AG107" s="637"/>
      <c r="AH107" s="637"/>
      <c r="AI107" s="637"/>
      <c r="AJ107" s="652"/>
      <c r="AK107" s="652"/>
      <c r="AL107" s="1542"/>
      <c r="AN107" s="637"/>
      <c r="AO107" s="637"/>
      <c r="AP107" s="1541"/>
      <c r="AQ107" s="1541"/>
      <c r="AR107" s="1541"/>
      <c r="AS107" s="1541"/>
      <c r="AT107" s="1541"/>
      <c r="AU107" s="1541"/>
      <c r="AV107" s="1541"/>
      <c r="AW107" s="1541"/>
      <c r="AX107" s="1541"/>
    </row>
    <row r="108" spans="1:50" s="12" customFormat="1" ht="27.75" customHeight="1" x14ac:dyDescent="0.2">
      <c r="A108" s="1782"/>
      <c r="B108" s="1551"/>
      <c r="C108" s="1551"/>
      <c r="D108" s="1551"/>
      <c r="E108" s="1551"/>
      <c r="F108" s="1551"/>
      <c r="G108" s="1551"/>
      <c r="H108" s="1551"/>
      <c r="I108" s="1551"/>
      <c r="J108" s="1551"/>
      <c r="K108" s="1551"/>
      <c r="L108" s="1551"/>
      <c r="M108" s="1551"/>
      <c r="N108" s="1551"/>
      <c r="O108" s="1551"/>
      <c r="P108" s="1551"/>
      <c r="Q108" s="1551"/>
      <c r="R108" s="1551"/>
      <c r="S108" s="1551"/>
      <c r="T108" s="1551"/>
      <c r="U108" s="1551"/>
      <c r="V108" s="1551"/>
      <c r="W108" s="1551"/>
      <c r="X108" s="966"/>
      <c r="Y108" s="966"/>
      <c r="Z108" s="966"/>
      <c r="AA108" s="966"/>
      <c r="AB108" s="966"/>
      <c r="AC108" s="966"/>
      <c r="AD108" s="966"/>
      <c r="AE108" s="966"/>
      <c r="AF108" s="966"/>
      <c r="AG108" s="966"/>
      <c r="AH108" s="966"/>
      <c r="AI108" s="966"/>
      <c r="AJ108" s="966"/>
      <c r="AK108" s="966"/>
      <c r="AL108" s="1542"/>
      <c r="AN108" s="637"/>
      <c r="AO108" s="637"/>
      <c r="AP108" s="1541"/>
      <c r="AQ108" s="1541"/>
      <c r="AR108" s="1541"/>
      <c r="AS108" s="1541"/>
      <c r="AT108" s="1541"/>
      <c r="AU108" s="1541"/>
      <c r="AV108" s="1541"/>
      <c r="AW108" s="1541"/>
      <c r="AX108" s="1541"/>
    </row>
    <row r="109" spans="1:50" s="12" customFormat="1" ht="27" customHeight="1" x14ac:dyDescent="0.2">
      <c r="A109" s="1782"/>
      <c r="B109" s="1554"/>
      <c r="C109" s="1554"/>
      <c r="D109" s="1554"/>
      <c r="E109" s="1554"/>
      <c r="F109" s="1554"/>
      <c r="G109" s="1554"/>
      <c r="H109" s="1554"/>
      <c r="I109" s="1554"/>
      <c r="J109" s="1554"/>
      <c r="K109" s="1554"/>
      <c r="L109" s="1554"/>
      <c r="M109" s="1554"/>
      <c r="N109" s="1554"/>
      <c r="O109" s="1554"/>
      <c r="AL109" s="1552"/>
      <c r="AN109" s="637"/>
      <c r="AO109" s="637"/>
      <c r="AP109" s="1541"/>
      <c r="AQ109" s="1541"/>
      <c r="AR109" s="1541"/>
      <c r="AS109" s="1541"/>
      <c r="AT109" s="1541"/>
      <c r="AU109" s="1541"/>
      <c r="AV109" s="1541"/>
      <c r="AW109" s="1541"/>
      <c r="AX109" s="1541"/>
    </row>
    <row r="110" spans="1:50" s="12" customFormat="1" ht="27" customHeight="1" x14ac:dyDescent="0.2">
      <c r="A110" s="1782"/>
      <c r="B110" s="1554"/>
      <c r="C110" s="1554"/>
      <c r="D110" s="1554"/>
      <c r="E110" s="1554"/>
      <c r="F110" s="1554"/>
      <c r="G110" s="1554"/>
      <c r="H110" s="1554"/>
      <c r="I110" s="1554"/>
      <c r="J110" s="1554"/>
      <c r="K110" s="1554"/>
      <c r="L110" s="1554"/>
      <c r="M110" s="1554"/>
      <c r="N110" s="1554"/>
      <c r="O110" s="1554"/>
      <c r="AL110" s="1552"/>
      <c r="AN110" s="637"/>
      <c r="AO110" s="637"/>
      <c r="AP110" s="1541"/>
      <c r="AQ110" s="1541"/>
      <c r="AR110" s="1541"/>
      <c r="AS110" s="1541"/>
      <c r="AT110" s="1541"/>
      <c r="AU110" s="1541"/>
      <c r="AV110" s="1541"/>
      <c r="AW110" s="1541"/>
      <c r="AX110" s="1541"/>
    </row>
    <row r="111" spans="1:50" s="12" customFormat="1" ht="27" customHeight="1" x14ac:dyDescent="0.2">
      <c r="A111" s="1782"/>
      <c r="B111" s="1554"/>
      <c r="C111" s="1554"/>
      <c r="D111" s="1554"/>
      <c r="E111" s="1554"/>
      <c r="F111" s="1554"/>
      <c r="G111" s="1554"/>
      <c r="H111" s="1554"/>
      <c r="I111" s="1554"/>
      <c r="J111" s="1554"/>
      <c r="K111" s="1554"/>
      <c r="L111" s="1554"/>
      <c r="M111" s="1554"/>
      <c r="N111" s="1554"/>
      <c r="O111" s="1554"/>
      <c r="AL111" s="1552"/>
      <c r="AN111" s="637"/>
      <c r="AO111" s="637"/>
      <c r="AP111" s="1541"/>
      <c r="AQ111" s="1541"/>
      <c r="AR111" s="1541"/>
      <c r="AS111" s="1541"/>
      <c r="AT111" s="1541"/>
      <c r="AU111" s="1541"/>
      <c r="AV111" s="1541"/>
      <c r="AW111" s="1541"/>
      <c r="AX111" s="1541"/>
    </row>
    <row r="112" spans="1:50" s="12" customFormat="1" ht="27" customHeight="1" x14ac:dyDescent="0.2">
      <c r="A112" s="1782"/>
      <c r="B112" s="1554"/>
      <c r="C112" s="1554"/>
      <c r="D112" s="1554"/>
      <c r="E112" s="1554"/>
      <c r="F112" s="1554"/>
      <c r="G112" s="1554"/>
      <c r="H112" s="1554"/>
      <c r="I112" s="1554"/>
      <c r="J112" s="1554"/>
      <c r="K112" s="1554"/>
      <c r="L112" s="1554"/>
      <c r="M112" s="1554"/>
      <c r="N112" s="1554"/>
      <c r="O112" s="1554"/>
      <c r="AL112" s="1552"/>
      <c r="AN112" s="637"/>
      <c r="AO112" s="637"/>
      <c r="AP112" s="1541"/>
      <c r="AQ112" s="1541"/>
      <c r="AR112" s="1541"/>
      <c r="AS112" s="1541"/>
      <c r="AT112" s="1541"/>
      <c r="AU112" s="1541"/>
      <c r="AV112" s="1541"/>
      <c r="AW112" s="1541"/>
      <c r="AX112" s="1541"/>
    </row>
    <row r="113" spans="1:50" s="12" customFormat="1" ht="27" customHeight="1" x14ac:dyDescent="0.2">
      <c r="A113" s="1782"/>
      <c r="B113" s="1554"/>
      <c r="C113" s="1554"/>
      <c r="D113" s="1554"/>
      <c r="E113" s="1554"/>
      <c r="F113" s="1554"/>
      <c r="G113" s="1554"/>
      <c r="H113" s="1554"/>
      <c r="I113" s="1554"/>
      <c r="J113" s="1554"/>
      <c r="K113" s="1554"/>
      <c r="L113" s="1554"/>
      <c r="M113" s="1554"/>
      <c r="N113" s="1554"/>
      <c r="O113" s="1554"/>
      <c r="AL113" s="1552"/>
      <c r="AN113" s="637"/>
      <c r="AO113" s="637"/>
      <c r="AP113" s="1541"/>
      <c r="AQ113" s="1541"/>
      <c r="AR113" s="1541"/>
      <c r="AS113" s="1541"/>
      <c r="AT113" s="1541"/>
      <c r="AU113" s="1541"/>
      <c r="AV113" s="1541"/>
      <c r="AW113" s="1541"/>
      <c r="AX113" s="1541"/>
    </row>
    <row r="114" spans="1:50" s="12" customFormat="1" ht="27" customHeight="1" x14ac:dyDescent="0.2">
      <c r="A114" s="1782"/>
      <c r="B114" s="1554"/>
      <c r="C114" s="1554"/>
      <c r="D114" s="1554"/>
      <c r="E114" s="1554"/>
      <c r="F114" s="1554"/>
      <c r="G114" s="1554"/>
      <c r="H114" s="1554"/>
      <c r="I114" s="1554"/>
      <c r="J114" s="1554"/>
      <c r="K114" s="1554"/>
      <c r="L114" s="1554"/>
      <c r="M114" s="1554"/>
      <c r="N114" s="1554"/>
      <c r="O114" s="1554"/>
      <c r="AL114" s="1552"/>
      <c r="AN114" s="637"/>
      <c r="AO114" s="637"/>
      <c r="AP114" s="1541"/>
      <c r="AQ114" s="1541"/>
      <c r="AR114" s="1541"/>
      <c r="AS114" s="1541"/>
      <c r="AT114" s="1541"/>
      <c r="AU114" s="1541"/>
      <c r="AV114" s="1541"/>
      <c r="AW114" s="1541"/>
      <c r="AX114" s="1541"/>
    </row>
    <row r="115" spans="1:50" s="12" customFormat="1" ht="27" customHeight="1" x14ac:dyDescent="0.2">
      <c r="A115" s="1782"/>
      <c r="B115" s="1554"/>
      <c r="C115" s="1554"/>
      <c r="D115" s="1554"/>
      <c r="E115" s="1554"/>
      <c r="F115" s="1554"/>
      <c r="G115" s="1554"/>
      <c r="H115" s="1554"/>
      <c r="I115" s="1554"/>
      <c r="J115" s="1554"/>
      <c r="K115" s="1554"/>
      <c r="L115" s="1554"/>
      <c r="M115" s="1554"/>
      <c r="N115" s="1554"/>
      <c r="O115" s="1554"/>
      <c r="AL115" s="1552"/>
      <c r="AN115" s="637"/>
      <c r="AO115" s="637"/>
      <c r="AP115" s="1541"/>
      <c r="AQ115" s="1541"/>
      <c r="AR115" s="1541"/>
      <c r="AS115" s="1541"/>
      <c r="AT115" s="1541"/>
      <c r="AU115" s="1541"/>
      <c r="AV115" s="1541"/>
      <c r="AW115" s="1541"/>
      <c r="AX115" s="1541"/>
    </row>
    <row r="116" spans="1:50" s="12" customFormat="1" ht="27" customHeight="1" x14ac:dyDescent="0.2">
      <c r="A116" s="1782"/>
      <c r="B116" s="1554"/>
      <c r="C116" s="1554"/>
      <c r="D116" s="1554"/>
      <c r="E116" s="1554"/>
      <c r="F116" s="1554"/>
      <c r="G116" s="1554"/>
      <c r="H116" s="1554"/>
      <c r="I116" s="1554"/>
      <c r="J116" s="1554"/>
      <c r="K116" s="1554"/>
      <c r="L116" s="1554"/>
      <c r="M116" s="1554"/>
      <c r="N116" s="1554"/>
      <c r="O116" s="1554"/>
      <c r="AL116" s="1552"/>
      <c r="AN116" s="637"/>
      <c r="AO116" s="637"/>
      <c r="AP116" s="1541"/>
      <c r="AQ116" s="1541"/>
      <c r="AR116" s="1541"/>
      <c r="AS116" s="1541"/>
      <c r="AT116" s="1541"/>
      <c r="AU116" s="1541"/>
      <c r="AV116" s="1541"/>
      <c r="AW116" s="1541"/>
      <c r="AX116" s="1541"/>
    </row>
    <row r="117" spans="1:50" s="12" customFormat="1" ht="19.5" customHeight="1" x14ac:dyDescent="0.2">
      <c r="A117" s="1782"/>
      <c r="B117" s="666"/>
      <c r="H117" s="666"/>
      <c r="J117" s="1553"/>
      <c r="K117" s="1541"/>
      <c r="L117" s="1541"/>
      <c r="M117" s="1541"/>
      <c r="AL117" s="1552"/>
      <c r="AN117" s="637"/>
      <c r="AO117" s="637"/>
      <c r="AP117" s="1541"/>
      <c r="AQ117" s="1541"/>
      <c r="AR117" s="1541"/>
      <c r="AS117" s="1541"/>
      <c r="AT117" s="1541"/>
      <c r="AU117" s="1541"/>
      <c r="AV117" s="1541"/>
      <c r="AW117" s="1541"/>
      <c r="AX117" s="1541"/>
    </row>
    <row r="118" spans="1:50" s="12" customFormat="1" ht="19.5" customHeight="1" x14ac:dyDescent="0.25">
      <c r="A118" s="606"/>
      <c r="B118" s="1549"/>
      <c r="H118" s="666"/>
      <c r="J118" s="1553"/>
      <c r="K118" s="1541"/>
      <c r="L118" s="1541"/>
      <c r="M118" s="1541"/>
      <c r="AL118" s="1552"/>
      <c r="AN118" s="637"/>
      <c r="AO118" s="637"/>
      <c r="AP118" s="1541"/>
      <c r="AQ118" s="1541"/>
      <c r="AR118" s="1541"/>
      <c r="AS118" s="1541"/>
      <c r="AT118" s="1541"/>
      <c r="AU118" s="1541"/>
      <c r="AV118" s="1541"/>
      <c r="AW118" s="1541"/>
      <c r="AX118" s="1541"/>
    </row>
    <row r="119" spans="1:50" s="12" customFormat="1" ht="19.5" customHeight="1" x14ac:dyDescent="0.2">
      <c r="A119" s="606"/>
      <c r="B119" s="784"/>
      <c r="C119" s="784"/>
      <c r="D119" s="784"/>
      <c r="E119" s="784"/>
      <c r="F119" s="784"/>
      <c r="G119" s="784"/>
      <c r="H119" s="784"/>
      <c r="I119" s="784"/>
      <c r="J119" s="784"/>
      <c r="K119" s="784"/>
      <c r="L119" s="784"/>
      <c r="M119" s="784"/>
      <c r="N119" s="966"/>
      <c r="O119" s="966"/>
      <c r="P119" s="966"/>
      <c r="Q119" s="966"/>
      <c r="R119" s="966"/>
      <c r="S119" s="966"/>
      <c r="T119" s="1551"/>
      <c r="U119" s="1551"/>
      <c r="V119" s="1551"/>
      <c r="W119" s="1551"/>
      <c r="X119" s="966"/>
      <c r="Y119" s="966"/>
      <c r="Z119" s="966"/>
      <c r="AA119" s="966"/>
      <c r="AB119" s="966"/>
      <c r="AC119" s="966"/>
      <c r="AD119" s="966"/>
      <c r="AE119" s="966"/>
      <c r="AF119" s="966"/>
      <c r="AG119" s="966"/>
      <c r="AH119" s="966"/>
      <c r="AI119" s="966"/>
      <c r="AJ119" s="966"/>
      <c r="AK119" s="966"/>
      <c r="AL119" s="1542"/>
      <c r="AN119" s="637"/>
      <c r="AO119" s="637"/>
      <c r="AP119" s="1541"/>
      <c r="AQ119" s="1541"/>
      <c r="AR119" s="1541"/>
      <c r="AS119" s="1541"/>
      <c r="AT119" s="1541"/>
      <c r="AU119" s="1541"/>
      <c r="AV119" s="1541"/>
      <c r="AW119" s="1541"/>
      <c r="AX119" s="1541"/>
    </row>
    <row r="120" spans="1:50" s="12" customFormat="1" ht="19.5" customHeight="1" x14ac:dyDescent="0.2">
      <c r="A120" s="606"/>
      <c r="B120" s="784"/>
      <c r="C120" s="784"/>
      <c r="D120" s="784"/>
      <c r="E120" s="784"/>
      <c r="F120" s="784"/>
      <c r="G120" s="784"/>
      <c r="H120" s="784"/>
      <c r="I120" s="784"/>
      <c r="J120" s="784"/>
      <c r="K120" s="784"/>
      <c r="L120" s="784"/>
      <c r="M120" s="784"/>
      <c r="N120" s="966"/>
      <c r="O120" s="966"/>
      <c r="P120" s="966"/>
      <c r="Q120" s="966"/>
      <c r="R120" s="966"/>
      <c r="S120" s="966"/>
      <c r="T120" s="1551"/>
      <c r="U120" s="1551"/>
      <c r="V120" s="1551"/>
      <c r="W120" s="1551"/>
      <c r="X120" s="966"/>
      <c r="Y120" s="966"/>
      <c r="Z120" s="966"/>
      <c r="AA120" s="966"/>
      <c r="AB120" s="966"/>
      <c r="AC120" s="966"/>
      <c r="AD120" s="966"/>
      <c r="AE120" s="966"/>
      <c r="AF120" s="966"/>
      <c r="AG120" s="966"/>
      <c r="AH120" s="966"/>
      <c r="AI120" s="966"/>
      <c r="AJ120" s="966"/>
      <c r="AK120" s="966"/>
      <c r="AL120" s="1542"/>
      <c r="AN120" s="637"/>
      <c r="AO120" s="637"/>
      <c r="AP120" s="1541"/>
      <c r="AQ120" s="1541"/>
      <c r="AR120" s="1541"/>
      <c r="AS120" s="1541"/>
      <c r="AT120" s="1541"/>
      <c r="AU120" s="1541"/>
      <c r="AV120" s="1541"/>
      <c r="AW120" s="1541"/>
      <c r="AX120" s="1541"/>
    </row>
    <row r="121" spans="1:50" s="12" customFormat="1" ht="27" customHeight="1" x14ac:dyDescent="0.2">
      <c r="A121" s="606"/>
      <c r="B121" s="666"/>
      <c r="C121" s="1541"/>
      <c r="D121" s="1541"/>
      <c r="E121" s="1541"/>
      <c r="F121" s="1541"/>
      <c r="G121" s="666"/>
      <c r="H121" s="666"/>
      <c r="I121" s="634"/>
      <c r="J121" s="1541"/>
      <c r="K121" s="1541"/>
      <c r="L121" s="1541"/>
      <c r="M121" s="1541"/>
      <c r="N121" s="1541"/>
      <c r="O121" s="1541"/>
      <c r="P121" s="1541"/>
      <c r="AE121" s="1541"/>
      <c r="AF121" s="637"/>
      <c r="AG121" s="637"/>
      <c r="AH121" s="637"/>
      <c r="AI121" s="637"/>
      <c r="AJ121" s="652"/>
      <c r="AK121" s="652"/>
      <c r="AL121" s="1542"/>
      <c r="AN121" s="637"/>
      <c r="AO121" s="637"/>
      <c r="AP121" s="1541"/>
      <c r="AQ121" s="1541"/>
      <c r="AR121" s="1541"/>
      <c r="AS121" s="1541"/>
      <c r="AT121" s="1541"/>
      <c r="AU121" s="1541"/>
      <c r="AV121" s="1541"/>
      <c r="AW121" s="1541"/>
      <c r="AX121" s="1541"/>
    </row>
    <row r="122" spans="1:50" s="12" customFormat="1" ht="27" customHeight="1" x14ac:dyDescent="0.2">
      <c r="A122" s="606"/>
      <c r="B122" s="666"/>
      <c r="C122" s="1541"/>
      <c r="D122" s="1541"/>
      <c r="E122" s="1541"/>
      <c r="F122" s="1541"/>
      <c r="G122" s="666"/>
      <c r="H122" s="666"/>
      <c r="I122" s="634"/>
      <c r="J122" s="1541"/>
      <c r="K122" s="1541"/>
      <c r="L122" s="1541"/>
      <c r="M122" s="1541"/>
      <c r="N122" s="1541"/>
      <c r="O122" s="1541"/>
      <c r="P122" s="1541"/>
      <c r="AE122" s="1541"/>
      <c r="AF122" s="637"/>
      <c r="AG122" s="637"/>
      <c r="AH122" s="637"/>
      <c r="AI122" s="637"/>
      <c r="AJ122" s="652"/>
      <c r="AK122" s="652"/>
      <c r="AL122" s="1542"/>
      <c r="AN122" s="637"/>
      <c r="AO122" s="637"/>
      <c r="AP122" s="1541"/>
      <c r="AQ122" s="1541"/>
      <c r="AR122" s="1541"/>
      <c r="AS122" s="1541"/>
      <c r="AT122" s="1541"/>
      <c r="AU122" s="1541"/>
      <c r="AV122" s="1541"/>
      <c r="AW122" s="1541"/>
      <c r="AX122" s="1541"/>
    </row>
    <row r="123" spans="1:50" s="12" customFormat="1" ht="19.5" customHeight="1" x14ac:dyDescent="0.2">
      <c r="A123" s="606"/>
      <c r="B123" s="1550"/>
      <c r="C123" s="1550"/>
      <c r="D123" s="1550"/>
      <c r="E123" s="1550"/>
      <c r="F123" s="1550"/>
      <c r="G123" s="1550"/>
      <c r="H123" s="1550"/>
      <c r="I123" s="1550"/>
      <c r="J123" s="1550"/>
      <c r="K123" s="1550"/>
      <c r="L123" s="1550"/>
      <c r="M123" s="1550"/>
      <c r="N123" s="1550"/>
      <c r="O123" s="1550"/>
      <c r="P123" s="1550"/>
      <c r="Q123" s="1550"/>
      <c r="R123" s="1550"/>
      <c r="S123" s="1550"/>
      <c r="T123" s="1550"/>
      <c r="U123" s="1550"/>
      <c r="AI123" s="637"/>
      <c r="AJ123" s="652"/>
      <c r="AK123" s="652"/>
      <c r="AL123" s="1542"/>
      <c r="AN123" s="637"/>
      <c r="AO123" s="637"/>
      <c r="AP123" s="1541"/>
      <c r="AQ123" s="1541"/>
      <c r="AR123" s="1541"/>
      <c r="AS123" s="1541"/>
      <c r="AT123" s="1541"/>
      <c r="AU123" s="1541"/>
      <c r="AV123" s="1541"/>
      <c r="AW123" s="1541"/>
      <c r="AX123" s="1541"/>
    </row>
    <row r="124" spans="1:50" s="12" customFormat="1" ht="19.5" customHeight="1" x14ac:dyDescent="0.25">
      <c r="A124" s="606"/>
      <c r="B124" s="1549"/>
      <c r="C124" s="1548"/>
      <c r="D124" s="1548"/>
      <c r="E124" s="1548"/>
      <c r="F124" s="1548"/>
      <c r="G124" s="1548"/>
      <c r="H124" s="1548"/>
      <c r="I124" s="1548"/>
      <c r="J124" s="1548"/>
      <c r="K124" s="1548"/>
      <c r="L124" s="1548"/>
      <c r="M124" s="1548"/>
      <c r="N124" s="1546"/>
      <c r="O124" s="1546"/>
      <c r="P124" s="1546"/>
      <c r="Q124" s="1546"/>
      <c r="R124" s="1547"/>
      <c r="S124" s="1547"/>
      <c r="T124" s="1546"/>
      <c r="U124" s="1546"/>
      <c r="V124" s="1546"/>
      <c r="W124" s="1546"/>
      <c r="X124" s="1546"/>
      <c r="Y124" s="1546"/>
      <c r="Z124" s="1546"/>
      <c r="AA124" s="1546"/>
      <c r="AB124" s="1545"/>
      <c r="AC124" s="1545"/>
      <c r="AD124" s="1545"/>
      <c r="AE124" s="1544"/>
      <c r="AF124" s="1544"/>
      <c r="AG124" s="1544"/>
      <c r="AH124" s="1544"/>
      <c r="AI124" s="1543"/>
      <c r="AJ124" s="1543"/>
      <c r="AK124" s="1543"/>
      <c r="AL124" s="1542"/>
      <c r="AN124" s="637"/>
      <c r="AO124" s="637"/>
      <c r="AP124" s="1541"/>
      <c r="AQ124" s="1541"/>
      <c r="AR124" s="1541"/>
      <c r="AS124" s="1541"/>
      <c r="AT124" s="1541"/>
      <c r="AU124" s="1541"/>
      <c r="AV124" s="1541"/>
      <c r="AW124" s="1541"/>
      <c r="AX124" s="1541"/>
    </row>
    <row r="125" spans="1:50" s="12" customFormat="1" ht="19.5" customHeight="1" x14ac:dyDescent="0.2">
      <c r="A125" s="606"/>
      <c r="B125" s="666"/>
      <c r="C125" s="1541"/>
      <c r="D125" s="1541"/>
      <c r="E125" s="1541"/>
      <c r="F125" s="1541"/>
      <c r="G125" s="666"/>
      <c r="H125" s="666"/>
      <c r="I125" s="634"/>
      <c r="J125" s="1541"/>
      <c r="K125" s="1541"/>
      <c r="L125" s="1541"/>
      <c r="M125" s="1541"/>
      <c r="N125" s="1541"/>
      <c r="O125" s="1541"/>
      <c r="P125" s="1541"/>
      <c r="AC125" s="637"/>
      <c r="AD125" s="637"/>
      <c r="AE125" s="637"/>
      <c r="AF125" s="637"/>
      <c r="AG125" s="652"/>
      <c r="AH125" s="652"/>
      <c r="AI125" s="652"/>
      <c r="AJ125" s="652"/>
      <c r="AK125" s="652"/>
      <c r="AL125" s="1542"/>
      <c r="AN125" s="637"/>
      <c r="AO125" s="637"/>
      <c r="AP125" s="1541"/>
      <c r="AQ125" s="1541"/>
      <c r="AR125" s="1541"/>
      <c r="AS125" s="1541"/>
      <c r="AT125" s="1541"/>
      <c r="AU125" s="1541"/>
      <c r="AV125" s="1541"/>
      <c r="AW125" s="1541"/>
      <c r="AX125" s="1541"/>
    </row>
    <row r="126" spans="1:50" s="12" customFormat="1" ht="19.5" customHeight="1" x14ac:dyDescent="0.2">
      <c r="A126" s="606"/>
      <c r="B126" s="666"/>
      <c r="C126" s="1541"/>
      <c r="D126" s="1541"/>
      <c r="E126" s="1541"/>
      <c r="F126" s="1541"/>
      <c r="G126" s="666"/>
      <c r="H126" s="666"/>
      <c r="I126" s="634"/>
      <c r="J126" s="1541"/>
      <c r="K126" s="1541"/>
      <c r="L126" s="1541"/>
      <c r="M126" s="1541"/>
      <c r="N126" s="1541"/>
      <c r="O126" s="1541"/>
      <c r="P126" s="1541"/>
      <c r="AE126" s="1541"/>
      <c r="AF126" s="637"/>
      <c r="AG126" s="637"/>
      <c r="AH126" s="637"/>
      <c r="AI126" s="637"/>
      <c r="AJ126" s="652"/>
      <c r="AK126" s="652"/>
      <c r="AL126" s="1542"/>
      <c r="AN126" s="637"/>
      <c r="AO126" s="637"/>
      <c r="AP126" s="1541"/>
      <c r="AQ126" s="1541"/>
      <c r="AR126" s="1541"/>
      <c r="AS126" s="1541"/>
      <c r="AT126" s="1541"/>
      <c r="AU126" s="1541"/>
      <c r="AV126" s="1541"/>
      <c r="AW126" s="1541"/>
      <c r="AX126" s="1541"/>
    </row>
    <row r="127" spans="1:50" s="12" customFormat="1" ht="19.5" customHeight="1" x14ac:dyDescent="0.2">
      <c r="A127" s="606"/>
      <c r="B127" s="666"/>
      <c r="C127" s="1541"/>
      <c r="D127" s="1541"/>
      <c r="E127" s="1541"/>
      <c r="F127" s="1541"/>
      <c r="G127" s="666"/>
      <c r="H127" s="666"/>
      <c r="I127" s="634"/>
      <c r="J127" s="1541"/>
      <c r="K127" s="1541"/>
      <c r="L127" s="1541"/>
      <c r="M127" s="1541"/>
      <c r="N127" s="1541"/>
      <c r="O127" s="1541"/>
      <c r="P127" s="1541"/>
      <c r="AE127" s="1541"/>
      <c r="AF127" s="637"/>
      <c r="AG127" s="637"/>
      <c r="AH127" s="637"/>
      <c r="AI127" s="637"/>
      <c r="AJ127" s="652"/>
      <c r="AK127" s="652"/>
      <c r="AL127" s="1542"/>
      <c r="AN127" s="637"/>
      <c r="AO127" s="637"/>
      <c r="AP127" s="1541"/>
      <c r="AQ127" s="1541"/>
      <c r="AR127" s="1541"/>
      <c r="AS127" s="1541"/>
      <c r="AT127" s="1541"/>
      <c r="AU127" s="1541"/>
      <c r="AV127" s="1541"/>
      <c r="AW127" s="1541"/>
      <c r="AX127" s="1541"/>
    </row>
    <row r="128" spans="1:50" s="12" customFormat="1" ht="19.5" customHeight="1" x14ac:dyDescent="0.2">
      <c r="A128" s="606"/>
      <c r="B128" s="666"/>
      <c r="C128" s="1541"/>
      <c r="D128" s="1541"/>
      <c r="E128" s="1541"/>
      <c r="F128" s="1541"/>
      <c r="G128" s="666"/>
      <c r="H128" s="666"/>
      <c r="I128" s="634"/>
      <c r="J128" s="1541"/>
      <c r="K128" s="1541"/>
      <c r="L128" s="1541"/>
      <c r="M128" s="1541"/>
      <c r="N128" s="1541"/>
      <c r="O128" s="1541"/>
      <c r="P128" s="1541"/>
      <c r="AE128" s="1541"/>
      <c r="AF128" s="637"/>
      <c r="AG128" s="637"/>
      <c r="AH128" s="637"/>
      <c r="AI128" s="637"/>
      <c r="AJ128" s="652"/>
      <c r="AK128" s="652"/>
      <c r="AL128" s="1542"/>
      <c r="AN128" s="637"/>
      <c r="AO128" s="637"/>
      <c r="AP128" s="1541"/>
      <c r="AQ128" s="1541"/>
      <c r="AR128" s="1541"/>
      <c r="AS128" s="1541"/>
      <c r="AT128" s="1541"/>
      <c r="AU128" s="1541"/>
      <c r="AV128" s="1541"/>
      <c r="AW128" s="1541"/>
      <c r="AX128" s="1541"/>
    </row>
    <row r="129" spans="1:50" s="12" customFormat="1" ht="19.5" customHeight="1" x14ac:dyDescent="0.2">
      <c r="A129" s="606"/>
      <c r="B129" s="666"/>
      <c r="C129" s="1541"/>
      <c r="D129" s="1541"/>
      <c r="E129" s="1541"/>
      <c r="F129" s="1541"/>
      <c r="G129" s="666"/>
      <c r="H129" s="666"/>
      <c r="I129" s="634"/>
      <c r="J129" s="1541"/>
      <c r="K129" s="1541"/>
      <c r="L129" s="1541"/>
      <c r="M129" s="1541"/>
      <c r="N129" s="1541"/>
      <c r="O129" s="1541"/>
      <c r="P129" s="1541"/>
      <c r="AE129" s="1541"/>
      <c r="AF129" s="637"/>
      <c r="AG129" s="637"/>
      <c r="AH129" s="637"/>
      <c r="AI129" s="637"/>
      <c r="AJ129" s="652"/>
      <c r="AK129" s="652"/>
      <c r="AL129" s="1542"/>
      <c r="AN129" s="637"/>
      <c r="AO129" s="637"/>
      <c r="AP129" s="1541"/>
      <c r="AQ129" s="1541"/>
      <c r="AR129" s="1541"/>
      <c r="AS129" s="1541"/>
      <c r="AT129" s="1541"/>
      <c r="AU129" s="1541"/>
      <c r="AV129" s="1541"/>
      <c r="AW129" s="1541"/>
      <c r="AX129" s="1541"/>
    </row>
    <row r="130" spans="1:50" s="12" customFormat="1" ht="19.5" customHeight="1" x14ac:dyDescent="0.2">
      <c r="A130" s="606"/>
      <c r="B130" s="666"/>
      <c r="C130" s="1541"/>
      <c r="D130" s="1541"/>
      <c r="E130" s="1541"/>
      <c r="F130" s="1541"/>
      <c r="G130" s="666"/>
      <c r="H130" s="666"/>
      <c r="I130" s="634"/>
      <c r="J130" s="1541"/>
      <c r="K130" s="1541"/>
      <c r="L130" s="1541"/>
      <c r="M130" s="1541"/>
      <c r="N130" s="1541"/>
      <c r="O130" s="1541"/>
      <c r="P130" s="1541"/>
      <c r="AE130" s="1541"/>
      <c r="AF130" s="637"/>
      <c r="AG130" s="637"/>
      <c r="AH130" s="637"/>
      <c r="AI130" s="637"/>
      <c r="AJ130" s="652"/>
      <c r="AK130" s="652"/>
      <c r="AL130" s="1542"/>
      <c r="AN130" s="637"/>
      <c r="AO130" s="637"/>
      <c r="AP130" s="1541"/>
      <c r="AQ130" s="1541"/>
      <c r="AR130" s="1541"/>
      <c r="AS130" s="1541"/>
      <c r="AT130" s="1541"/>
      <c r="AU130" s="1541"/>
      <c r="AV130" s="1541"/>
      <c r="AW130" s="1541"/>
      <c r="AX130" s="1541"/>
    </row>
    <row r="131" spans="1:50" s="12" customFormat="1" ht="19.5" customHeight="1" x14ac:dyDescent="0.2">
      <c r="A131" s="606"/>
      <c r="B131" s="666"/>
      <c r="C131" s="1541"/>
      <c r="D131" s="1541"/>
      <c r="E131" s="1541"/>
      <c r="F131" s="1541"/>
      <c r="G131" s="666"/>
      <c r="H131" s="666"/>
      <c r="I131" s="634"/>
      <c r="J131" s="1541"/>
      <c r="K131" s="1541"/>
      <c r="L131" s="1541"/>
      <c r="M131" s="1541"/>
      <c r="N131" s="1541"/>
      <c r="O131" s="1541"/>
      <c r="P131" s="1541"/>
      <c r="AE131" s="1541"/>
      <c r="AF131" s="637"/>
      <c r="AG131" s="637"/>
      <c r="AH131" s="637"/>
      <c r="AI131" s="637"/>
      <c r="AJ131" s="652"/>
      <c r="AK131" s="652"/>
      <c r="AL131" s="1542"/>
      <c r="AN131" s="637"/>
      <c r="AO131" s="637"/>
      <c r="AP131" s="1541"/>
      <c r="AQ131" s="1541"/>
      <c r="AR131" s="1541"/>
      <c r="AS131" s="1541"/>
      <c r="AT131" s="1541"/>
      <c r="AU131" s="1541"/>
      <c r="AV131" s="1541"/>
      <c r="AW131" s="1541"/>
      <c r="AX131" s="1541"/>
    </row>
    <row r="132" spans="1:50" s="12" customFormat="1" ht="19.5" customHeight="1" x14ac:dyDescent="0.2">
      <c r="A132" s="606"/>
      <c r="B132" s="666"/>
      <c r="C132" s="1541"/>
      <c r="D132" s="1541"/>
      <c r="E132" s="1541"/>
      <c r="F132" s="1541"/>
      <c r="G132" s="666"/>
      <c r="H132" s="666"/>
      <c r="I132" s="634"/>
      <c r="J132" s="1541"/>
      <c r="K132" s="1541"/>
      <c r="L132" s="1541"/>
      <c r="M132" s="1541"/>
      <c r="N132" s="1541"/>
      <c r="O132" s="1541"/>
      <c r="P132" s="1541"/>
      <c r="AE132" s="1541"/>
      <c r="AF132" s="637"/>
      <c r="AG132" s="637"/>
      <c r="AH132" s="637"/>
      <c r="AI132" s="637"/>
      <c r="AJ132" s="652"/>
      <c r="AK132" s="652"/>
      <c r="AL132" s="1542"/>
      <c r="AN132" s="637"/>
      <c r="AO132" s="637"/>
      <c r="AP132" s="1541"/>
      <c r="AQ132" s="1541"/>
      <c r="AR132" s="1541"/>
      <c r="AS132" s="1541"/>
      <c r="AT132" s="1541"/>
      <c r="AU132" s="1541"/>
      <c r="AV132" s="1541"/>
      <c r="AW132" s="1541"/>
      <c r="AX132" s="1541"/>
    </row>
    <row r="133" spans="1:50" s="12" customFormat="1" ht="19.5" customHeight="1" x14ac:dyDescent="0.2">
      <c r="A133" s="606"/>
      <c r="B133" s="666"/>
      <c r="C133" s="1541"/>
      <c r="D133" s="1541"/>
      <c r="E133" s="1541"/>
      <c r="F133" s="1541"/>
      <c r="G133" s="666"/>
      <c r="H133" s="666"/>
      <c r="I133" s="634"/>
      <c r="J133" s="1541"/>
      <c r="K133" s="1541"/>
      <c r="L133" s="1541"/>
      <c r="M133" s="1541"/>
      <c r="N133" s="1541"/>
      <c r="O133" s="1541"/>
      <c r="P133" s="1541"/>
      <c r="AE133" s="1541"/>
      <c r="AF133" s="637"/>
      <c r="AG133" s="637"/>
      <c r="AH133" s="637"/>
      <c r="AI133" s="637"/>
      <c r="AJ133" s="652"/>
      <c r="AK133" s="652"/>
      <c r="AL133" s="1542"/>
      <c r="AN133" s="637"/>
      <c r="AO133" s="637"/>
      <c r="AP133" s="1541"/>
      <c r="AQ133" s="1541"/>
      <c r="AR133" s="1541"/>
      <c r="AS133" s="1541"/>
      <c r="AT133" s="1541"/>
      <c r="AU133" s="1541"/>
      <c r="AV133" s="1541"/>
      <c r="AW133" s="1541"/>
      <c r="AX133" s="1541"/>
    </row>
    <row r="134" spans="1:50" s="12" customFormat="1" ht="19.5" customHeight="1" x14ac:dyDescent="0.2">
      <c r="A134" s="606"/>
      <c r="B134" s="666"/>
      <c r="C134" s="1541"/>
      <c r="D134" s="1541"/>
      <c r="E134" s="1541"/>
      <c r="F134" s="1541"/>
      <c r="G134" s="666"/>
      <c r="H134" s="666"/>
      <c r="I134" s="634"/>
      <c r="J134" s="1541"/>
      <c r="K134" s="1541"/>
      <c r="L134" s="1541"/>
      <c r="M134" s="1541"/>
      <c r="N134" s="1541"/>
      <c r="O134" s="1541"/>
      <c r="P134" s="1541"/>
      <c r="AE134" s="1541"/>
      <c r="AF134" s="637"/>
      <c r="AG134" s="637"/>
      <c r="AH134" s="637"/>
      <c r="AI134" s="637"/>
      <c r="AJ134" s="652"/>
      <c r="AK134" s="652"/>
      <c r="AL134" s="1542"/>
      <c r="AN134" s="637"/>
      <c r="AO134" s="637"/>
      <c r="AP134" s="1541"/>
      <c r="AQ134" s="1541"/>
      <c r="AR134" s="1541"/>
      <c r="AS134" s="1541"/>
      <c r="AT134" s="1541"/>
      <c r="AU134" s="1541"/>
      <c r="AV134" s="1541"/>
      <c r="AW134" s="1541"/>
      <c r="AX134" s="1541"/>
    </row>
    <row r="135" spans="1:50" s="12" customFormat="1" ht="19.5" customHeight="1" x14ac:dyDescent="0.2">
      <c r="A135" s="606"/>
      <c r="B135" s="666"/>
      <c r="C135" s="1541"/>
      <c r="D135" s="1541"/>
      <c r="E135" s="1541"/>
      <c r="F135" s="1541"/>
      <c r="G135" s="666"/>
      <c r="H135" s="666"/>
      <c r="I135" s="634"/>
      <c r="J135" s="1541"/>
      <c r="K135" s="1541"/>
      <c r="L135" s="1541"/>
      <c r="M135" s="1541"/>
      <c r="N135" s="1541"/>
      <c r="O135" s="1541"/>
      <c r="P135" s="1541"/>
      <c r="AE135" s="1541"/>
      <c r="AF135" s="637"/>
      <c r="AG135" s="637"/>
      <c r="AH135" s="637"/>
      <c r="AI135" s="637"/>
      <c r="AJ135" s="652"/>
      <c r="AK135" s="652"/>
      <c r="AL135" s="1542"/>
      <c r="AN135" s="637"/>
      <c r="AO135" s="637"/>
      <c r="AP135" s="1541"/>
      <c r="AQ135" s="1541"/>
      <c r="AR135" s="1541"/>
      <c r="AS135" s="1541"/>
      <c r="AT135" s="1541"/>
      <c r="AU135" s="1541"/>
      <c r="AV135" s="1541"/>
      <c r="AW135" s="1541"/>
      <c r="AX135" s="1541"/>
    </row>
    <row r="136" spans="1:50" s="12" customFormat="1" ht="19.5" customHeight="1" x14ac:dyDescent="0.2">
      <c r="A136" s="606"/>
      <c r="B136" s="666"/>
      <c r="C136" s="1541"/>
      <c r="D136" s="1541"/>
      <c r="E136" s="1541"/>
      <c r="F136" s="1541"/>
      <c r="G136" s="666"/>
      <c r="H136" s="666"/>
      <c r="I136" s="634"/>
      <c r="J136" s="1541"/>
      <c r="K136" s="1541"/>
      <c r="L136" s="1541"/>
      <c r="M136" s="1541"/>
      <c r="N136" s="1541"/>
      <c r="O136" s="1541"/>
      <c r="P136" s="1541"/>
      <c r="AE136" s="1541"/>
      <c r="AF136" s="637"/>
      <c r="AG136" s="637"/>
      <c r="AH136" s="637"/>
      <c r="AI136" s="637"/>
      <c r="AJ136" s="652"/>
      <c r="AK136" s="652"/>
      <c r="AL136" s="1542"/>
      <c r="AN136" s="637"/>
      <c r="AO136" s="637"/>
      <c r="AP136" s="1541"/>
      <c r="AQ136" s="1541"/>
      <c r="AR136" s="1541"/>
      <c r="AS136" s="1541"/>
      <c r="AT136" s="1541"/>
      <c r="AU136" s="1541"/>
      <c r="AV136" s="1541"/>
      <c r="AW136" s="1541"/>
      <c r="AX136" s="1541"/>
    </row>
    <row r="137" spans="1:50" s="12" customFormat="1" ht="19.5" customHeight="1" x14ac:dyDescent="0.2">
      <c r="A137" s="606"/>
      <c r="B137" s="666"/>
      <c r="C137" s="1541"/>
      <c r="D137" s="1541"/>
      <c r="E137" s="1541"/>
      <c r="F137" s="1541"/>
      <c r="G137" s="666"/>
      <c r="H137" s="666"/>
      <c r="I137" s="634"/>
      <c r="J137" s="1541"/>
      <c r="K137" s="1541"/>
      <c r="L137" s="1541"/>
      <c r="M137" s="1541"/>
      <c r="N137" s="1541"/>
      <c r="O137" s="1541"/>
      <c r="P137" s="1541"/>
      <c r="AE137" s="1541"/>
      <c r="AF137" s="637"/>
      <c r="AG137" s="637"/>
      <c r="AH137" s="637"/>
      <c r="AI137" s="637"/>
      <c r="AJ137" s="652"/>
      <c r="AK137" s="652"/>
      <c r="AL137" s="1542"/>
      <c r="AN137" s="637"/>
      <c r="AO137" s="637"/>
      <c r="AP137" s="1541"/>
      <c r="AQ137" s="1541"/>
      <c r="AR137" s="1541"/>
      <c r="AS137" s="1541"/>
      <c r="AT137" s="1541"/>
      <c r="AU137" s="1541"/>
      <c r="AV137" s="1541"/>
      <c r="AW137" s="1541"/>
      <c r="AX137" s="1541"/>
    </row>
    <row r="138" spans="1:50" s="12" customFormat="1" ht="19.5" customHeight="1" x14ac:dyDescent="0.2">
      <c r="A138" s="606"/>
      <c r="B138" s="666"/>
      <c r="C138" s="1541"/>
      <c r="D138" s="1541"/>
      <c r="E138" s="1541"/>
      <c r="F138" s="1541"/>
      <c r="G138" s="666"/>
      <c r="H138" s="666"/>
      <c r="I138" s="634"/>
      <c r="J138" s="1541"/>
      <c r="K138" s="1541"/>
      <c r="L138" s="1541"/>
      <c r="M138" s="1541"/>
      <c r="N138" s="1541"/>
      <c r="O138" s="1541"/>
      <c r="P138" s="1541"/>
      <c r="AE138" s="1541"/>
      <c r="AF138" s="637"/>
      <c r="AG138" s="637"/>
      <c r="AH138" s="637"/>
      <c r="AI138" s="637"/>
      <c r="AJ138" s="652"/>
      <c r="AK138" s="652"/>
      <c r="AL138" s="1542"/>
      <c r="AN138" s="637"/>
      <c r="AO138" s="637"/>
      <c r="AP138" s="1541"/>
      <c r="AQ138" s="1541"/>
      <c r="AR138" s="1541"/>
      <c r="AS138" s="1541"/>
      <c r="AT138" s="1541"/>
      <c r="AU138" s="1541"/>
      <c r="AV138" s="1541"/>
      <c r="AW138" s="1541"/>
      <c r="AX138" s="1541"/>
    </row>
    <row r="139" spans="1:50" s="12" customFormat="1" ht="19.5" customHeight="1" x14ac:dyDescent="0.2">
      <c r="A139" s="606"/>
      <c r="B139" s="666"/>
      <c r="C139" s="1541"/>
      <c r="D139" s="1541"/>
      <c r="E139" s="1541"/>
      <c r="F139" s="1541"/>
      <c r="G139" s="666"/>
      <c r="H139" s="666"/>
      <c r="I139" s="634"/>
      <c r="J139" s="1541"/>
      <c r="K139" s="1541"/>
      <c r="L139" s="1541"/>
      <c r="M139" s="1541"/>
      <c r="N139" s="1541"/>
      <c r="O139" s="1541"/>
      <c r="P139" s="1541"/>
      <c r="AE139" s="1541"/>
      <c r="AF139" s="637"/>
      <c r="AG139" s="637"/>
      <c r="AH139" s="637"/>
      <c r="AI139" s="637"/>
      <c r="AJ139" s="652"/>
      <c r="AK139" s="652"/>
      <c r="AL139" s="1542"/>
      <c r="AN139" s="637"/>
      <c r="AO139" s="637"/>
      <c r="AP139" s="1541"/>
      <c r="AQ139" s="1541"/>
      <c r="AR139" s="1541"/>
      <c r="AS139" s="1541"/>
      <c r="AT139" s="1541"/>
      <c r="AU139" s="1541"/>
      <c r="AV139" s="1541"/>
      <c r="AW139" s="1541"/>
      <c r="AX139" s="1541"/>
    </row>
    <row r="140" spans="1:50" s="12" customFormat="1" ht="19.5" customHeight="1" x14ac:dyDescent="0.2">
      <c r="A140" s="606"/>
      <c r="B140" s="666"/>
      <c r="C140" s="1541"/>
      <c r="D140" s="1541"/>
      <c r="E140" s="1541"/>
      <c r="F140" s="1541"/>
      <c r="G140" s="666"/>
      <c r="H140" s="666"/>
      <c r="I140" s="634"/>
      <c r="J140" s="1541"/>
      <c r="K140" s="1541"/>
      <c r="L140" s="1541"/>
      <c r="M140" s="1541"/>
      <c r="N140" s="1541"/>
      <c r="O140" s="1541"/>
      <c r="P140" s="1541"/>
      <c r="AE140" s="1541"/>
      <c r="AF140" s="637"/>
      <c r="AG140" s="637"/>
      <c r="AH140" s="637"/>
      <c r="AI140" s="637"/>
      <c r="AJ140" s="652"/>
      <c r="AK140" s="652"/>
      <c r="AL140" s="1542"/>
      <c r="AN140" s="637"/>
      <c r="AO140" s="637"/>
      <c r="AP140" s="1541"/>
      <c r="AQ140" s="1541"/>
      <c r="AR140" s="1541"/>
      <c r="AS140" s="1541"/>
      <c r="AT140" s="1541"/>
      <c r="AU140" s="1541"/>
      <c r="AV140" s="1541"/>
      <c r="AW140" s="1541"/>
      <c r="AX140" s="1541"/>
    </row>
    <row r="141" spans="1:50" s="12" customFormat="1" ht="19.5" customHeight="1" x14ac:dyDescent="0.2">
      <c r="A141" s="606"/>
      <c r="B141" s="666"/>
      <c r="C141" s="1541"/>
      <c r="D141" s="1541"/>
      <c r="E141" s="1541"/>
      <c r="F141" s="1541"/>
      <c r="G141" s="666"/>
      <c r="H141" s="666"/>
      <c r="I141" s="634"/>
      <c r="J141" s="1541"/>
      <c r="K141" s="1541"/>
      <c r="L141" s="1541"/>
      <c r="M141" s="1541"/>
      <c r="N141" s="1541"/>
      <c r="O141" s="1541"/>
      <c r="P141" s="1541"/>
      <c r="AE141" s="1541"/>
      <c r="AF141" s="637"/>
      <c r="AG141" s="637"/>
      <c r="AH141" s="637"/>
      <c r="AI141" s="637"/>
      <c r="AJ141" s="652"/>
      <c r="AK141" s="652"/>
      <c r="AL141" s="1542"/>
      <c r="AN141" s="637"/>
      <c r="AO141" s="637"/>
      <c r="AP141" s="1541"/>
      <c r="AQ141" s="1541"/>
      <c r="AR141" s="1541"/>
      <c r="AS141" s="1541"/>
      <c r="AT141" s="1541"/>
      <c r="AU141" s="1541"/>
      <c r="AV141" s="1541"/>
      <c r="AW141" s="1541"/>
      <c r="AX141" s="1541"/>
    </row>
    <row r="142" spans="1:50" s="12" customFormat="1" ht="19.5" customHeight="1" x14ac:dyDescent="0.2">
      <c r="A142" s="606"/>
      <c r="B142" s="666"/>
      <c r="C142" s="1541"/>
      <c r="D142" s="1541"/>
      <c r="E142" s="1541"/>
      <c r="F142" s="1541"/>
      <c r="G142" s="666"/>
      <c r="H142" s="666"/>
      <c r="I142" s="634"/>
      <c r="J142" s="1541"/>
      <c r="K142" s="1541"/>
      <c r="L142" s="1541"/>
      <c r="M142" s="1541"/>
      <c r="N142" s="1541"/>
      <c r="O142" s="1541"/>
      <c r="P142" s="1541"/>
      <c r="AE142" s="1541"/>
      <c r="AF142" s="637"/>
      <c r="AG142" s="637"/>
      <c r="AH142" s="637"/>
      <c r="AI142" s="637"/>
      <c r="AJ142" s="652"/>
      <c r="AK142" s="652"/>
      <c r="AL142" s="1542"/>
      <c r="AN142" s="637"/>
      <c r="AO142" s="637"/>
      <c r="AP142" s="1541"/>
      <c r="AQ142" s="1541"/>
      <c r="AR142" s="1541"/>
      <c r="AS142" s="1541"/>
      <c r="AT142" s="1541"/>
      <c r="AU142" s="1541"/>
      <c r="AV142" s="1541"/>
      <c r="AW142" s="1541"/>
      <c r="AX142" s="1541"/>
    </row>
    <row r="143" spans="1:50" s="12" customFormat="1" ht="19.5" customHeight="1" x14ac:dyDescent="0.2">
      <c r="A143" s="606"/>
      <c r="B143" s="666"/>
      <c r="C143" s="1541"/>
      <c r="D143" s="1541"/>
      <c r="E143" s="1541"/>
      <c r="F143" s="1541"/>
      <c r="G143" s="666"/>
      <c r="H143" s="666"/>
      <c r="I143" s="634"/>
      <c r="J143" s="1541"/>
      <c r="K143" s="1541"/>
      <c r="L143" s="1541"/>
      <c r="M143" s="1541"/>
      <c r="N143" s="1541"/>
      <c r="O143" s="1541"/>
      <c r="P143" s="1541"/>
      <c r="AE143" s="1541"/>
      <c r="AF143" s="637"/>
      <c r="AG143" s="637"/>
      <c r="AH143" s="637"/>
      <c r="AI143" s="637"/>
      <c r="AJ143" s="652"/>
      <c r="AK143" s="652"/>
      <c r="AL143" s="1542"/>
      <c r="AN143" s="637"/>
      <c r="AO143" s="637"/>
      <c r="AP143" s="1541"/>
      <c r="AQ143" s="1541"/>
      <c r="AR143" s="1541"/>
      <c r="AS143" s="1541"/>
      <c r="AT143" s="1541"/>
      <c r="AU143" s="1541"/>
      <c r="AV143" s="1541"/>
      <c r="AW143" s="1541"/>
      <c r="AX143" s="1541"/>
    </row>
    <row r="144" spans="1:50" s="12" customFormat="1" ht="19.5" customHeight="1" x14ac:dyDescent="0.2">
      <c r="A144" s="606"/>
      <c r="B144" s="666"/>
      <c r="C144" s="1541"/>
      <c r="D144" s="1541"/>
      <c r="E144" s="1541"/>
      <c r="F144" s="1541"/>
      <c r="G144" s="666"/>
      <c r="H144" s="666"/>
      <c r="I144" s="634"/>
      <c r="J144" s="1541"/>
      <c r="K144" s="1541"/>
      <c r="L144" s="1541"/>
      <c r="M144" s="1541"/>
      <c r="N144" s="1541"/>
      <c r="O144" s="1541"/>
      <c r="P144" s="1541"/>
      <c r="AE144" s="1541"/>
      <c r="AF144" s="637"/>
      <c r="AG144" s="637"/>
      <c r="AH144" s="637"/>
      <c r="AI144" s="637"/>
      <c r="AJ144" s="652"/>
      <c r="AK144" s="652"/>
      <c r="AL144" s="1542"/>
      <c r="AN144" s="637"/>
      <c r="AO144" s="637"/>
      <c r="AP144" s="1541"/>
      <c r="AQ144" s="1541"/>
      <c r="AR144" s="1541"/>
      <c r="AS144" s="1541"/>
      <c r="AT144" s="1541"/>
      <c r="AU144" s="1541"/>
      <c r="AV144" s="1541"/>
      <c r="AW144" s="1541"/>
      <c r="AX144" s="1541"/>
    </row>
    <row r="145" spans="1:50" s="12" customFormat="1" ht="19.5" customHeight="1" x14ac:dyDescent="0.2">
      <c r="A145" s="606"/>
      <c r="B145" s="666"/>
      <c r="C145" s="1541"/>
      <c r="D145" s="1541"/>
      <c r="E145" s="1541"/>
      <c r="F145" s="1541"/>
      <c r="G145" s="666"/>
      <c r="H145" s="666"/>
      <c r="I145" s="634"/>
      <c r="J145" s="1541"/>
      <c r="K145" s="1541"/>
      <c r="L145" s="1541"/>
      <c r="M145" s="1541"/>
      <c r="N145" s="1541"/>
      <c r="O145" s="1541"/>
      <c r="P145" s="1541"/>
      <c r="AE145" s="1541"/>
      <c r="AF145" s="637"/>
      <c r="AG145" s="637"/>
      <c r="AH145" s="637"/>
      <c r="AI145" s="637"/>
      <c r="AJ145" s="652"/>
      <c r="AK145" s="652"/>
      <c r="AL145" s="1542"/>
      <c r="AN145" s="637"/>
      <c r="AO145" s="637"/>
      <c r="AP145" s="1541"/>
      <c r="AQ145" s="1541"/>
      <c r="AR145" s="1541"/>
      <c r="AS145" s="1541"/>
      <c r="AT145" s="1541"/>
      <c r="AU145" s="1541"/>
      <c r="AV145" s="1541"/>
      <c r="AW145" s="1541"/>
      <c r="AX145" s="1541"/>
    </row>
    <row r="146" spans="1:50" s="12" customFormat="1" ht="19.5" customHeight="1" x14ac:dyDescent="0.2">
      <c r="A146" s="606"/>
      <c r="B146" s="666"/>
      <c r="C146" s="1541"/>
      <c r="D146" s="1541"/>
      <c r="E146" s="1541"/>
      <c r="F146" s="1541"/>
      <c r="G146" s="666"/>
      <c r="H146" s="666"/>
      <c r="I146" s="634"/>
      <c r="J146" s="1541"/>
      <c r="K146" s="1541"/>
      <c r="L146" s="1541"/>
      <c r="M146" s="1541"/>
      <c r="N146" s="1541"/>
      <c r="O146" s="1541"/>
      <c r="P146" s="1541"/>
      <c r="AE146" s="1541"/>
      <c r="AF146" s="637"/>
      <c r="AG146" s="637"/>
      <c r="AH146" s="637"/>
      <c r="AI146" s="637"/>
      <c r="AJ146" s="652"/>
      <c r="AK146" s="652"/>
      <c r="AL146" s="1542"/>
      <c r="AN146" s="637"/>
      <c r="AO146" s="637"/>
      <c r="AP146" s="1541"/>
      <c r="AQ146" s="1541"/>
      <c r="AR146" s="1541"/>
      <c r="AS146" s="1541"/>
      <c r="AT146" s="1541"/>
      <c r="AU146" s="1541"/>
      <c r="AV146" s="1541"/>
      <c r="AW146" s="1541"/>
      <c r="AX146" s="1541"/>
    </row>
    <row r="147" spans="1:50" s="12" customFormat="1" ht="19.5" customHeight="1" x14ac:dyDescent="0.2">
      <c r="A147" s="606"/>
      <c r="B147" s="666"/>
      <c r="C147" s="1541"/>
      <c r="D147" s="1541"/>
      <c r="E147" s="1541"/>
      <c r="F147" s="1541"/>
      <c r="G147" s="666"/>
      <c r="H147" s="666"/>
      <c r="I147" s="634"/>
      <c r="J147" s="1541"/>
      <c r="K147" s="1541"/>
      <c r="L147" s="1541"/>
      <c r="M147" s="1541"/>
      <c r="N147" s="1541"/>
      <c r="O147" s="1541"/>
      <c r="P147" s="1541"/>
      <c r="AE147" s="1541"/>
      <c r="AF147" s="637"/>
      <c r="AG147" s="637"/>
      <c r="AH147" s="637"/>
      <c r="AI147" s="637"/>
      <c r="AJ147" s="652"/>
      <c r="AK147" s="652"/>
      <c r="AL147" s="1542"/>
      <c r="AN147" s="637"/>
      <c r="AO147" s="637"/>
      <c r="AP147" s="1541"/>
      <c r="AQ147" s="1541"/>
      <c r="AR147" s="1541"/>
      <c r="AS147" s="1541"/>
      <c r="AT147" s="1541"/>
      <c r="AU147" s="1541"/>
      <c r="AV147" s="1541"/>
      <c r="AW147" s="1541"/>
      <c r="AX147" s="1541"/>
    </row>
    <row r="148" spans="1:50" s="12" customFormat="1" ht="19.5" customHeight="1" x14ac:dyDescent="0.2">
      <c r="A148" s="606"/>
      <c r="B148" s="666"/>
      <c r="C148" s="1541"/>
      <c r="D148" s="1541"/>
      <c r="E148" s="1541"/>
      <c r="F148" s="1541"/>
      <c r="G148" s="666"/>
      <c r="H148" s="666"/>
      <c r="I148" s="634"/>
      <c r="J148" s="1541"/>
      <c r="K148" s="1541"/>
      <c r="L148" s="1541"/>
      <c r="M148" s="1541"/>
      <c r="N148" s="1541"/>
      <c r="O148" s="1541"/>
      <c r="P148" s="1541"/>
      <c r="AE148" s="1541"/>
      <c r="AF148" s="637"/>
      <c r="AG148" s="637"/>
      <c r="AH148" s="637"/>
      <c r="AI148" s="637"/>
      <c r="AJ148" s="652"/>
      <c r="AK148" s="652"/>
      <c r="AL148" s="1542"/>
      <c r="AN148" s="637"/>
      <c r="AO148" s="637"/>
      <c r="AP148" s="1541"/>
      <c r="AQ148" s="1541"/>
      <c r="AR148" s="1541"/>
      <c r="AS148" s="1541"/>
      <c r="AT148" s="1541"/>
      <c r="AU148" s="1541"/>
      <c r="AV148" s="1541"/>
      <c r="AW148" s="1541"/>
      <c r="AX148" s="1541"/>
    </row>
    <row r="149" spans="1:50" s="12" customFormat="1" ht="19.5" customHeight="1" x14ac:dyDescent="0.2">
      <c r="A149" s="606"/>
      <c r="B149" s="666"/>
      <c r="C149" s="1541"/>
      <c r="D149" s="1541"/>
      <c r="E149" s="1541"/>
      <c r="F149" s="1541"/>
      <c r="G149" s="666"/>
      <c r="H149" s="666"/>
      <c r="I149" s="634"/>
      <c r="J149" s="1541"/>
      <c r="K149" s="1541"/>
      <c r="L149" s="1541"/>
      <c r="M149" s="1541"/>
      <c r="N149" s="1541"/>
      <c r="O149" s="1541"/>
      <c r="P149" s="1541"/>
      <c r="AE149" s="1541"/>
      <c r="AF149" s="637"/>
      <c r="AG149" s="637"/>
      <c r="AH149" s="637"/>
      <c r="AI149" s="637"/>
      <c r="AJ149" s="652"/>
      <c r="AK149" s="652"/>
      <c r="AL149" s="1542"/>
      <c r="AN149" s="637"/>
      <c r="AO149" s="637"/>
      <c r="AP149" s="1541"/>
      <c r="AQ149" s="1541"/>
      <c r="AR149" s="1541"/>
      <c r="AS149" s="1541"/>
      <c r="AT149" s="1541"/>
      <c r="AU149" s="1541"/>
      <c r="AV149" s="1541"/>
      <c r="AW149" s="1541"/>
      <c r="AX149" s="1541"/>
    </row>
    <row r="150" spans="1:50" s="12" customFormat="1" ht="19.5" customHeight="1" x14ac:dyDescent="0.2">
      <c r="A150" s="606"/>
      <c r="B150" s="666"/>
      <c r="C150" s="1541"/>
      <c r="D150" s="1541"/>
      <c r="E150" s="1541"/>
      <c r="F150" s="1541"/>
      <c r="G150" s="666"/>
      <c r="H150" s="666"/>
      <c r="I150" s="634"/>
      <c r="J150" s="1541"/>
      <c r="K150" s="1541"/>
      <c r="L150" s="1541"/>
      <c r="M150" s="1541"/>
      <c r="N150" s="1541"/>
      <c r="O150" s="1541"/>
      <c r="P150" s="1541"/>
      <c r="AE150" s="1541"/>
      <c r="AF150" s="637"/>
      <c r="AG150" s="637"/>
      <c r="AH150" s="637"/>
      <c r="AI150" s="637"/>
      <c r="AJ150" s="637"/>
      <c r="AK150" s="637"/>
      <c r="AL150" s="1542"/>
      <c r="AN150" s="637"/>
      <c r="AO150" s="637"/>
      <c r="AP150" s="1541"/>
      <c r="AQ150" s="1541"/>
      <c r="AR150" s="1541"/>
      <c r="AS150" s="1541"/>
      <c r="AT150" s="1541"/>
      <c r="AU150" s="1541"/>
      <c r="AV150" s="1541"/>
      <c r="AW150" s="1541"/>
      <c r="AX150" s="1541"/>
    </row>
    <row r="151" spans="1:50" s="12" customFormat="1" ht="19.5" customHeight="1" x14ac:dyDescent="0.2">
      <c r="A151" s="606"/>
      <c r="B151" s="666"/>
      <c r="C151" s="1541"/>
      <c r="D151" s="1541"/>
      <c r="E151" s="1541"/>
      <c r="F151" s="1541"/>
      <c r="G151" s="666"/>
      <c r="H151" s="666"/>
      <c r="I151" s="634"/>
      <c r="J151" s="1541"/>
      <c r="K151" s="1541"/>
      <c r="L151" s="1541"/>
      <c r="M151" s="1541"/>
      <c r="N151" s="1541"/>
      <c r="O151" s="1541"/>
      <c r="P151" s="1541"/>
      <c r="AE151" s="1541"/>
      <c r="AF151" s="637"/>
      <c r="AG151" s="637"/>
      <c r="AH151" s="637"/>
      <c r="AI151" s="637"/>
      <c r="AJ151" s="637"/>
      <c r="AK151" s="637"/>
      <c r="AL151" s="1542"/>
      <c r="AN151" s="637"/>
      <c r="AO151" s="637"/>
      <c r="AP151" s="1541"/>
      <c r="AQ151" s="1541"/>
      <c r="AR151" s="1541"/>
      <c r="AS151" s="1541"/>
      <c r="AT151" s="1541"/>
      <c r="AU151" s="1541"/>
      <c r="AV151" s="1541"/>
      <c r="AW151" s="1541"/>
      <c r="AX151" s="1541"/>
    </row>
    <row r="152" spans="1:50" s="12" customFormat="1" ht="19.5" customHeight="1" x14ac:dyDescent="0.2">
      <c r="A152" s="606"/>
      <c r="B152" s="666"/>
      <c r="C152" s="1541"/>
      <c r="D152" s="1541"/>
      <c r="E152" s="1541"/>
      <c r="F152" s="1541"/>
      <c r="G152" s="666"/>
      <c r="H152" s="666"/>
      <c r="I152" s="634"/>
      <c r="J152" s="1541"/>
      <c r="K152" s="1541"/>
      <c r="L152" s="1541"/>
      <c r="M152" s="1541"/>
      <c r="N152" s="1541"/>
      <c r="O152" s="1541"/>
      <c r="P152" s="1541"/>
      <c r="AE152" s="1541"/>
      <c r="AF152" s="637"/>
      <c r="AG152" s="637"/>
      <c r="AH152" s="637"/>
      <c r="AI152" s="637"/>
      <c r="AJ152" s="637"/>
      <c r="AK152" s="637"/>
      <c r="AL152" s="1542"/>
      <c r="AN152" s="637"/>
      <c r="AO152" s="637"/>
      <c r="AP152" s="1541"/>
      <c r="AQ152" s="1541"/>
      <c r="AR152" s="1541"/>
      <c r="AS152" s="1541"/>
      <c r="AT152" s="1541"/>
      <c r="AU152" s="1541"/>
      <c r="AV152" s="1541"/>
      <c r="AW152" s="1541"/>
      <c r="AX152" s="1541"/>
    </row>
    <row r="153" spans="1:50" s="12" customFormat="1" ht="19.5" customHeight="1" x14ac:dyDescent="0.2">
      <c r="A153" s="606"/>
      <c r="B153" s="666"/>
      <c r="C153" s="1541"/>
      <c r="D153" s="1541"/>
      <c r="E153" s="1541"/>
      <c r="F153" s="1541"/>
      <c r="G153" s="666"/>
      <c r="H153" s="666"/>
      <c r="I153" s="634"/>
      <c r="J153" s="1541"/>
      <c r="K153" s="1541"/>
      <c r="L153" s="1541"/>
      <c r="M153" s="1541"/>
      <c r="N153" s="1541"/>
      <c r="O153" s="1541"/>
      <c r="P153" s="1541"/>
      <c r="AE153" s="1541"/>
      <c r="AF153" s="637"/>
      <c r="AG153" s="637"/>
      <c r="AH153" s="637"/>
      <c r="AI153" s="637"/>
      <c r="AJ153" s="637"/>
      <c r="AK153" s="637"/>
      <c r="AL153" s="1542"/>
      <c r="AN153" s="637"/>
      <c r="AO153" s="637"/>
      <c r="AP153" s="1541"/>
      <c r="AQ153" s="1541"/>
      <c r="AR153" s="1541"/>
      <c r="AS153" s="1541"/>
      <c r="AT153" s="1541"/>
      <c r="AU153" s="1541"/>
      <c r="AV153" s="1541"/>
      <c r="AW153" s="1541"/>
      <c r="AX153" s="1541"/>
    </row>
    <row r="154" spans="1:50" s="12" customFormat="1" ht="19.5" customHeight="1" x14ac:dyDescent="0.2">
      <c r="A154" s="606"/>
      <c r="B154" s="666"/>
      <c r="C154" s="1541"/>
      <c r="D154" s="1541"/>
      <c r="E154" s="1541"/>
      <c r="F154" s="1541"/>
      <c r="G154" s="666"/>
      <c r="H154" s="666"/>
      <c r="I154" s="634"/>
      <c r="J154" s="1541"/>
      <c r="K154" s="1541"/>
      <c r="L154" s="1541"/>
      <c r="M154" s="1541"/>
      <c r="N154" s="1541"/>
      <c r="O154" s="1541"/>
      <c r="P154" s="1541"/>
      <c r="AE154" s="1541"/>
      <c r="AF154" s="637"/>
      <c r="AG154" s="637"/>
      <c r="AH154" s="637"/>
      <c r="AI154" s="637"/>
      <c r="AJ154" s="637"/>
      <c r="AK154" s="637"/>
      <c r="AL154" s="1542"/>
      <c r="AN154" s="637"/>
      <c r="AO154" s="637"/>
      <c r="AP154" s="1541"/>
      <c r="AQ154" s="1541"/>
      <c r="AR154" s="1541"/>
      <c r="AS154" s="1541"/>
      <c r="AT154" s="1541"/>
      <c r="AU154" s="1541"/>
      <c r="AV154" s="1541"/>
      <c r="AW154" s="1541"/>
      <c r="AX154" s="1541"/>
    </row>
    <row r="155" spans="1:50" s="12" customFormat="1" ht="19.5" customHeight="1" x14ac:dyDescent="0.2">
      <c r="A155" s="606"/>
      <c r="B155" s="666"/>
      <c r="C155" s="1541"/>
      <c r="D155" s="1541"/>
      <c r="E155" s="1541"/>
      <c r="F155" s="1541"/>
      <c r="G155" s="666"/>
      <c r="H155" s="666"/>
      <c r="I155" s="634"/>
      <c r="J155" s="1541"/>
      <c r="K155" s="1541"/>
      <c r="L155" s="1541"/>
      <c r="M155" s="1541"/>
      <c r="N155" s="1541"/>
      <c r="O155" s="1541"/>
      <c r="P155" s="1541"/>
      <c r="AE155" s="1541"/>
      <c r="AF155" s="637"/>
      <c r="AG155" s="637"/>
      <c r="AH155" s="637"/>
      <c r="AI155" s="637"/>
      <c r="AJ155" s="637"/>
      <c r="AK155" s="637"/>
      <c r="AL155" s="1542"/>
      <c r="AN155" s="637"/>
      <c r="AO155" s="637"/>
      <c r="AP155" s="1541"/>
      <c r="AQ155" s="1541"/>
      <c r="AR155" s="1541"/>
      <c r="AS155" s="1541"/>
      <c r="AT155" s="1541"/>
      <c r="AU155" s="1541"/>
      <c r="AV155" s="1541"/>
      <c r="AW155" s="1541"/>
      <c r="AX155" s="1541"/>
    </row>
    <row r="156" spans="1:50" s="12" customFormat="1" ht="19.5" customHeight="1" x14ac:dyDescent="0.2">
      <c r="A156" s="606"/>
      <c r="B156" s="666"/>
      <c r="C156" s="1541"/>
      <c r="D156" s="1541"/>
      <c r="E156" s="1541"/>
      <c r="F156" s="1541"/>
      <c r="G156" s="666"/>
      <c r="H156" s="666"/>
      <c r="I156" s="634"/>
      <c r="J156" s="1541"/>
      <c r="K156" s="1541"/>
      <c r="L156" s="1541"/>
      <c r="M156" s="1541"/>
      <c r="N156" s="1541"/>
      <c r="O156" s="1541"/>
      <c r="P156" s="1541"/>
      <c r="AE156" s="1541"/>
      <c r="AF156" s="637"/>
      <c r="AG156" s="637"/>
      <c r="AH156" s="637"/>
      <c r="AI156" s="637"/>
      <c r="AJ156" s="637"/>
      <c r="AK156" s="637"/>
      <c r="AL156" s="1542"/>
      <c r="AN156" s="637"/>
      <c r="AO156" s="637"/>
      <c r="AP156" s="1541"/>
      <c r="AQ156" s="1541"/>
      <c r="AR156" s="1541"/>
      <c r="AS156" s="1541"/>
      <c r="AT156" s="1541"/>
      <c r="AU156" s="1541"/>
      <c r="AV156" s="1541"/>
      <c r="AW156" s="1541"/>
      <c r="AX156" s="1541"/>
    </row>
    <row r="157" spans="1:50" s="12" customFormat="1" ht="19.5" customHeight="1" x14ac:dyDescent="0.2">
      <c r="A157" s="606"/>
      <c r="B157" s="666"/>
      <c r="C157" s="1541"/>
      <c r="D157" s="1541"/>
      <c r="E157" s="1541"/>
      <c r="F157" s="1541"/>
      <c r="G157" s="666"/>
      <c r="H157" s="666"/>
      <c r="I157" s="634"/>
      <c r="J157" s="1541"/>
      <c r="K157" s="1541"/>
      <c r="L157" s="1541"/>
      <c r="M157" s="1541"/>
      <c r="N157" s="1541"/>
      <c r="O157" s="1541"/>
      <c r="P157" s="1541"/>
      <c r="AE157" s="1541"/>
      <c r="AF157" s="637"/>
      <c r="AG157" s="637"/>
      <c r="AH157" s="637"/>
      <c r="AI157" s="637"/>
      <c r="AJ157" s="637"/>
      <c r="AK157" s="637"/>
      <c r="AL157" s="1542"/>
      <c r="AN157" s="637"/>
      <c r="AO157" s="637"/>
      <c r="AP157" s="1541"/>
      <c r="AQ157" s="1541"/>
      <c r="AR157" s="1541"/>
      <c r="AS157" s="1541"/>
      <c r="AT157" s="1541"/>
      <c r="AU157" s="1541"/>
      <c r="AV157" s="1541"/>
      <c r="AW157" s="1541"/>
      <c r="AX157" s="1541"/>
    </row>
    <row r="158" spans="1:50" s="12" customFormat="1" ht="19.5" customHeight="1" x14ac:dyDescent="0.2">
      <c r="A158" s="606"/>
      <c r="B158" s="666"/>
      <c r="C158" s="1541"/>
      <c r="D158" s="1541"/>
      <c r="E158" s="1541"/>
      <c r="F158" s="1541"/>
      <c r="G158" s="666"/>
      <c r="H158" s="666"/>
      <c r="I158" s="634"/>
      <c r="J158" s="1541"/>
      <c r="K158" s="1541"/>
      <c r="L158" s="1541"/>
      <c r="M158" s="1541"/>
      <c r="N158" s="1541"/>
      <c r="O158" s="1541"/>
      <c r="P158" s="1541"/>
      <c r="AE158" s="1541"/>
      <c r="AF158" s="637"/>
      <c r="AG158" s="637"/>
      <c r="AH158" s="637"/>
      <c r="AI158" s="637"/>
      <c r="AJ158" s="637"/>
      <c r="AK158" s="637"/>
      <c r="AL158" s="1542"/>
      <c r="AN158" s="637"/>
      <c r="AO158" s="637"/>
      <c r="AP158" s="1541"/>
      <c r="AQ158" s="1541"/>
      <c r="AR158" s="1541"/>
      <c r="AS158" s="1541"/>
      <c r="AT158" s="1541"/>
      <c r="AU158" s="1541"/>
      <c r="AV158" s="1541"/>
      <c r="AW158" s="1541"/>
      <c r="AX158" s="1541"/>
    </row>
    <row r="159" spans="1:50" s="12" customFormat="1" ht="19.5" customHeight="1" x14ac:dyDescent="0.2">
      <c r="A159" s="606"/>
      <c r="B159" s="666"/>
      <c r="C159" s="1541"/>
      <c r="D159" s="1541"/>
      <c r="E159" s="1541"/>
      <c r="F159" s="1541"/>
      <c r="G159" s="666"/>
      <c r="H159" s="666"/>
      <c r="I159" s="634"/>
      <c r="J159" s="1541"/>
      <c r="K159" s="1541"/>
      <c r="L159" s="1541"/>
      <c r="M159" s="1541"/>
      <c r="N159" s="1541"/>
      <c r="O159" s="1541"/>
      <c r="P159" s="1541"/>
      <c r="AE159" s="1541"/>
      <c r="AF159" s="637"/>
      <c r="AG159" s="637"/>
      <c r="AH159" s="637"/>
      <c r="AI159" s="637"/>
      <c r="AJ159" s="637"/>
      <c r="AK159" s="637"/>
      <c r="AL159" s="1542"/>
      <c r="AN159" s="637"/>
      <c r="AO159" s="637"/>
      <c r="AP159" s="1541"/>
      <c r="AQ159" s="1541"/>
      <c r="AR159" s="1541"/>
      <c r="AS159" s="1541"/>
      <c r="AT159" s="1541"/>
      <c r="AU159" s="1541"/>
      <c r="AV159" s="1541"/>
      <c r="AW159" s="1541"/>
      <c r="AX159" s="1541"/>
    </row>
    <row r="160" spans="1:50" s="12" customFormat="1" ht="19.5" customHeight="1" x14ac:dyDescent="0.2">
      <c r="A160" s="606"/>
      <c r="B160" s="666"/>
      <c r="C160" s="1541"/>
      <c r="D160" s="1541"/>
      <c r="E160" s="1541"/>
      <c r="F160" s="1541"/>
      <c r="G160" s="666"/>
      <c r="H160" s="666"/>
      <c r="I160" s="634"/>
      <c r="J160" s="1541"/>
      <c r="K160" s="1541"/>
      <c r="L160" s="1541"/>
      <c r="M160" s="1541"/>
      <c r="N160" s="1541"/>
      <c r="O160" s="1541"/>
      <c r="P160" s="1541"/>
      <c r="AE160" s="1541"/>
      <c r="AF160" s="637"/>
      <c r="AG160" s="637"/>
      <c r="AH160" s="637"/>
      <c r="AI160" s="637"/>
      <c r="AJ160" s="637"/>
      <c r="AK160" s="637"/>
      <c r="AL160" s="1542"/>
      <c r="AN160" s="637"/>
      <c r="AO160" s="637"/>
      <c r="AP160" s="1541"/>
      <c r="AQ160" s="1541"/>
      <c r="AR160" s="1541"/>
      <c r="AS160" s="1541"/>
      <c r="AT160" s="1541"/>
      <c r="AU160" s="1541"/>
      <c r="AV160" s="1541"/>
      <c r="AW160" s="1541"/>
      <c r="AX160" s="1541"/>
    </row>
    <row r="161" spans="1:50" s="12" customFormat="1" ht="19.5" customHeight="1" x14ac:dyDescent="0.2">
      <c r="A161" s="606"/>
      <c r="B161" s="666"/>
      <c r="C161" s="1541"/>
      <c r="D161" s="1541"/>
      <c r="E161" s="1541"/>
      <c r="F161" s="1541"/>
      <c r="G161" s="666"/>
      <c r="H161" s="666"/>
      <c r="I161" s="634"/>
      <c r="J161" s="1541"/>
      <c r="K161" s="1541"/>
      <c r="L161" s="1541"/>
      <c r="M161" s="1541"/>
      <c r="N161" s="1541"/>
      <c r="O161" s="1541"/>
      <c r="P161" s="1541"/>
      <c r="AE161" s="1541"/>
      <c r="AF161" s="637"/>
      <c r="AG161" s="637"/>
      <c r="AH161" s="637"/>
      <c r="AI161" s="637"/>
      <c r="AJ161" s="637"/>
      <c r="AK161" s="637"/>
      <c r="AL161" s="1542"/>
      <c r="AN161" s="637"/>
      <c r="AO161" s="637"/>
      <c r="AP161" s="1541"/>
      <c r="AQ161" s="1541"/>
      <c r="AR161" s="1541"/>
      <c r="AS161" s="1541"/>
      <c r="AT161" s="1541"/>
      <c r="AU161" s="1541"/>
      <c r="AV161" s="1541"/>
      <c r="AW161" s="1541"/>
      <c r="AX161" s="1541"/>
    </row>
    <row r="162" spans="1:50" s="12" customFormat="1" ht="19.5" customHeight="1" x14ac:dyDescent="0.2">
      <c r="A162" s="606"/>
      <c r="B162" s="666"/>
      <c r="C162" s="1541"/>
      <c r="D162" s="1541"/>
      <c r="E162" s="1541"/>
      <c r="F162" s="1541"/>
      <c r="G162" s="666"/>
      <c r="H162" s="666"/>
      <c r="I162" s="634"/>
      <c r="J162" s="1541"/>
      <c r="K162" s="1541"/>
      <c r="L162" s="1541"/>
      <c r="M162" s="1541"/>
      <c r="N162" s="1541"/>
      <c r="O162" s="1541"/>
      <c r="P162" s="1541"/>
      <c r="AE162" s="1541"/>
      <c r="AF162" s="637"/>
      <c r="AG162" s="637"/>
      <c r="AH162" s="637"/>
      <c r="AI162" s="637"/>
      <c r="AJ162" s="637"/>
      <c r="AK162" s="637"/>
      <c r="AL162" s="1542"/>
      <c r="AN162" s="637"/>
      <c r="AO162" s="637"/>
      <c r="AP162" s="1541"/>
      <c r="AQ162" s="1541"/>
      <c r="AR162" s="1541"/>
      <c r="AS162" s="1541"/>
      <c r="AT162" s="1541"/>
      <c r="AU162" s="1541"/>
      <c r="AV162" s="1541"/>
      <c r="AW162" s="1541"/>
      <c r="AX162" s="1541"/>
    </row>
    <row r="163" spans="1:50" s="12" customFormat="1" ht="19.5" customHeight="1" x14ac:dyDescent="0.2">
      <c r="A163" s="606"/>
      <c r="B163" s="666"/>
      <c r="C163" s="1541"/>
      <c r="D163" s="1541"/>
      <c r="E163" s="1541"/>
      <c r="F163" s="1541"/>
      <c r="G163" s="666"/>
      <c r="H163" s="666"/>
      <c r="I163" s="634"/>
      <c r="J163" s="1541"/>
      <c r="K163" s="1541"/>
      <c r="L163" s="1541"/>
      <c r="M163" s="1541"/>
      <c r="N163" s="1541"/>
      <c r="O163" s="1541"/>
      <c r="P163" s="1541"/>
      <c r="AE163" s="1541"/>
      <c r="AF163" s="637"/>
      <c r="AG163" s="637"/>
      <c r="AH163" s="637"/>
      <c r="AI163" s="637"/>
      <c r="AJ163" s="637"/>
      <c r="AK163" s="637"/>
      <c r="AL163" s="1542"/>
      <c r="AN163" s="637"/>
      <c r="AO163" s="637"/>
      <c r="AP163" s="1541"/>
      <c r="AQ163" s="1541"/>
      <c r="AR163" s="1541"/>
      <c r="AS163" s="1541"/>
      <c r="AT163" s="1541"/>
      <c r="AU163" s="1541"/>
      <c r="AV163" s="1541"/>
      <c r="AW163" s="1541"/>
      <c r="AX163" s="1541"/>
    </row>
    <row r="164" spans="1:50" s="12" customFormat="1" ht="19.5" customHeight="1" x14ac:dyDescent="0.2">
      <c r="A164" s="606"/>
      <c r="B164" s="666"/>
      <c r="C164" s="1541"/>
      <c r="D164" s="1541"/>
      <c r="E164" s="1541"/>
      <c r="F164" s="1541"/>
      <c r="G164" s="666"/>
      <c r="H164" s="666"/>
      <c r="I164" s="634"/>
      <c r="J164" s="1541"/>
      <c r="K164" s="1541"/>
      <c r="L164" s="1541"/>
      <c r="M164" s="1541"/>
      <c r="N164" s="1541"/>
      <c r="O164" s="1541"/>
      <c r="P164" s="1541"/>
      <c r="AE164" s="1541"/>
      <c r="AF164" s="637"/>
      <c r="AG164" s="637"/>
      <c r="AH164" s="637"/>
      <c r="AI164" s="637"/>
      <c r="AJ164" s="637"/>
      <c r="AK164" s="637"/>
      <c r="AL164" s="1542"/>
      <c r="AN164" s="637"/>
      <c r="AO164" s="637"/>
      <c r="AP164" s="1541"/>
      <c r="AQ164" s="1541"/>
      <c r="AR164" s="1541"/>
      <c r="AS164" s="1541"/>
      <c r="AT164" s="1541"/>
      <c r="AU164" s="1541"/>
      <c r="AV164" s="1541"/>
      <c r="AW164" s="1541"/>
      <c r="AX164" s="1541"/>
    </row>
    <row r="165" spans="1:50" s="12" customFormat="1" ht="19.5" customHeight="1" x14ac:dyDescent="0.2">
      <c r="A165" s="606"/>
      <c r="B165" s="666"/>
      <c r="C165" s="1541"/>
      <c r="D165" s="1541"/>
      <c r="E165" s="1541"/>
      <c r="F165" s="1541"/>
      <c r="G165" s="666"/>
      <c r="H165" s="666"/>
      <c r="I165" s="634"/>
      <c r="J165" s="1541"/>
      <c r="K165" s="1541"/>
      <c r="L165" s="1541"/>
      <c r="M165" s="1541"/>
      <c r="N165" s="1541"/>
      <c r="O165" s="1541"/>
      <c r="P165" s="1541"/>
      <c r="AE165" s="1541"/>
      <c r="AF165" s="637"/>
      <c r="AG165" s="637"/>
      <c r="AH165" s="637"/>
      <c r="AI165" s="637"/>
      <c r="AJ165" s="637"/>
      <c r="AK165" s="637"/>
      <c r="AL165" s="1542"/>
      <c r="AN165" s="637"/>
      <c r="AO165" s="637"/>
      <c r="AP165" s="1541"/>
      <c r="AQ165" s="1541"/>
      <c r="AR165" s="1541"/>
      <c r="AS165" s="1541"/>
      <c r="AT165" s="1541"/>
      <c r="AU165" s="1541"/>
      <c r="AV165" s="1541"/>
      <c r="AW165" s="1541"/>
      <c r="AX165" s="1541"/>
    </row>
    <row r="166" spans="1:50" s="12" customFormat="1" ht="19.5" customHeight="1" x14ac:dyDescent="0.2">
      <c r="A166" s="606"/>
      <c r="B166" s="666"/>
      <c r="C166" s="1541"/>
      <c r="D166" s="1541"/>
      <c r="E166" s="1541"/>
      <c r="F166" s="1541"/>
      <c r="G166" s="666"/>
      <c r="H166" s="666"/>
      <c r="I166" s="634"/>
      <c r="J166" s="1541"/>
      <c r="K166" s="1541"/>
      <c r="L166" s="1541"/>
      <c r="M166" s="1541"/>
      <c r="N166" s="1541"/>
      <c r="O166" s="1541"/>
      <c r="P166" s="1541"/>
      <c r="AE166" s="1541"/>
      <c r="AF166" s="637"/>
      <c r="AG166" s="637"/>
      <c r="AH166" s="637"/>
      <c r="AI166" s="637"/>
      <c r="AJ166" s="637"/>
      <c r="AK166" s="637"/>
      <c r="AL166" s="1542"/>
      <c r="AN166" s="637"/>
      <c r="AO166" s="637"/>
      <c r="AP166" s="1541"/>
      <c r="AQ166" s="1541"/>
      <c r="AR166" s="1541"/>
      <c r="AS166" s="1541"/>
      <c r="AT166" s="1541"/>
      <c r="AU166" s="1541"/>
      <c r="AV166" s="1541"/>
      <c r="AW166" s="1541"/>
      <c r="AX166" s="1541"/>
    </row>
    <row r="167" spans="1:50" s="12" customFormat="1" ht="19.5" customHeight="1" x14ac:dyDescent="0.2">
      <c r="A167" s="606"/>
      <c r="B167" s="666"/>
      <c r="C167" s="1541"/>
      <c r="D167" s="1541"/>
      <c r="E167" s="1541"/>
      <c r="F167" s="1541"/>
      <c r="G167" s="666"/>
      <c r="H167" s="666"/>
      <c r="I167" s="634"/>
      <c r="J167" s="1541"/>
      <c r="K167" s="1541"/>
      <c r="L167" s="1541"/>
      <c r="M167" s="1541"/>
      <c r="N167" s="1541"/>
      <c r="O167" s="1541"/>
      <c r="P167" s="1541"/>
      <c r="AE167" s="1541"/>
      <c r="AF167" s="637"/>
      <c r="AG167" s="637"/>
      <c r="AH167" s="637"/>
      <c r="AI167" s="637"/>
      <c r="AJ167" s="637"/>
      <c r="AK167" s="637"/>
      <c r="AL167" s="1542"/>
      <c r="AN167" s="637"/>
      <c r="AO167" s="637"/>
      <c r="AP167" s="1541"/>
      <c r="AQ167" s="1541"/>
      <c r="AR167" s="1541"/>
      <c r="AS167" s="1541"/>
      <c r="AT167" s="1541"/>
      <c r="AU167" s="1541"/>
      <c r="AV167" s="1541"/>
      <c r="AW167" s="1541"/>
      <c r="AX167" s="1541"/>
    </row>
    <row r="168" spans="1:50" s="12" customFormat="1" ht="19.5" customHeight="1" x14ac:dyDescent="0.2">
      <c r="A168" s="606"/>
      <c r="B168" s="666"/>
      <c r="C168" s="1541"/>
      <c r="D168" s="1541"/>
      <c r="E168" s="1541"/>
      <c r="F168" s="1541"/>
      <c r="G168" s="666"/>
      <c r="H168" s="666"/>
      <c r="I168" s="634"/>
      <c r="J168" s="1541"/>
      <c r="K168" s="1541"/>
      <c r="L168" s="1541"/>
      <c r="M168" s="1541"/>
      <c r="N168" s="1541"/>
      <c r="O168" s="1541"/>
      <c r="P168" s="1541"/>
      <c r="AE168" s="1541"/>
      <c r="AF168" s="637"/>
      <c r="AG168" s="637"/>
      <c r="AH168" s="637"/>
      <c r="AI168" s="637"/>
      <c r="AJ168" s="637"/>
      <c r="AK168" s="637"/>
      <c r="AL168" s="1542"/>
      <c r="AN168" s="637"/>
      <c r="AO168" s="637"/>
      <c r="AP168" s="1541"/>
      <c r="AQ168" s="1541"/>
      <c r="AR168" s="1541"/>
      <c r="AS168" s="1541"/>
      <c r="AT168" s="1541"/>
      <c r="AU168" s="1541"/>
      <c r="AV168" s="1541"/>
      <c r="AW168" s="1541"/>
      <c r="AX168" s="1541"/>
    </row>
    <row r="169" spans="1:50" s="12" customFormat="1" ht="18" x14ac:dyDescent="0.2">
      <c r="A169" s="606"/>
      <c r="B169" s="666"/>
      <c r="C169" s="1541"/>
      <c r="D169" s="1541"/>
      <c r="E169" s="1541"/>
      <c r="F169" s="1541"/>
      <c r="G169" s="666"/>
      <c r="H169" s="666"/>
      <c r="I169" s="634"/>
      <c r="J169" s="1541"/>
      <c r="K169" s="1541"/>
      <c r="L169" s="1541"/>
      <c r="M169" s="1541"/>
      <c r="N169" s="1541"/>
      <c r="O169" s="1541"/>
      <c r="P169" s="1541"/>
      <c r="AE169" s="1541"/>
      <c r="AF169" s="637"/>
      <c r="AG169" s="637"/>
      <c r="AH169" s="637"/>
      <c r="AI169" s="637"/>
      <c r="AJ169" s="637"/>
      <c r="AK169" s="637"/>
      <c r="AL169" s="1542"/>
      <c r="AN169" s="637"/>
      <c r="AO169" s="637"/>
      <c r="AP169" s="1541"/>
      <c r="AQ169" s="1541"/>
      <c r="AR169" s="1541"/>
      <c r="AS169" s="1541"/>
      <c r="AT169" s="1541"/>
      <c r="AU169" s="1541"/>
      <c r="AV169" s="1541"/>
      <c r="AW169" s="1541"/>
      <c r="AX169" s="1541"/>
    </row>
    <row r="170" spans="1:50" s="12" customFormat="1" ht="18" x14ac:dyDescent="0.2">
      <c r="A170" s="606"/>
      <c r="B170" s="666"/>
      <c r="C170" s="1541"/>
      <c r="D170" s="1541"/>
      <c r="E170" s="1541"/>
      <c r="F170" s="1541"/>
      <c r="G170" s="666"/>
      <c r="H170" s="666"/>
      <c r="I170" s="634"/>
      <c r="J170" s="1541"/>
      <c r="K170" s="1541"/>
      <c r="L170" s="1541"/>
      <c r="M170" s="1541"/>
      <c r="N170" s="1541"/>
      <c r="O170" s="1541"/>
      <c r="P170" s="1541"/>
      <c r="AE170" s="1541"/>
      <c r="AF170" s="637"/>
      <c r="AG170" s="637"/>
      <c r="AH170" s="637"/>
      <c r="AI170" s="637"/>
      <c r="AJ170" s="637"/>
      <c r="AK170" s="637"/>
      <c r="AL170" s="1542"/>
      <c r="AN170" s="637"/>
      <c r="AO170" s="637"/>
      <c r="AP170" s="1541"/>
      <c r="AQ170" s="1541"/>
      <c r="AR170" s="1541"/>
      <c r="AS170" s="1541"/>
      <c r="AT170" s="1541"/>
      <c r="AU170" s="1541"/>
      <c r="AV170" s="1541"/>
      <c r="AW170" s="1541"/>
      <c r="AX170" s="1541"/>
    </row>
    <row r="171" spans="1:50" s="12" customFormat="1" ht="18" x14ac:dyDescent="0.2">
      <c r="A171" s="606"/>
      <c r="B171" s="666"/>
      <c r="C171" s="1541"/>
      <c r="D171" s="1541"/>
      <c r="E171" s="1541"/>
      <c r="F171" s="1541"/>
      <c r="G171" s="666"/>
      <c r="H171" s="666"/>
      <c r="I171" s="634"/>
      <c r="J171" s="1541"/>
      <c r="K171" s="1541"/>
      <c r="L171" s="1541"/>
      <c r="M171" s="1541"/>
      <c r="N171" s="1541"/>
      <c r="O171" s="1541"/>
      <c r="P171" s="1541"/>
      <c r="AE171" s="1541"/>
      <c r="AF171" s="637"/>
      <c r="AG171" s="637"/>
      <c r="AH171" s="637"/>
      <c r="AI171" s="637"/>
      <c r="AJ171" s="637"/>
      <c r="AK171" s="637"/>
      <c r="AL171" s="1542"/>
      <c r="AN171" s="637"/>
      <c r="AO171" s="637"/>
      <c r="AP171" s="1541"/>
      <c r="AQ171" s="1541"/>
      <c r="AR171" s="1541"/>
      <c r="AS171" s="1541"/>
      <c r="AT171" s="1541"/>
      <c r="AU171" s="1541"/>
      <c r="AV171" s="1541"/>
      <c r="AW171" s="1541"/>
      <c r="AX171" s="1541"/>
    </row>
    <row r="172" spans="1:50" s="12" customFormat="1" ht="18" x14ac:dyDescent="0.2">
      <c r="A172" s="606"/>
      <c r="B172" s="666"/>
      <c r="C172" s="1541"/>
      <c r="D172" s="1541"/>
      <c r="E172" s="1541"/>
      <c r="F172" s="1541"/>
      <c r="G172" s="666"/>
      <c r="H172" s="666"/>
      <c r="I172" s="634"/>
      <c r="J172" s="1541"/>
      <c r="K172" s="1541"/>
      <c r="L172" s="1541"/>
      <c r="M172" s="1541"/>
      <c r="N172" s="1541"/>
      <c r="O172" s="1541"/>
      <c r="P172" s="1541"/>
      <c r="AE172" s="1541"/>
      <c r="AF172" s="637"/>
      <c r="AG172" s="637"/>
      <c r="AH172" s="637"/>
      <c r="AI172" s="637"/>
      <c r="AJ172" s="637"/>
      <c r="AK172" s="637"/>
      <c r="AL172" s="1542"/>
      <c r="AN172" s="637"/>
      <c r="AO172" s="637"/>
      <c r="AP172" s="1541"/>
      <c r="AQ172" s="1541"/>
      <c r="AR172" s="1541"/>
      <c r="AS172" s="1541"/>
      <c r="AT172" s="1541"/>
      <c r="AU172" s="1541"/>
      <c r="AV172" s="1541"/>
      <c r="AW172" s="1541"/>
      <c r="AX172" s="1541"/>
    </row>
    <row r="173" spans="1:50" s="12" customFormat="1" ht="18" x14ac:dyDescent="0.2">
      <c r="A173" s="606"/>
      <c r="B173" s="666"/>
      <c r="C173" s="1541"/>
      <c r="D173" s="1541"/>
      <c r="E173" s="1541"/>
      <c r="F173" s="1541"/>
      <c r="G173" s="666"/>
      <c r="H173" s="666"/>
      <c r="I173" s="634"/>
      <c r="J173" s="1541"/>
      <c r="K173" s="1541"/>
      <c r="L173" s="1541"/>
      <c r="M173" s="1541"/>
      <c r="N173" s="1541"/>
      <c r="O173" s="1541"/>
      <c r="P173" s="1541"/>
      <c r="AE173" s="1541"/>
      <c r="AF173" s="637"/>
      <c r="AG173" s="637"/>
      <c r="AH173" s="637"/>
      <c r="AI173" s="637"/>
      <c r="AJ173" s="637"/>
      <c r="AK173" s="637"/>
      <c r="AL173" s="1542"/>
      <c r="AN173" s="637"/>
      <c r="AO173" s="637"/>
      <c r="AP173" s="1541"/>
      <c r="AQ173" s="1541"/>
      <c r="AR173" s="1541"/>
      <c r="AS173" s="1541"/>
      <c r="AT173" s="1541"/>
      <c r="AU173" s="1541"/>
      <c r="AV173" s="1541"/>
      <c r="AW173" s="1541"/>
      <c r="AX173" s="1541"/>
    </row>
    <row r="174" spans="1:50" s="12" customFormat="1" ht="18" x14ac:dyDescent="0.2">
      <c r="A174" s="606"/>
      <c r="B174" s="666"/>
      <c r="C174" s="1541"/>
      <c r="D174" s="1541"/>
      <c r="E174" s="1541"/>
      <c r="F174" s="1541"/>
      <c r="G174" s="666"/>
      <c r="H174" s="666"/>
      <c r="I174" s="634"/>
      <c r="J174" s="1541"/>
      <c r="K174" s="1541"/>
      <c r="L174" s="1541"/>
      <c r="M174" s="1541"/>
      <c r="N174" s="1541"/>
      <c r="O174" s="1541"/>
      <c r="P174" s="1541"/>
      <c r="AE174" s="1541"/>
      <c r="AF174" s="637"/>
      <c r="AG174" s="637"/>
      <c r="AH174" s="637"/>
      <c r="AI174" s="637"/>
      <c r="AJ174" s="637"/>
      <c r="AK174" s="637"/>
      <c r="AL174" s="1542"/>
      <c r="AN174" s="637"/>
      <c r="AO174" s="637"/>
      <c r="AP174" s="1541"/>
      <c r="AQ174" s="1541"/>
      <c r="AR174" s="1541"/>
      <c r="AS174" s="1541"/>
      <c r="AT174" s="1541"/>
      <c r="AU174" s="1541"/>
      <c r="AV174" s="1541"/>
      <c r="AW174" s="1541"/>
      <c r="AX174" s="1541"/>
    </row>
    <row r="175" spans="1:50" s="12" customFormat="1" ht="18" x14ac:dyDescent="0.2">
      <c r="A175" s="606"/>
      <c r="B175" s="666"/>
      <c r="C175" s="1541"/>
      <c r="D175" s="1541"/>
      <c r="E175" s="1541"/>
      <c r="F175" s="1541"/>
      <c r="G175" s="666"/>
      <c r="H175" s="666"/>
      <c r="I175" s="634"/>
      <c r="J175" s="1541"/>
      <c r="K175" s="1541"/>
      <c r="L175" s="1541"/>
      <c r="M175" s="1541"/>
      <c r="N175" s="1541"/>
      <c r="O175" s="1541"/>
      <c r="P175" s="1541"/>
      <c r="AE175" s="1541"/>
      <c r="AF175" s="637"/>
      <c r="AG175" s="637"/>
      <c r="AH175" s="637"/>
      <c r="AI175" s="637"/>
      <c r="AJ175" s="637"/>
      <c r="AK175" s="637"/>
      <c r="AL175" s="1542"/>
      <c r="AN175" s="637"/>
      <c r="AO175" s="637"/>
      <c r="AP175" s="1541"/>
      <c r="AQ175" s="1541"/>
      <c r="AR175" s="1541"/>
      <c r="AS175" s="1541"/>
      <c r="AT175" s="1541"/>
      <c r="AU175" s="1541"/>
      <c r="AV175" s="1541"/>
      <c r="AW175" s="1541"/>
      <c r="AX175" s="1541"/>
    </row>
    <row r="176" spans="1:50" s="12" customFormat="1" ht="18" x14ac:dyDescent="0.2">
      <c r="A176" s="606"/>
      <c r="B176" s="666"/>
      <c r="C176" s="1541"/>
      <c r="D176" s="1541"/>
      <c r="E176" s="1541"/>
      <c r="F176" s="1541"/>
      <c r="G176" s="666"/>
      <c r="H176" s="666"/>
      <c r="I176" s="634"/>
      <c r="J176" s="1541"/>
      <c r="K176" s="1541"/>
      <c r="L176" s="1541"/>
      <c r="M176" s="1541"/>
      <c r="N176" s="1541"/>
      <c r="O176" s="1541"/>
      <c r="P176" s="1541"/>
      <c r="AE176" s="1541"/>
      <c r="AF176" s="637"/>
      <c r="AG176" s="637"/>
      <c r="AH176" s="637"/>
      <c r="AI176" s="637"/>
      <c r="AJ176" s="637"/>
      <c r="AK176" s="637"/>
      <c r="AL176" s="1542"/>
      <c r="AN176" s="637"/>
      <c r="AO176" s="637"/>
      <c r="AP176" s="1541"/>
      <c r="AQ176" s="1541"/>
      <c r="AR176" s="1541"/>
      <c r="AS176" s="1541"/>
      <c r="AT176" s="1541"/>
      <c r="AU176" s="1541"/>
      <c r="AV176" s="1541"/>
      <c r="AW176" s="1541"/>
      <c r="AX176" s="1541"/>
    </row>
    <row r="177" spans="1:50" s="12" customFormat="1" ht="18" x14ac:dyDescent="0.2">
      <c r="A177" s="606"/>
      <c r="B177" s="666"/>
      <c r="C177" s="1541"/>
      <c r="D177" s="1541"/>
      <c r="E177" s="1541"/>
      <c r="F177" s="1541"/>
      <c r="G177" s="666"/>
      <c r="H177" s="666"/>
      <c r="I177" s="634"/>
      <c r="J177" s="1541"/>
      <c r="K177" s="1541"/>
      <c r="L177" s="1541"/>
      <c r="M177" s="1541"/>
      <c r="N177" s="1541"/>
      <c r="O177" s="1541"/>
      <c r="P177" s="1541"/>
      <c r="AE177" s="1541"/>
      <c r="AF177" s="637"/>
      <c r="AG177" s="637"/>
      <c r="AH177" s="637"/>
      <c r="AI177" s="637"/>
      <c r="AJ177" s="637"/>
      <c r="AK177" s="637"/>
      <c r="AL177" s="1542"/>
      <c r="AN177" s="637"/>
      <c r="AO177" s="637"/>
      <c r="AP177" s="1541"/>
      <c r="AQ177" s="1541"/>
      <c r="AR177" s="1541"/>
      <c r="AS177" s="1541"/>
      <c r="AT177" s="1541"/>
      <c r="AU177" s="1541"/>
      <c r="AV177" s="1541"/>
      <c r="AW177" s="1541"/>
      <c r="AX177" s="1541"/>
    </row>
    <row r="178" spans="1:50" s="12" customFormat="1" ht="18" x14ac:dyDescent="0.2">
      <c r="A178" s="606"/>
      <c r="B178" s="666"/>
      <c r="C178" s="1541"/>
      <c r="D178" s="1541"/>
      <c r="E178" s="1541"/>
      <c r="F178" s="1541"/>
      <c r="G178" s="666"/>
      <c r="H178" s="666"/>
      <c r="I178" s="634"/>
      <c r="J178" s="1541"/>
      <c r="K178" s="1541"/>
      <c r="L178" s="1541"/>
      <c r="M178" s="1541"/>
      <c r="N178" s="1541"/>
      <c r="O178" s="1541"/>
      <c r="P178" s="1541"/>
      <c r="AE178" s="1541"/>
      <c r="AF178" s="637"/>
      <c r="AG178" s="637"/>
      <c r="AH178" s="637"/>
      <c r="AI178" s="637"/>
      <c r="AJ178" s="637"/>
      <c r="AK178" s="637"/>
      <c r="AL178" s="1542"/>
      <c r="AN178" s="637"/>
      <c r="AO178" s="637"/>
      <c r="AP178" s="1541"/>
      <c r="AQ178" s="1541"/>
      <c r="AR178" s="1541"/>
      <c r="AS178" s="1541"/>
      <c r="AT178" s="1541"/>
      <c r="AU178" s="1541"/>
      <c r="AV178" s="1541"/>
      <c r="AW178" s="1541"/>
      <c r="AX178" s="1541"/>
    </row>
    <row r="179" spans="1:50" s="12" customFormat="1" ht="18" x14ac:dyDescent="0.2">
      <c r="A179" s="606"/>
      <c r="B179" s="666"/>
      <c r="C179" s="1541"/>
      <c r="D179" s="1541"/>
      <c r="E179" s="1541"/>
      <c r="F179" s="1541"/>
      <c r="G179" s="666"/>
      <c r="H179" s="666"/>
      <c r="I179" s="634"/>
      <c r="J179" s="1541"/>
      <c r="K179" s="1541"/>
      <c r="L179" s="1541"/>
      <c r="M179" s="1541"/>
      <c r="N179" s="1541"/>
      <c r="O179" s="1541"/>
      <c r="P179" s="1541"/>
      <c r="AE179" s="1541"/>
      <c r="AF179" s="637"/>
      <c r="AG179" s="637"/>
      <c r="AH179" s="637"/>
      <c r="AI179" s="637"/>
      <c r="AJ179" s="637"/>
      <c r="AK179" s="637"/>
      <c r="AL179" s="1542"/>
      <c r="AN179" s="637"/>
      <c r="AO179" s="637"/>
      <c r="AP179" s="1541"/>
      <c r="AQ179" s="1541"/>
      <c r="AR179" s="1541"/>
      <c r="AS179" s="1541"/>
      <c r="AT179" s="1541"/>
      <c r="AU179" s="1541"/>
      <c r="AV179" s="1541"/>
      <c r="AW179" s="1541"/>
      <c r="AX179" s="1541"/>
    </row>
    <row r="180" spans="1:50" s="12" customFormat="1" ht="18" x14ac:dyDescent="0.2">
      <c r="A180" s="606"/>
      <c r="B180" s="666"/>
      <c r="C180" s="1541"/>
      <c r="D180" s="1541"/>
      <c r="E180" s="1541"/>
      <c r="F180" s="1541"/>
      <c r="G180" s="666"/>
      <c r="H180" s="666"/>
      <c r="I180" s="634"/>
      <c r="J180" s="1541"/>
      <c r="K180" s="1541"/>
      <c r="L180" s="1541"/>
      <c r="M180" s="1541"/>
      <c r="N180" s="1541"/>
      <c r="O180" s="1541"/>
      <c r="P180" s="1541"/>
      <c r="AE180" s="1541"/>
      <c r="AF180" s="637"/>
      <c r="AG180" s="637"/>
      <c r="AH180" s="637"/>
      <c r="AI180" s="637"/>
      <c r="AJ180" s="637"/>
      <c r="AK180" s="637"/>
      <c r="AL180" s="1542"/>
      <c r="AN180" s="637"/>
      <c r="AO180" s="637"/>
      <c r="AP180" s="1541"/>
      <c r="AQ180" s="1541"/>
      <c r="AR180" s="1541"/>
      <c r="AS180" s="1541"/>
      <c r="AT180" s="1541"/>
      <c r="AU180" s="1541"/>
      <c r="AV180" s="1541"/>
      <c r="AW180" s="1541"/>
      <c r="AX180" s="1541"/>
    </row>
    <row r="181" spans="1:50" s="12" customFormat="1" ht="18" x14ac:dyDescent="0.2">
      <c r="A181" s="606"/>
      <c r="B181" s="666"/>
      <c r="C181" s="1541"/>
      <c r="D181" s="1541"/>
      <c r="E181" s="1541"/>
      <c r="F181" s="1541"/>
      <c r="G181" s="666"/>
      <c r="H181" s="666"/>
      <c r="I181" s="634"/>
      <c r="J181" s="1541"/>
      <c r="K181" s="1541"/>
      <c r="L181" s="1541"/>
      <c r="M181" s="1541"/>
      <c r="N181" s="1541"/>
      <c r="O181" s="1541"/>
      <c r="P181" s="1541"/>
      <c r="AE181" s="1541"/>
      <c r="AF181" s="637"/>
      <c r="AG181" s="637"/>
      <c r="AH181" s="637"/>
      <c r="AI181" s="637"/>
      <c r="AJ181" s="637"/>
      <c r="AK181" s="637"/>
      <c r="AL181" s="1542"/>
      <c r="AN181" s="637"/>
      <c r="AO181" s="637"/>
      <c r="AP181" s="1541"/>
      <c r="AQ181" s="1541"/>
      <c r="AR181" s="1541"/>
      <c r="AS181" s="1541"/>
      <c r="AT181" s="1541"/>
      <c r="AU181" s="1541"/>
      <c r="AV181" s="1541"/>
      <c r="AW181" s="1541"/>
      <c r="AX181" s="1541"/>
    </row>
    <row r="182" spans="1:50" s="12" customFormat="1" ht="18" x14ac:dyDescent="0.2">
      <c r="A182" s="606"/>
      <c r="B182" s="666"/>
      <c r="C182" s="1541"/>
      <c r="D182" s="1541"/>
      <c r="E182" s="1541"/>
      <c r="F182" s="1541"/>
      <c r="G182" s="666"/>
      <c r="H182" s="666"/>
      <c r="I182" s="634"/>
      <c r="J182" s="1541"/>
      <c r="K182" s="1541"/>
      <c r="L182" s="1541"/>
      <c r="M182" s="1541"/>
      <c r="N182" s="1541"/>
      <c r="O182" s="1541"/>
      <c r="P182" s="1541"/>
      <c r="AE182" s="1541"/>
      <c r="AF182" s="637"/>
      <c r="AG182" s="637"/>
      <c r="AH182" s="637"/>
      <c r="AI182" s="637"/>
      <c r="AJ182" s="637"/>
      <c r="AK182" s="637"/>
      <c r="AL182" s="1542"/>
      <c r="AN182" s="637"/>
      <c r="AO182" s="637"/>
      <c r="AP182" s="1541"/>
      <c r="AQ182" s="1541"/>
      <c r="AR182" s="1541"/>
      <c r="AS182" s="1541"/>
      <c r="AT182" s="1541"/>
      <c r="AU182" s="1541"/>
      <c r="AV182" s="1541"/>
      <c r="AW182" s="1541"/>
      <c r="AX182" s="1541"/>
    </row>
    <row r="183" spans="1:50" s="12" customFormat="1" ht="18" x14ac:dyDescent="0.2">
      <c r="A183" s="606"/>
      <c r="B183" s="666"/>
      <c r="C183" s="1541"/>
      <c r="D183" s="1541"/>
      <c r="E183" s="1541"/>
      <c r="F183" s="1541"/>
      <c r="G183" s="666"/>
      <c r="H183" s="666"/>
      <c r="I183" s="634"/>
      <c r="J183" s="1541"/>
      <c r="K183" s="1541"/>
      <c r="L183" s="1541"/>
      <c r="M183" s="1541"/>
      <c r="N183" s="1541"/>
      <c r="O183" s="1541"/>
      <c r="P183" s="1541"/>
      <c r="AE183" s="1541"/>
      <c r="AF183" s="637"/>
      <c r="AG183" s="637"/>
      <c r="AH183" s="637"/>
      <c r="AI183" s="637"/>
      <c r="AJ183" s="637"/>
      <c r="AK183" s="637"/>
      <c r="AL183" s="1542"/>
      <c r="AN183" s="637"/>
      <c r="AO183" s="637"/>
      <c r="AP183" s="1541"/>
      <c r="AQ183" s="1541"/>
      <c r="AR183" s="1541"/>
      <c r="AS183" s="1541"/>
      <c r="AT183" s="1541"/>
      <c r="AU183" s="1541"/>
      <c r="AV183" s="1541"/>
      <c r="AW183" s="1541"/>
      <c r="AX183" s="1541"/>
    </row>
    <row r="184" spans="1:50" s="12" customFormat="1" ht="18" x14ac:dyDescent="0.2">
      <c r="A184" s="606"/>
      <c r="B184" s="666"/>
      <c r="C184" s="1541"/>
      <c r="D184" s="1541"/>
      <c r="E184" s="1541"/>
      <c r="F184" s="1541"/>
      <c r="G184" s="666"/>
      <c r="H184" s="666"/>
      <c r="I184" s="634"/>
      <c r="J184" s="1541"/>
      <c r="K184" s="1541"/>
      <c r="L184" s="1541"/>
      <c r="M184" s="1541"/>
      <c r="N184" s="1541"/>
      <c r="O184" s="1541"/>
      <c r="P184" s="1541"/>
      <c r="AE184" s="1541"/>
      <c r="AF184" s="637"/>
      <c r="AG184" s="637"/>
      <c r="AH184" s="637"/>
      <c r="AI184" s="637"/>
      <c r="AJ184" s="637"/>
      <c r="AK184" s="637"/>
      <c r="AL184" s="1542"/>
      <c r="AN184" s="637"/>
      <c r="AO184" s="637"/>
      <c r="AP184" s="1541"/>
      <c r="AQ184" s="1541"/>
      <c r="AR184" s="1541"/>
      <c r="AS184" s="1541"/>
      <c r="AT184" s="1541"/>
      <c r="AU184" s="1541"/>
      <c r="AV184" s="1541"/>
      <c r="AW184" s="1541"/>
      <c r="AX184" s="1541"/>
    </row>
    <row r="185" spans="1:50" s="12" customFormat="1" ht="18" x14ac:dyDescent="0.2">
      <c r="A185" s="606"/>
      <c r="B185" s="666"/>
      <c r="C185" s="1541"/>
      <c r="D185" s="1541"/>
      <c r="E185" s="1541"/>
      <c r="F185" s="1541"/>
      <c r="G185" s="666"/>
      <c r="H185" s="666"/>
      <c r="I185" s="634"/>
      <c r="J185" s="1541"/>
      <c r="K185" s="1541"/>
      <c r="L185" s="1541"/>
      <c r="M185" s="1541"/>
      <c r="N185" s="1541"/>
      <c r="O185" s="1541"/>
      <c r="P185" s="1541"/>
      <c r="AE185" s="1541"/>
      <c r="AF185" s="637"/>
      <c r="AG185" s="637"/>
      <c r="AH185" s="637"/>
      <c r="AI185" s="637"/>
      <c r="AJ185" s="637"/>
      <c r="AK185" s="637"/>
      <c r="AL185" s="1542"/>
      <c r="AN185" s="637"/>
      <c r="AO185" s="637"/>
      <c r="AP185" s="1541"/>
      <c r="AQ185" s="1541"/>
      <c r="AR185" s="1541"/>
      <c r="AS185" s="1541"/>
      <c r="AT185" s="1541"/>
      <c r="AU185" s="1541"/>
      <c r="AV185" s="1541"/>
      <c r="AW185" s="1541"/>
      <c r="AX185" s="1541"/>
    </row>
    <row r="186" spans="1:50" s="12" customFormat="1" ht="18" x14ac:dyDescent="0.2">
      <c r="A186" s="606"/>
      <c r="B186" s="666"/>
      <c r="C186" s="1541"/>
      <c r="D186" s="1541"/>
      <c r="E186" s="1541"/>
      <c r="F186" s="1541"/>
      <c r="G186" s="666"/>
      <c r="H186" s="666"/>
      <c r="I186" s="634"/>
      <c r="J186" s="1541"/>
      <c r="K186" s="1541"/>
      <c r="L186" s="1541"/>
      <c r="M186" s="1541"/>
      <c r="N186" s="1541"/>
      <c r="O186" s="1541"/>
      <c r="P186" s="1541"/>
      <c r="AE186" s="1541"/>
      <c r="AF186" s="637"/>
      <c r="AG186" s="637"/>
      <c r="AH186" s="637"/>
      <c r="AI186" s="637"/>
      <c r="AJ186" s="637"/>
      <c r="AK186" s="637"/>
      <c r="AL186" s="1542"/>
      <c r="AN186" s="637"/>
      <c r="AO186" s="637"/>
      <c r="AP186" s="1541"/>
      <c r="AQ186" s="1541"/>
      <c r="AR186" s="1541"/>
      <c r="AS186" s="1541"/>
      <c r="AT186" s="1541"/>
      <c r="AU186" s="1541"/>
      <c r="AV186" s="1541"/>
      <c r="AW186" s="1541"/>
      <c r="AX186" s="1541"/>
    </row>
    <row r="187" spans="1:50" s="12" customFormat="1" ht="18" x14ac:dyDescent="0.2">
      <c r="A187" s="606"/>
      <c r="B187" s="666"/>
      <c r="C187" s="1541"/>
      <c r="D187" s="1541"/>
      <c r="E187" s="1541"/>
      <c r="F187" s="1541"/>
      <c r="G187" s="666"/>
      <c r="H187" s="666"/>
      <c r="I187" s="634"/>
      <c r="J187" s="1541"/>
      <c r="K187" s="1541"/>
      <c r="L187" s="1541"/>
      <c r="M187" s="1541"/>
      <c r="N187" s="1541"/>
      <c r="O187" s="1541"/>
      <c r="P187" s="1541"/>
      <c r="AE187" s="1541"/>
      <c r="AF187" s="637"/>
      <c r="AG187" s="637"/>
      <c r="AH187" s="637"/>
      <c r="AI187" s="637"/>
      <c r="AJ187" s="637"/>
      <c r="AK187" s="637"/>
      <c r="AL187" s="1542"/>
      <c r="AN187" s="637"/>
      <c r="AO187" s="637"/>
      <c r="AP187" s="1541"/>
      <c r="AQ187" s="1541"/>
      <c r="AR187" s="1541"/>
      <c r="AS187" s="1541"/>
      <c r="AT187" s="1541"/>
      <c r="AU187" s="1541"/>
      <c r="AV187" s="1541"/>
      <c r="AW187" s="1541"/>
      <c r="AX187" s="1541"/>
    </row>
    <row r="188" spans="1:50" s="12" customFormat="1" ht="18" x14ac:dyDescent="0.2">
      <c r="A188" s="606"/>
      <c r="B188" s="666"/>
      <c r="C188" s="1541"/>
      <c r="D188" s="1541"/>
      <c r="E188" s="1541"/>
      <c r="F188" s="1541"/>
      <c r="G188" s="666"/>
      <c r="H188" s="666"/>
      <c r="I188" s="634"/>
      <c r="J188" s="1541"/>
      <c r="K188" s="1541"/>
      <c r="L188" s="1541"/>
      <c r="M188" s="1541"/>
      <c r="N188" s="1541"/>
      <c r="O188" s="1541"/>
      <c r="P188" s="1541"/>
      <c r="AE188" s="1541"/>
      <c r="AF188" s="637"/>
      <c r="AG188" s="637"/>
      <c r="AH188" s="637"/>
      <c r="AI188" s="637"/>
      <c r="AJ188" s="637"/>
      <c r="AK188" s="637"/>
      <c r="AL188" s="1542"/>
      <c r="AN188" s="637"/>
      <c r="AO188" s="637"/>
      <c r="AP188" s="1541"/>
      <c r="AQ188" s="1541"/>
      <c r="AR188" s="1541"/>
      <c r="AS188" s="1541"/>
      <c r="AT188" s="1541"/>
      <c r="AU188" s="1541"/>
      <c r="AV188" s="1541"/>
      <c r="AW188" s="1541"/>
      <c r="AX188" s="1541"/>
    </row>
    <row r="189" spans="1:50" s="12" customFormat="1" ht="18" x14ac:dyDescent="0.2">
      <c r="A189" s="606"/>
      <c r="B189" s="666"/>
      <c r="C189" s="1541"/>
      <c r="D189" s="1541"/>
      <c r="E189" s="1541"/>
      <c r="F189" s="1541"/>
      <c r="G189" s="666"/>
      <c r="H189" s="666"/>
      <c r="I189" s="634"/>
      <c r="J189" s="1541"/>
      <c r="K189" s="1541"/>
      <c r="L189" s="1541"/>
      <c r="M189" s="1541"/>
      <c r="N189" s="1541"/>
      <c r="O189" s="1541"/>
      <c r="P189" s="1541"/>
      <c r="AE189" s="1541"/>
      <c r="AF189" s="637"/>
      <c r="AG189" s="637"/>
      <c r="AH189" s="637"/>
      <c r="AI189" s="637"/>
      <c r="AJ189" s="637"/>
      <c r="AK189" s="637"/>
      <c r="AL189" s="1542"/>
      <c r="AN189" s="637"/>
      <c r="AO189" s="637"/>
      <c r="AP189" s="1541"/>
      <c r="AQ189" s="1541"/>
      <c r="AR189" s="1541"/>
      <c r="AS189" s="1541"/>
      <c r="AT189" s="1541"/>
      <c r="AU189" s="1541"/>
      <c r="AV189" s="1541"/>
      <c r="AW189" s="1541"/>
      <c r="AX189" s="1541"/>
    </row>
    <row r="190" spans="1:50" s="12" customFormat="1" ht="18" x14ac:dyDescent="0.2">
      <c r="A190" s="606"/>
      <c r="B190" s="666"/>
      <c r="C190" s="1541"/>
      <c r="D190" s="1541"/>
      <c r="E190" s="1541"/>
      <c r="F190" s="1541"/>
      <c r="G190" s="666"/>
      <c r="H190" s="666"/>
      <c r="I190" s="634"/>
      <c r="J190" s="1541"/>
      <c r="K190" s="1541"/>
      <c r="L190" s="1541"/>
      <c r="M190" s="1541"/>
      <c r="N190" s="1541"/>
      <c r="O190" s="1541"/>
      <c r="P190" s="1541"/>
      <c r="AE190" s="1541"/>
      <c r="AF190" s="637"/>
      <c r="AG190" s="637"/>
      <c r="AH190" s="637"/>
      <c r="AI190" s="637"/>
      <c r="AJ190" s="637"/>
      <c r="AK190" s="637"/>
      <c r="AL190" s="1542"/>
      <c r="AN190" s="637"/>
      <c r="AO190" s="637"/>
      <c r="AP190" s="1541"/>
      <c r="AQ190" s="1541"/>
      <c r="AR190" s="1541"/>
      <c r="AS190" s="1541"/>
      <c r="AT190" s="1541"/>
      <c r="AU190" s="1541"/>
      <c r="AV190" s="1541"/>
      <c r="AW190" s="1541"/>
      <c r="AX190" s="1541"/>
    </row>
    <row r="191" spans="1:50" s="12" customFormat="1" ht="18" x14ac:dyDescent="0.2">
      <c r="A191" s="606"/>
      <c r="B191" s="666"/>
      <c r="C191" s="1541"/>
      <c r="D191" s="1541"/>
      <c r="E191" s="1541"/>
      <c r="F191" s="1541"/>
      <c r="G191" s="666"/>
      <c r="H191" s="666"/>
      <c r="I191" s="634"/>
      <c r="J191" s="1541"/>
      <c r="K191" s="1541"/>
      <c r="L191" s="1541"/>
      <c r="M191" s="1541"/>
      <c r="N191" s="1541"/>
      <c r="O191" s="1541"/>
      <c r="P191" s="1541"/>
      <c r="AE191" s="1541"/>
      <c r="AF191" s="637"/>
      <c r="AG191" s="637"/>
      <c r="AH191" s="637"/>
      <c r="AI191" s="637"/>
      <c r="AJ191" s="637"/>
      <c r="AK191" s="637"/>
      <c r="AL191" s="1542"/>
      <c r="AN191" s="637"/>
      <c r="AO191" s="637"/>
      <c r="AP191" s="1541"/>
      <c r="AQ191" s="1541"/>
      <c r="AR191" s="1541"/>
      <c r="AS191" s="1541"/>
      <c r="AT191" s="1541"/>
      <c r="AU191" s="1541"/>
      <c r="AV191" s="1541"/>
      <c r="AW191" s="1541"/>
      <c r="AX191" s="1541"/>
    </row>
    <row r="192" spans="1:50" s="12" customFormat="1" ht="18" x14ac:dyDescent="0.2">
      <c r="A192" s="606"/>
      <c r="B192" s="666"/>
      <c r="C192" s="1541"/>
      <c r="D192" s="1541"/>
      <c r="E192" s="1541"/>
      <c r="F192" s="1541"/>
      <c r="G192" s="666"/>
      <c r="H192" s="666"/>
      <c r="I192" s="634"/>
      <c r="J192" s="1541"/>
      <c r="K192" s="1541"/>
      <c r="L192" s="1541"/>
      <c r="M192" s="1541"/>
      <c r="N192" s="1541"/>
      <c r="O192" s="1541"/>
      <c r="P192" s="1541"/>
      <c r="AE192" s="1541"/>
      <c r="AF192" s="637"/>
      <c r="AG192" s="637"/>
      <c r="AH192" s="637"/>
      <c r="AI192" s="637"/>
      <c r="AJ192" s="637"/>
      <c r="AK192" s="637"/>
      <c r="AL192" s="1542"/>
      <c r="AN192" s="637"/>
      <c r="AO192" s="637"/>
      <c r="AP192" s="1541"/>
      <c r="AQ192" s="1541"/>
      <c r="AR192" s="1541"/>
      <c r="AS192" s="1541"/>
      <c r="AT192" s="1541"/>
      <c r="AU192" s="1541"/>
      <c r="AV192" s="1541"/>
      <c r="AW192" s="1541"/>
      <c r="AX192" s="1541"/>
    </row>
    <row r="193" spans="1:50" s="12" customFormat="1" ht="18" x14ac:dyDescent="0.2">
      <c r="A193" s="606"/>
      <c r="B193" s="666"/>
      <c r="C193" s="1541"/>
      <c r="D193" s="1541"/>
      <c r="E193" s="1541"/>
      <c r="F193" s="1541"/>
      <c r="G193" s="666"/>
      <c r="H193" s="666"/>
      <c r="I193" s="634"/>
      <c r="J193" s="1541"/>
      <c r="K193" s="1541"/>
      <c r="L193" s="1541"/>
      <c r="M193" s="1541"/>
      <c r="N193" s="1541"/>
      <c r="O193" s="1541"/>
      <c r="P193" s="1541"/>
      <c r="AE193" s="1541"/>
      <c r="AF193" s="637"/>
      <c r="AG193" s="637"/>
      <c r="AH193" s="637"/>
      <c r="AI193" s="637"/>
      <c r="AJ193" s="637"/>
      <c r="AK193" s="637"/>
      <c r="AL193" s="1542"/>
      <c r="AN193" s="637"/>
      <c r="AO193" s="637"/>
      <c r="AP193" s="1541"/>
      <c r="AQ193" s="1541"/>
      <c r="AR193" s="1541"/>
      <c r="AS193" s="1541"/>
      <c r="AT193" s="1541"/>
      <c r="AU193" s="1541"/>
      <c r="AV193" s="1541"/>
      <c r="AW193" s="1541"/>
      <c r="AX193" s="1541"/>
    </row>
    <row r="194" spans="1:50" s="12" customFormat="1" ht="18" x14ac:dyDescent="0.2">
      <c r="A194" s="606"/>
      <c r="B194" s="666"/>
      <c r="C194" s="1541"/>
      <c r="D194" s="1541"/>
      <c r="E194" s="1541"/>
      <c r="F194" s="1541"/>
      <c r="G194" s="666"/>
      <c r="H194" s="666"/>
      <c r="I194" s="634"/>
      <c r="J194" s="1541"/>
      <c r="K194" s="1541"/>
      <c r="L194" s="1541"/>
      <c r="M194" s="1541"/>
      <c r="N194" s="1541"/>
      <c r="O194" s="1541"/>
      <c r="P194" s="1541"/>
      <c r="AE194" s="1541"/>
      <c r="AF194" s="637"/>
      <c r="AG194" s="637"/>
      <c r="AH194" s="637"/>
      <c r="AI194" s="637"/>
      <c r="AJ194" s="637"/>
      <c r="AK194" s="637"/>
      <c r="AL194" s="1542"/>
      <c r="AN194" s="637"/>
      <c r="AO194" s="637"/>
      <c r="AP194" s="1541"/>
      <c r="AQ194" s="1541"/>
      <c r="AR194" s="1541"/>
      <c r="AS194" s="1541"/>
      <c r="AT194" s="1541"/>
      <c r="AU194" s="1541"/>
      <c r="AV194" s="1541"/>
      <c r="AW194" s="1541"/>
      <c r="AX194" s="1541"/>
    </row>
    <row r="195" spans="1:50" s="12" customFormat="1" ht="18" x14ac:dyDescent="0.2">
      <c r="A195" s="606"/>
      <c r="B195" s="666"/>
      <c r="C195" s="1541"/>
      <c r="D195" s="1541"/>
      <c r="E195" s="1541"/>
      <c r="F195" s="1541"/>
      <c r="G195" s="666"/>
      <c r="H195" s="666"/>
      <c r="I195" s="634"/>
      <c r="J195" s="1541"/>
      <c r="K195" s="1541"/>
      <c r="L195" s="1541"/>
      <c r="M195" s="1541"/>
      <c r="N195" s="1541"/>
      <c r="O195" s="1541"/>
      <c r="P195" s="1541"/>
      <c r="AE195" s="1541"/>
      <c r="AF195" s="637"/>
      <c r="AG195" s="637"/>
      <c r="AH195" s="637"/>
      <c r="AI195" s="637"/>
      <c r="AJ195" s="637"/>
      <c r="AK195" s="637"/>
      <c r="AL195" s="1542"/>
      <c r="AN195" s="637"/>
      <c r="AO195" s="637"/>
      <c r="AP195" s="1541"/>
      <c r="AQ195" s="1541"/>
      <c r="AR195" s="1541"/>
      <c r="AS195" s="1541"/>
      <c r="AT195" s="1541"/>
      <c r="AU195" s="1541"/>
      <c r="AV195" s="1541"/>
      <c r="AW195" s="1541"/>
      <c r="AX195" s="1541"/>
    </row>
    <row r="196" spans="1:50" s="12" customFormat="1" ht="18" x14ac:dyDescent="0.2">
      <c r="A196" s="606"/>
      <c r="B196" s="666"/>
      <c r="C196" s="1541"/>
      <c r="D196" s="1541"/>
      <c r="E196" s="1541"/>
      <c r="F196" s="1541"/>
      <c r="G196" s="666"/>
      <c r="H196" s="666"/>
      <c r="I196" s="634"/>
      <c r="J196" s="1541"/>
      <c r="K196" s="1541"/>
      <c r="L196" s="1541"/>
      <c r="M196" s="1541"/>
      <c r="N196" s="1541"/>
      <c r="O196" s="1541"/>
      <c r="P196" s="1541"/>
      <c r="AE196" s="1541"/>
      <c r="AF196" s="637"/>
      <c r="AG196" s="637"/>
      <c r="AH196" s="637"/>
      <c r="AI196" s="637"/>
      <c r="AJ196" s="637"/>
      <c r="AK196" s="637"/>
      <c r="AL196" s="1542"/>
      <c r="AN196" s="637"/>
      <c r="AO196" s="637"/>
      <c r="AP196" s="1541"/>
      <c r="AQ196" s="1541"/>
      <c r="AR196" s="1541"/>
      <c r="AS196" s="1541"/>
      <c r="AT196" s="1541"/>
      <c r="AU196" s="1541"/>
      <c r="AV196" s="1541"/>
      <c r="AW196" s="1541"/>
      <c r="AX196" s="1541"/>
    </row>
    <row r="197" spans="1:50" s="12" customFormat="1" ht="18" x14ac:dyDescent="0.2">
      <c r="A197" s="606"/>
      <c r="B197" s="666"/>
      <c r="C197" s="1541"/>
      <c r="D197" s="1541"/>
      <c r="E197" s="1541"/>
      <c r="F197" s="1541"/>
      <c r="G197" s="666"/>
      <c r="H197" s="666"/>
      <c r="I197" s="634"/>
      <c r="J197" s="1541"/>
      <c r="K197" s="1541"/>
      <c r="L197" s="1541"/>
      <c r="M197" s="1541"/>
      <c r="N197" s="1541"/>
      <c r="O197" s="1541"/>
      <c r="P197" s="1541"/>
      <c r="AE197" s="1541"/>
      <c r="AF197" s="637"/>
      <c r="AG197" s="637"/>
      <c r="AH197" s="637"/>
      <c r="AI197" s="637"/>
      <c r="AJ197" s="637"/>
      <c r="AK197" s="637"/>
      <c r="AL197" s="1542"/>
      <c r="AN197" s="637"/>
      <c r="AO197" s="637"/>
      <c r="AP197" s="1541"/>
      <c r="AQ197" s="1541"/>
      <c r="AR197" s="1541"/>
      <c r="AS197" s="1541"/>
      <c r="AT197" s="1541"/>
      <c r="AU197" s="1541"/>
      <c r="AV197" s="1541"/>
      <c r="AW197" s="1541"/>
      <c r="AX197" s="1541"/>
    </row>
    <row r="198" spans="1:50" s="12" customFormat="1" ht="18" x14ac:dyDescent="0.2">
      <c r="A198" s="606"/>
      <c r="B198" s="666"/>
      <c r="C198" s="1541"/>
      <c r="D198" s="1541"/>
      <c r="E198" s="1541"/>
      <c r="F198" s="1541"/>
      <c r="G198" s="666"/>
      <c r="H198" s="666"/>
      <c r="I198" s="634"/>
      <c r="J198" s="1541"/>
      <c r="K198" s="1541"/>
      <c r="L198" s="1541"/>
      <c r="M198" s="1541"/>
      <c r="N198" s="1541"/>
      <c r="O198" s="1541"/>
      <c r="P198" s="1541"/>
      <c r="AE198" s="1541"/>
      <c r="AF198" s="637"/>
      <c r="AG198" s="637"/>
      <c r="AH198" s="637"/>
      <c r="AI198" s="637"/>
      <c r="AJ198" s="637"/>
      <c r="AK198" s="637"/>
      <c r="AL198" s="1542"/>
      <c r="AN198" s="637"/>
      <c r="AO198" s="637"/>
      <c r="AP198" s="1541"/>
      <c r="AQ198" s="1541"/>
      <c r="AR198" s="1541"/>
      <c r="AS198" s="1541"/>
      <c r="AT198" s="1541"/>
      <c r="AU198" s="1541"/>
      <c r="AV198" s="1541"/>
      <c r="AW198" s="1541"/>
      <c r="AX198" s="1541"/>
    </row>
    <row r="199" spans="1:50" s="12" customFormat="1" ht="18" x14ac:dyDescent="0.2">
      <c r="A199" s="606"/>
      <c r="B199" s="666"/>
      <c r="C199" s="1541"/>
      <c r="D199" s="1541"/>
      <c r="E199" s="1541"/>
      <c r="F199" s="1541"/>
      <c r="G199" s="666"/>
      <c r="H199" s="666"/>
      <c r="I199" s="634"/>
      <c r="J199" s="1541"/>
      <c r="K199" s="1541"/>
      <c r="L199" s="1541"/>
      <c r="M199" s="1541"/>
      <c r="N199" s="1541"/>
      <c r="O199" s="1541"/>
      <c r="P199" s="1541"/>
      <c r="AE199" s="1541"/>
      <c r="AF199" s="637"/>
      <c r="AG199" s="637"/>
      <c r="AH199" s="637"/>
      <c r="AI199" s="637"/>
      <c r="AJ199" s="637"/>
      <c r="AK199" s="637"/>
      <c r="AL199" s="1542"/>
      <c r="AN199" s="637"/>
      <c r="AO199" s="637"/>
      <c r="AP199" s="1541"/>
      <c r="AQ199" s="1541"/>
      <c r="AR199" s="1541"/>
      <c r="AS199" s="1541"/>
      <c r="AT199" s="1541"/>
      <c r="AU199" s="1541"/>
      <c r="AV199" s="1541"/>
      <c r="AW199" s="1541"/>
      <c r="AX199" s="1541"/>
    </row>
    <row r="200" spans="1:50" s="12" customFormat="1" ht="18" x14ac:dyDescent="0.2">
      <c r="A200" s="606"/>
      <c r="B200" s="666"/>
      <c r="C200" s="1541"/>
      <c r="D200" s="1541"/>
      <c r="E200" s="1541"/>
      <c r="F200" s="1541"/>
      <c r="G200" s="666"/>
      <c r="H200" s="666"/>
      <c r="I200" s="634"/>
      <c r="J200" s="1541"/>
      <c r="K200" s="1541"/>
      <c r="L200" s="1541"/>
      <c r="M200" s="1541"/>
      <c r="N200" s="1541"/>
      <c r="O200" s="1541"/>
      <c r="P200" s="1541"/>
      <c r="AE200" s="1541"/>
      <c r="AF200" s="637"/>
      <c r="AG200" s="637"/>
      <c r="AH200" s="637"/>
      <c r="AI200" s="637"/>
      <c r="AJ200" s="637"/>
      <c r="AK200" s="637"/>
      <c r="AL200" s="1542"/>
      <c r="AN200" s="637"/>
      <c r="AO200" s="637"/>
      <c r="AP200" s="1541"/>
      <c r="AQ200" s="1541"/>
      <c r="AR200" s="1541"/>
      <c r="AS200" s="1541"/>
      <c r="AT200" s="1541"/>
      <c r="AU200" s="1541"/>
      <c r="AV200" s="1541"/>
      <c r="AW200" s="1541"/>
      <c r="AX200" s="1541"/>
    </row>
    <row r="201" spans="1:50" s="12" customFormat="1" ht="18" x14ac:dyDescent="0.2">
      <c r="A201" s="606"/>
      <c r="B201" s="666"/>
      <c r="C201" s="1541"/>
      <c r="D201" s="1541"/>
      <c r="E201" s="1541"/>
      <c r="F201" s="1541"/>
      <c r="G201" s="666"/>
      <c r="H201" s="666"/>
      <c r="I201" s="634"/>
      <c r="J201" s="1541"/>
      <c r="K201" s="1541"/>
      <c r="L201" s="1541"/>
      <c r="M201" s="1541"/>
      <c r="N201" s="1541"/>
      <c r="O201" s="1541"/>
      <c r="P201" s="1541"/>
      <c r="AE201" s="1541"/>
      <c r="AF201" s="637"/>
      <c r="AG201" s="637"/>
      <c r="AH201" s="637"/>
      <c r="AI201" s="637"/>
      <c r="AJ201" s="637"/>
      <c r="AK201" s="637"/>
      <c r="AL201" s="1542"/>
      <c r="AN201" s="637"/>
      <c r="AO201" s="637"/>
      <c r="AP201" s="1541"/>
      <c r="AQ201" s="1541"/>
      <c r="AR201" s="1541"/>
      <c r="AS201" s="1541"/>
      <c r="AT201" s="1541"/>
      <c r="AU201" s="1541"/>
      <c r="AV201" s="1541"/>
      <c r="AW201" s="1541"/>
      <c r="AX201" s="1541"/>
    </row>
    <row r="202" spans="1:50" s="12" customFormat="1" ht="18" x14ac:dyDescent="0.2">
      <c r="A202" s="606"/>
      <c r="B202" s="666"/>
      <c r="C202" s="1541"/>
      <c r="D202" s="1541"/>
      <c r="E202" s="1541"/>
      <c r="F202" s="1541"/>
      <c r="G202" s="666"/>
      <c r="H202" s="666"/>
      <c r="I202" s="634"/>
      <c r="J202" s="1541"/>
      <c r="K202" s="1541"/>
      <c r="L202" s="1541"/>
      <c r="M202" s="1541"/>
      <c r="N202" s="1541"/>
      <c r="O202" s="1541"/>
      <c r="P202" s="1541"/>
      <c r="AE202" s="1541"/>
      <c r="AF202" s="637"/>
      <c r="AG202" s="637"/>
      <c r="AH202" s="637"/>
      <c r="AI202" s="637"/>
      <c r="AJ202" s="637"/>
      <c r="AK202" s="637"/>
      <c r="AL202" s="1542"/>
      <c r="AN202" s="637"/>
      <c r="AO202" s="637"/>
      <c r="AP202" s="1541"/>
      <c r="AQ202" s="1541"/>
      <c r="AR202" s="1541"/>
      <c r="AS202" s="1541"/>
      <c r="AT202" s="1541"/>
      <c r="AU202" s="1541"/>
      <c r="AV202" s="1541"/>
      <c r="AW202" s="1541"/>
      <c r="AX202" s="1541"/>
    </row>
    <row r="203" spans="1:50" s="12" customFormat="1" ht="18" x14ac:dyDescent="0.2">
      <c r="A203" s="606"/>
      <c r="B203" s="666"/>
      <c r="C203" s="1541"/>
      <c r="D203" s="1541"/>
      <c r="E203" s="1541"/>
      <c r="F203" s="1541"/>
      <c r="G203" s="666"/>
      <c r="H203" s="666"/>
      <c r="I203" s="634"/>
      <c r="J203" s="1541"/>
      <c r="K203" s="1541"/>
      <c r="L203" s="1541"/>
      <c r="M203" s="1541"/>
      <c r="N203" s="1541"/>
      <c r="O203" s="1541"/>
      <c r="P203" s="1541"/>
      <c r="AE203" s="1541"/>
      <c r="AF203" s="637"/>
      <c r="AG203" s="637"/>
      <c r="AH203" s="637"/>
      <c r="AI203" s="637"/>
      <c r="AJ203" s="637"/>
      <c r="AK203" s="637"/>
      <c r="AL203" s="1542"/>
      <c r="AN203" s="637"/>
      <c r="AO203" s="637"/>
      <c r="AP203" s="1541"/>
      <c r="AQ203" s="1541"/>
      <c r="AR203" s="1541"/>
      <c r="AS203" s="1541"/>
      <c r="AT203" s="1541"/>
      <c r="AU203" s="1541"/>
      <c r="AV203" s="1541"/>
      <c r="AW203" s="1541"/>
      <c r="AX203" s="1541"/>
    </row>
    <row r="204" spans="1:50" s="12" customFormat="1" ht="18" x14ac:dyDescent="0.2">
      <c r="A204" s="606"/>
      <c r="B204" s="666"/>
      <c r="C204" s="1541"/>
      <c r="D204" s="1541"/>
      <c r="E204" s="1541"/>
      <c r="F204" s="1541"/>
      <c r="G204" s="666"/>
      <c r="H204" s="666"/>
      <c r="I204" s="634"/>
      <c r="J204" s="1541"/>
      <c r="K204" s="1541"/>
      <c r="L204" s="1541"/>
      <c r="M204" s="1541"/>
      <c r="N204" s="1541"/>
      <c r="O204" s="1541"/>
      <c r="P204" s="1541"/>
      <c r="AE204" s="1541"/>
      <c r="AF204" s="637"/>
      <c r="AG204" s="637"/>
      <c r="AH204" s="637"/>
      <c r="AI204" s="637"/>
      <c r="AJ204" s="637"/>
      <c r="AK204" s="637"/>
      <c r="AL204" s="1542"/>
      <c r="AN204" s="637"/>
      <c r="AO204" s="637"/>
      <c r="AP204" s="1541"/>
      <c r="AQ204" s="1541"/>
      <c r="AR204" s="1541"/>
      <c r="AS204" s="1541"/>
      <c r="AT204" s="1541"/>
      <c r="AU204" s="1541"/>
      <c r="AV204" s="1541"/>
      <c r="AW204" s="1541"/>
      <c r="AX204" s="1541"/>
    </row>
    <row r="205" spans="1:50" s="12" customFormat="1" ht="18" x14ac:dyDescent="0.2">
      <c r="A205" s="606"/>
      <c r="B205" s="666"/>
      <c r="C205" s="1541"/>
      <c r="D205" s="1541"/>
      <c r="E205" s="1541"/>
      <c r="F205" s="1541"/>
      <c r="G205" s="666"/>
      <c r="H205" s="666"/>
      <c r="I205" s="634"/>
      <c r="J205" s="1541"/>
      <c r="K205" s="1541"/>
      <c r="L205" s="1541"/>
      <c r="M205" s="1541"/>
      <c r="N205" s="1541"/>
      <c r="O205" s="1541"/>
      <c r="P205" s="1541"/>
      <c r="AE205" s="1541"/>
      <c r="AF205" s="637"/>
      <c r="AG205" s="637"/>
      <c r="AH205" s="637"/>
      <c r="AI205" s="637"/>
      <c r="AJ205" s="637"/>
      <c r="AK205" s="637"/>
      <c r="AL205" s="1542"/>
      <c r="AN205" s="637"/>
      <c r="AO205" s="637"/>
      <c r="AP205" s="1541"/>
      <c r="AQ205" s="1541"/>
      <c r="AR205" s="1541"/>
      <c r="AS205" s="1541"/>
      <c r="AT205" s="1541"/>
      <c r="AU205" s="1541"/>
      <c r="AV205" s="1541"/>
      <c r="AW205" s="1541"/>
      <c r="AX205" s="1541"/>
    </row>
    <row r="206" spans="1:50" s="12" customFormat="1" ht="18" x14ac:dyDescent="0.2">
      <c r="A206" s="606"/>
      <c r="B206" s="666"/>
      <c r="C206" s="1541"/>
      <c r="D206" s="1541"/>
      <c r="E206" s="1541"/>
      <c r="F206" s="1541"/>
      <c r="G206" s="666"/>
      <c r="H206" s="666"/>
      <c r="I206" s="634"/>
      <c r="J206" s="1541"/>
      <c r="K206" s="1541"/>
      <c r="L206" s="1541"/>
      <c r="M206" s="1541"/>
      <c r="N206" s="1541"/>
      <c r="O206" s="1541"/>
      <c r="P206" s="1541"/>
      <c r="AE206" s="1541"/>
      <c r="AF206" s="637"/>
      <c r="AG206" s="637"/>
      <c r="AH206" s="637"/>
      <c r="AI206" s="637"/>
      <c r="AJ206" s="637"/>
      <c r="AK206" s="637"/>
      <c r="AL206" s="1542"/>
      <c r="AN206" s="637"/>
      <c r="AO206" s="637"/>
      <c r="AP206" s="1541"/>
      <c r="AQ206" s="1541"/>
      <c r="AR206" s="1541"/>
      <c r="AS206" s="1541"/>
      <c r="AT206" s="1541"/>
      <c r="AU206" s="1541"/>
      <c r="AV206" s="1541"/>
      <c r="AW206" s="1541"/>
      <c r="AX206" s="1541"/>
    </row>
    <row r="207" spans="1:50" s="12" customFormat="1" ht="18" x14ac:dyDescent="0.2">
      <c r="A207" s="606"/>
      <c r="B207" s="666"/>
      <c r="C207" s="1541"/>
      <c r="D207" s="1541"/>
      <c r="E207" s="1541"/>
      <c r="F207" s="1541"/>
      <c r="G207" s="666"/>
      <c r="H207" s="666"/>
      <c r="I207" s="634"/>
      <c r="J207" s="1541"/>
      <c r="K207" s="1541"/>
      <c r="L207" s="1541"/>
      <c r="M207" s="1541"/>
      <c r="N207" s="1541"/>
      <c r="O207" s="1541"/>
      <c r="P207" s="1541"/>
      <c r="AE207" s="1541"/>
      <c r="AF207" s="637"/>
      <c r="AG207" s="637"/>
      <c r="AH207" s="637"/>
      <c r="AI207" s="637"/>
      <c r="AJ207" s="637"/>
      <c r="AK207" s="637"/>
      <c r="AL207" s="1542"/>
      <c r="AN207" s="637"/>
      <c r="AO207" s="637"/>
      <c r="AP207" s="1541"/>
      <c r="AQ207" s="1541"/>
      <c r="AR207" s="1541"/>
      <c r="AS207" s="1541"/>
      <c r="AT207" s="1541"/>
      <c r="AU207" s="1541"/>
      <c r="AV207" s="1541"/>
      <c r="AW207" s="1541"/>
      <c r="AX207" s="1541"/>
    </row>
    <row r="208" spans="1:50" s="12" customFormat="1" ht="18" x14ac:dyDescent="0.2">
      <c r="A208" s="606"/>
      <c r="B208" s="666"/>
      <c r="C208" s="1541"/>
      <c r="D208" s="1541"/>
      <c r="E208" s="1541"/>
      <c r="F208" s="1541"/>
      <c r="G208" s="666"/>
      <c r="H208" s="666"/>
      <c r="I208" s="634"/>
      <c r="J208" s="1541"/>
      <c r="K208" s="1541"/>
      <c r="L208" s="1541"/>
      <c r="M208" s="1541"/>
      <c r="N208" s="1541"/>
      <c r="O208" s="1541"/>
      <c r="P208" s="1541"/>
      <c r="AE208" s="1541"/>
      <c r="AF208" s="637"/>
      <c r="AG208" s="637"/>
      <c r="AH208" s="637"/>
      <c r="AI208" s="637"/>
      <c r="AJ208" s="637"/>
      <c r="AK208" s="637"/>
      <c r="AL208" s="1542"/>
      <c r="AN208" s="637"/>
      <c r="AO208" s="637"/>
      <c r="AP208" s="1541"/>
      <c r="AQ208" s="1541"/>
      <c r="AR208" s="1541"/>
      <c r="AS208" s="1541"/>
      <c r="AT208" s="1541"/>
      <c r="AU208" s="1541"/>
      <c r="AV208" s="1541"/>
      <c r="AW208" s="1541"/>
      <c r="AX208" s="1541"/>
    </row>
    <row r="209" spans="1:50" s="12" customFormat="1" ht="18" x14ac:dyDescent="0.2">
      <c r="A209" s="606"/>
      <c r="B209" s="666"/>
      <c r="C209" s="1541"/>
      <c r="D209" s="1541"/>
      <c r="E209" s="1541"/>
      <c r="F209" s="1541"/>
      <c r="G209" s="666"/>
      <c r="H209" s="666"/>
      <c r="I209" s="634"/>
      <c r="J209" s="1541"/>
      <c r="K209" s="1541"/>
      <c r="L209" s="1541"/>
      <c r="M209" s="1541"/>
      <c r="N209" s="1541"/>
      <c r="O209" s="1541"/>
      <c r="P209" s="1541"/>
      <c r="AE209" s="1541"/>
      <c r="AF209" s="637"/>
      <c r="AG209" s="637"/>
      <c r="AH209" s="637"/>
      <c r="AI209" s="637"/>
      <c r="AJ209" s="637"/>
      <c r="AK209" s="637"/>
      <c r="AL209" s="1542"/>
      <c r="AN209" s="637"/>
      <c r="AO209" s="637"/>
      <c r="AP209" s="1541"/>
      <c r="AQ209" s="1541"/>
      <c r="AR209" s="1541"/>
      <c r="AS209" s="1541"/>
      <c r="AT209" s="1541"/>
      <c r="AU209" s="1541"/>
      <c r="AV209" s="1541"/>
      <c r="AW209" s="1541"/>
      <c r="AX209" s="1541"/>
    </row>
    <row r="210" spans="1:50" s="12" customFormat="1" ht="18" x14ac:dyDescent="0.2">
      <c r="A210" s="606"/>
      <c r="B210" s="666"/>
      <c r="C210" s="1541"/>
      <c r="D210" s="1541"/>
      <c r="E210" s="1541"/>
      <c r="F210" s="1541"/>
      <c r="G210" s="666"/>
      <c r="H210" s="666"/>
      <c r="I210" s="634"/>
      <c r="J210" s="1541"/>
      <c r="K210" s="1541"/>
      <c r="L210" s="1541"/>
      <c r="M210" s="1541"/>
      <c r="N210" s="1541"/>
      <c r="O210" s="1541"/>
      <c r="P210" s="1541"/>
      <c r="AE210" s="1541"/>
      <c r="AF210" s="637"/>
      <c r="AG210" s="637"/>
      <c r="AH210" s="637"/>
      <c r="AI210" s="637"/>
      <c r="AJ210" s="637"/>
      <c r="AK210" s="637"/>
      <c r="AL210" s="1542"/>
      <c r="AN210" s="637"/>
      <c r="AO210" s="637"/>
      <c r="AP210" s="1541"/>
      <c r="AQ210" s="1541"/>
      <c r="AR210" s="1541"/>
      <c r="AS210" s="1541"/>
      <c r="AT210" s="1541"/>
      <c r="AU210" s="1541"/>
      <c r="AV210" s="1541"/>
      <c r="AW210" s="1541"/>
      <c r="AX210" s="1541"/>
    </row>
    <row r="211" spans="1:50" s="12" customFormat="1" ht="18" x14ac:dyDescent="0.2">
      <c r="A211" s="606"/>
      <c r="B211" s="666"/>
      <c r="C211" s="1541"/>
      <c r="D211" s="1541"/>
      <c r="E211" s="1541"/>
      <c r="F211" s="1541"/>
      <c r="G211" s="666"/>
      <c r="H211" s="666"/>
      <c r="I211" s="634"/>
      <c r="J211" s="1541"/>
      <c r="K211" s="1541"/>
      <c r="L211" s="1541"/>
      <c r="M211" s="1541"/>
      <c r="N211" s="1541"/>
      <c r="O211" s="1541"/>
      <c r="P211" s="1541"/>
      <c r="AE211" s="1541"/>
      <c r="AF211" s="637"/>
      <c r="AG211" s="637"/>
      <c r="AH211" s="637"/>
      <c r="AI211" s="637"/>
      <c r="AJ211" s="637"/>
      <c r="AK211" s="637"/>
      <c r="AL211" s="1542"/>
      <c r="AN211" s="637"/>
      <c r="AO211" s="637"/>
      <c r="AP211" s="1541"/>
      <c r="AQ211" s="1541"/>
      <c r="AR211" s="1541"/>
      <c r="AS211" s="1541"/>
      <c r="AT211" s="1541"/>
      <c r="AU211" s="1541"/>
      <c r="AV211" s="1541"/>
      <c r="AW211" s="1541"/>
      <c r="AX211" s="1541"/>
    </row>
    <row r="212" spans="1:50" s="12" customFormat="1" ht="18" x14ac:dyDescent="0.2">
      <c r="A212" s="606"/>
      <c r="B212" s="666"/>
      <c r="C212" s="1541"/>
      <c r="D212" s="1541"/>
      <c r="E212" s="1541"/>
      <c r="F212" s="1541"/>
      <c r="G212" s="666"/>
      <c r="H212" s="666"/>
      <c r="I212" s="634"/>
      <c r="J212" s="1541"/>
      <c r="K212" s="1541"/>
      <c r="L212" s="1541"/>
      <c r="M212" s="1541"/>
      <c r="N212" s="1541"/>
      <c r="O212" s="1541"/>
      <c r="P212" s="1541"/>
      <c r="AE212" s="1541"/>
      <c r="AF212" s="637"/>
      <c r="AG212" s="637"/>
      <c r="AH212" s="637"/>
      <c r="AI212" s="637"/>
      <c r="AJ212" s="637"/>
      <c r="AK212" s="637"/>
      <c r="AL212" s="1542"/>
      <c r="AN212" s="637"/>
      <c r="AO212" s="637"/>
      <c r="AP212" s="1541"/>
      <c r="AQ212" s="1541"/>
      <c r="AR212" s="1541"/>
      <c r="AS212" s="1541"/>
      <c r="AT212" s="1541"/>
      <c r="AU212" s="1541"/>
      <c r="AV212" s="1541"/>
      <c r="AW212" s="1541"/>
      <c r="AX212" s="1541"/>
    </row>
    <row r="213" spans="1:50" s="12" customFormat="1" ht="18" x14ac:dyDescent="0.2">
      <c r="A213" s="606"/>
      <c r="B213" s="666"/>
      <c r="C213" s="1541"/>
      <c r="D213" s="1541"/>
      <c r="E213" s="1541"/>
      <c r="F213" s="1541"/>
      <c r="G213" s="666"/>
      <c r="H213" s="666"/>
      <c r="I213" s="634"/>
      <c r="J213" s="1541"/>
      <c r="K213" s="1541"/>
      <c r="L213" s="1541"/>
      <c r="M213" s="1541"/>
      <c r="N213" s="1541"/>
      <c r="O213" s="1541"/>
      <c r="P213" s="1541"/>
      <c r="AE213" s="1541"/>
      <c r="AF213" s="637"/>
      <c r="AG213" s="637"/>
      <c r="AH213" s="637"/>
      <c r="AI213" s="637"/>
      <c r="AJ213" s="637"/>
      <c r="AK213" s="637"/>
      <c r="AL213" s="1542"/>
      <c r="AN213" s="637"/>
      <c r="AO213" s="637"/>
      <c r="AP213" s="1541"/>
      <c r="AQ213" s="1541"/>
      <c r="AR213" s="1541"/>
      <c r="AS213" s="1541"/>
      <c r="AT213" s="1541"/>
      <c r="AU213" s="1541"/>
      <c r="AV213" s="1541"/>
      <c r="AW213" s="1541"/>
      <c r="AX213" s="1541"/>
    </row>
    <row r="214" spans="1:50" s="12" customFormat="1" ht="18" x14ac:dyDescent="0.2">
      <c r="A214" s="606"/>
      <c r="B214" s="666"/>
      <c r="C214" s="1541"/>
      <c r="D214" s="1541"/>
      <c r="E214" s="1541"/>
      <c r="F214" s="1541"/>
      <c r="G214" s="666"/>
      <c r="H214" s="666"/>
      <c r="I214" s="634"/>
      <c r="J214" s="1541"/>
      <c r="K214" s="1541"/>
      <c r="L214" s="1541"/>
      <c r="M214" s="1541"/>
      <c r="N214" s="1541"/>
      <c r="O214" s="1541"/>
      <c r="P214" s="1541"/>
      <c r="AE214" s="1541"/>
      <c r="AF214" s="637"/>
      <c r="AG214" s="637"/>
      <c r="AH214" s="637"/>
      <c r="AI214" s="637"/>
      <c r="AJ214" s="637"/>
      <c r="AK214" s="637"/>
      <c r="AL214" s="1542"/>
      <c r="AN214" s="637"/>
      <c r="AO214" s="637"/>
      <c r="AP214" s="1541"/>
      <c r="AQ214" s="1541"/>
      <c r="AR214" s="1541"/>
      <c r="AS214" s="1541"/>
      <c r="AT214" s="1541"/>
      <c r="AU214" s="1541"/>
      <c r="AV214" s="1541"/>
      <c r="AW214" s="1541"/>
      <c r="AX214" s="1541"/>
    </row>
    <row r="215" spans="1:50" s="12" customFormat="1" ht="18" x14ac:dyDescent="0.2">
      <c r="A215" s="606"/>
      <c r="B215" s="666"/>
      <c r="C215" s="1541"/>
      <c r="D215" s="1541"/>
      <c r="E215" s="1541"/>
      <c r="F215" s="1541"/>
      <c r="G215" s="666"/>
      <c r="H215" s="666"/>
      <c r="I215" s="634"/>
      <c r="J215" s="1541"/>
      <c r="K215" s="1541"/>
      <c r="L215" s="1541"/>
      <c r="M215" s="1541"/>
      <c r="N215" s="1541"/>
      <c r="O215" s="1541"/>
      <c r="P215" s="1541"/>
      <c r="AE215" s="1541"/>
      <c r="AF215" s="637"/>
      <c r="AG215" s="637"/>
      <c r="AH215" s="637"/>
      <c r="AI215" s="637"/>
      <c r="AJ215" s="637"/>
      <c r="AK215" s="637"/>
      <c r="AL215" s="1542"/>
      <c r="AN215" s="637"/>
      <c r="AO215" s="637"/>
      <c r="AP215" s="1541"/>
      <c r="AQ215" s="1541"/>
      <c r="AR215" s="1541"/>
      <c r="AS215" s="1541"/>
      <c r="AT215" s="1541"/>
      <c r="AU215" s="1541"/>
      <c r="AV215" s="1541"/>
      <c r="AW215" s="1541"/>
      <c r="AX215" s="1541"/>
    </row>
    <row r="216" spans="1:50" s="12" customFormat="1" ht="18" x14ac:dyDescent="0.2">
      <c r="A216" s="606"/>
      <c r="B216" s="666"/>
      <c r="C216" s="1541"/>
      <c r="D216" s="1541"/>
      <c r="E216" s="1541"/>
      <c r="F216" s="1541"/>
      <c r="G216" s="666"/>
      <c r="H216" s="666"/>
      <c r="I216" s="634"/>
      <c r="J216" s="1541"/>
      <c r="K216" s="1541"/>
      <c r="L216" s="1541"/>
      <c r="M216" s="1541"/>
      <c r="N216" s="1541"/>
      <c r="O216" s="1541"/>
      <c r="P216" s="1541"/>
      <c r="AE216" s="1541"/>
      <c r="AF216" s="637"/>
      <c r="AG216" s="637"/>
      <c r="AH216" s="637"/>
      <c r="AI216" s="637"/>
      <c r="AJ216" s="637"/>
      <c r="AK216" s="637"/>
      <c r="AL216" s="1542"/>
      <c r="AN216" s="637"/>
      <c r="AO216" s="637"/>
      <c r="AP216" s="1541"/>
      <c r="AQ216" s="1541"/>
      <c r="AR216" s="1541"/>
      <c r="AS216" s="1541"/>
      <c r="AT216" s="1541"/>
      <c r="AU216" s="1541"/>
      <c r="AV216" s="1541"/>
      <c r="AW216" s="1541"/>
      <c r="AX216" s="1541"/>
    </row>
    <row r="217" spans="1:50" s="12" customFormat="1" ht="18" x14ac:dyDescent="0.2">
      <c r="A217" s="606"/>
      <c r="B217" s="666"/>
      <c r="C217" s="1541"/>
      <c r="D217" s="1541"/>
      <c r="E217" s="1541"/>
      <c r="F217" s="1541"/>
      <c r="G217" s="666"/>
      <c r="H217" s="666"/>
      <c r="I217" s="634"/>
      <c r="J217" s="1541"/>
      <c r="K217" s="1541"/>
      <c r="L217" s="1541"/>
      <c r="M217" s="1541"/>
      <c r="N217" s="1541"/>
      <c r="O217" s="1541"/>
      <c r="P217" s="1541"/>
      <c r="AE217" s="1541"/>
      <c r="AF217" s="637"/>
      <c r="AG217" s="637"/>
      <c r="AH217" s="637"/>
      <c r="AI217" s="637"/>
      <c r="AJ217" s="637"/>
      <c r="AK217" s="637"/>
      <c r="AL217" s="1542"/>
      <c r="AN217" s="637"/>
      <c r="AO217" s="637"/>
      <c r="AP217" s="1541"/>
      <c r="AQ217" s="1541"/>
      <c r="AR217" s="1541"/>
      <c r="AS217" s="1541"/>
      <c r="AT217" s="1541"/>
      <c r="AU217" s="1541"/>
      <c r="AV217" s="1541"/>
      <c r="AW217" s="1541"/>
      <c r="AX217" s="1541"/>
    </row>
    <row r="218" spans="1:50" s="12" customFormat="1" ht="18" x14ac:dyDescent="0.2">
      <c r="A218" s="606"/>
      <c r="B218" s="666"/>
      <c r="C218" s="1541"/>
      <c r="D218" s="1541"/>
      <c r="E218" s="1541"/>
      <c r="F218" s="1541"/>
      <c r="G218" s="666"/>
      <c r="H218" s="666"/>
      <c r="I218" s="634"/>
      <c r="J218" s="1541"/>
      <c r="K218" s="1541"/>
      <c r="L218" s="1541"/>
      <c r="M218" s="1541"/>
      <c r="N218" s="1541"/>
      <c r="O218" s="1541"/>
      <c r="P218" s="1541"/>
      <c r="AE218" s="1541"/>
      <c r="AF218" s="637"/>
      <c r="AG218" s="637"/>
      <c r="AH218" s="637"/>
      <c r="AI218" s="637"/>
      <c r="AJ218" s="637"/>
      <c r="AK218" s="637"/>
      <c r="AL218" s="1542"/>
      <c r="AN218" s="637"/>
      <c r="AO218" s="637"/>
      <c r="AP218" s="1541"/>
      <c r="AQ218" s="1541"/>
      <c r="AR218" s="1541"/>
      <c r="AS218" s="1541"/>
      <c r="AT218" s="1541"/>
      <c r="AU218" s="1541"/>
      <c r="AV218" s="1541"/>
      <c r="AW218" s="1541"/>
      <c r="AX218" s="1541"/>
    </row>
    <row r="219" spans="1:50" s="12" customFormat="1" ht="18" x14ac:dyDescent="0.2">
      <c r="A219" s="606"/>
      <c r="B219" s="666"/>
      <c r="C219" s="1541"/>
      <c r="D219" s="1541"/>
      <c r="E219" s="1541"/>
      <c r="F219" s="1541"/>
      <c r="G219" s="666"/>
      <c r="H219" s="666"/>
      <c r="I219" s="634"/>
      <c r="J219" s="1541"/>
      <c r="K219" s="1541"/>
      <c r="L219" s="1541"/>
      <c r="M219" s="1541"/>
      <c r="N219" s="1541"/>
      <c r="O219" s="1541"/>
      <c r="P219" s="1541"/>
      <c r="AE219" s="1541"/>
      <c r="AF219" s="637"/>
      <c r="AG219" s="637"/>
      <c r="AH219" s="637"/>
      <c r="AI219" s="637"/>
      <c r="AJ219" s="637"/>
      <c r="AK219" s="637"/>
      <c r="AL219" s="1542"/>
      <c r="AN219" s="637"/>
      <c r="AO219" s="637"/>
      <c r="AP219" s="1541"/>
      <c r="AQ219" s="1541"/>
      <c r="AR219" s="1541"/>
      <c r="AS219" s="1541"/>
      <c r="AT219" s="1541"/>
      <c r="AU219" s="1541"/>
      <c r="AV219" s="1541"/>
      <c r="AW219" s="1541"/>
      <c r="AX219" s="1541"/>
    </row>
    <row r="220" spans="1:50" s="12" customFormat="1" ht="18" x14ac:dyDescent="0.2">
      <c r="A220" s="606"/>
      <c r="B220" s="666"/>
      <c r="C220" s="1541"/>
      <c r="D220" s="1541"/>
      <c r="E220" s="1541"/>
      <c r="F220" s="1541"/>
      <c r="G220" s="666"/>
      <c r="H220" s="666"/>
      <c r="I220" s="634"/>
      <c r="J220" s="1541"/>
      <c r="K220" s="1541"/>
      <c r="L220" s="1541"/>
      <c r="M220" s="1541"/>
      <c r="N220" s="1541"/>
      <c r="O220" s="1541"/>
      <c r="P220" s="1541"/>
      <c r="AE220" s="1541"/>
      <c r="AF220" s="637"/>
      <c r="AG220" s="637"/>
      <c r="AH220" s="637"/>
      <c r="AI220" s="637"/>
      <c r="AJ220" s="637"/>
      <c r="AK220" s="637"/>
      <c r="AL220" s="1542"/>
      <c r="AN220" s="637"/>
      <c r="AO220" s="637"/>
      <c r="AP220" s="1541"/>
      <c r="AQ220" s="1541"/>
      <c r="AR220" s="1541"/>
      <c r="AS220" s="1541"/>
      <c r="AT220" s="1541"/>
      <c r="AU220" s="1541"/>
      <c r="AV220" s="1541"/>
      <c r="AW220" s="1541"/>
      <c r="AX220" s="1541"/>
    </row>
    <row r="221" spans="1:50" s="12" customFormat="1" ht="18" x14ac:dyDescent="0.2">
      <c r="A221" s="606"/>
      <c r="B221" s="666"/>
      <c r="C221" s="1541"/>
      <c r="D221" s="1541"/>
      <c r="E221" s="1541"/>
      <c r="F221" s="1541"/>
      <c r="G221" s="666"/>
      <c r="H221" s="666"/>
      <c r="I221" s="634"/>
      <c r="J221" s="1541"/>
      <c r="K221" s="1541"/>
      <c r="L221" s="1541"/>
      <c r="M221" s="1541"/>
      <c r="N221" s="1541"/>
      <c r="O221" s="1541"/>
      <c r="P221" s="1541"/>
      <c r="AE221" s="1541"/>
      <c r="AF221" s="637"/>
      <c r="AG221" s="637"/>
      <c r="AH221" s="637"/>
      <c r="AI221" s="637"/>
      <c r="AJ221" s="637"/>
      <c r="AK221" s="637"/>
      <c r="AL221" s="1542"/>
      <c r="AN221" s="637"/>
      <c r="AO221" s="637"/>
      <c r="AP221" s="1541"/>
      <c r="AQ221" s="1541"/>
      <c r="AR221" s="1541"/>
      <c r="AS221" s="1541"/>
      <c r="AT221" s="1541"/>
      <c r="AU221" s="1541"/>
      <c r="AV221" s="1541"/>
      <c r="AW221" s="1541"/>
      <c r="AX221" s="1541"/>
    </row>
    <row r="222" spans="1:50" s="12" customFormat="1" ht="18" x14ac:dyDescent="0.2">
      <c r="A222" s="606"/>
      <c r="B222" s="666"/>
      <c r="C222" s="1541"/>
      <c r="D222" s="1541"/>
      <c r="E222" s="1541"/>
      <c r="F222" s="1541"/>
      <c r="G222" s="666"/>
      <c r="H222" s="666"/>
      <c r="I222" s="634"/>
      <c r="J222" s="1541"/>
      <c r="K222" s="1541"/>
      <c r="L222" s="1541"/>
      <c r="M222" s="1541"/>
      <c r="N222" s="1541"/>
      <c r="O222" s="1541"/>
      <c r="P222" s="1541"/>
      <c r="AE222" s="1541"/>
      <c r="AF222" s="637"/>
      <c r="AG222" s="637"/>
      <c r="AH222" s="637"/>
      <c r="AI222" s="637"/>
      <c r="AJ222" s="637"/>
      <c r="AK222" s="637"/>
      <c r="AL222" s="1542"/>
      <c r="AN222" s="637"/>
      <c r="AO222" s="637"/>
      <c r="AP222" s="1541"/>
      <c r="AQ222" s="1541"/>
      <c r="AR222" s="1541"/>
      <c r="AS222" s="1541"/>
      <c r="AT222" s="1541"/>
      <c r="AU222" s="1541"/>
      <c r="AV222" s="1541"/>
      <c r="AW222" s="1541"/>
      <c r="AX222" s="1541"/>
    </row>
    <row r="223" spans="1:50" s="12" customFormat="1" ht="18" x14ac:dyDescent="0.2">
      <c r="A223" s="606"/>
      <c r="B223" s="666"/>
      <c r="C223" s="1541"/>
      <c r="D223" s="1541"/>
      <c r="E223" s="1541"/>
      <c r="F223" s="1541"/>
      <c r="G223" s="666"/>
      <c r="H223" s="666"/>
      <c r="I223" s="634"/>
      <c r="J223" s="1541"/>
      <c r="K223" s="1541"/>
      <c r="L223" s="1541"/>
      <c r="M223" s="1541"/>
      <c r="N223" s="1541"/>
      <c r="O223" s="1541"/>
      <c r="P223" s="1541"/>
      <c r="AE223" s="1541"/>
      <c r="AF223" s="637"/>
      <c r="AG223" s="637"/>
      <c r="AH223" s="637"/>
      <c r="AI223" s="637"/>
      <c r="AJ223" s="637"/>
      <c r="AK223" s="637"/>
      <c r="AL223" s="1542"/>
      <c r="AN223" s="637"/>
      <c r="AO223" s="637"/>
      <c r="AP223" s="1541"/>
      <c r="AQ223" s="1541"/>
      <c r="AR223" s="1541"/>
      <c r="AS223" s="1541"/>
      <c r="AT223" s="1541"/>
      <c r="AU223" s="1541"/>
      <c r="AV223" s="1541"/>
      <c r="AW223" s="1541"/>
      <c r="AX223" s="1541"/>
    </row>
    <row r="224" spans="1:50" s="12" customFormat="1" ht="18" x14ac:dyDescent="0.2">
      <c r="A224" s="606"/>
      <c r="B224" s="666"/>
      <c r="C224" s="1541"/>
      <c r="D224" s="1541"/>
      <c r="E224" s="1541"/>
      <c r="F224" s="1541"/>
      <c r="G224" s="666"/>
      <c r="H224" s="666"/>
      <c r="I224" s="634"/>
      <c r="J224" s="1541"/>
      <c r="K224" s="1541"/>
      <c r="L224" s="1541"/>
      <c r="M224" s="1541"/>
      <c r="N224" s="1541"/>
      <c r="O224" s="1541"/>
      <c r="P224" s="1541"/>
      <c r="AE224" s="1541"/>
      <c r="AF224" s="637"/>
      <c r="AG224" s="637"/>
      <c r="AH224" s="637"/>
      <c r="AI224" s="637"/>
      <c r="AJ224" s="637"/>
      <c r="AK224" s="637"/>
      <c r="AL224" s="1542"/>
      <c r="AN224" s="637"/>
      <c r="AO224" s="637"/>
      <c r="AP224" s="1541"/>
      <c r="AQ224" s="1541"/>
      <c r="AR224" s="1541"/>
      <c r="AS224" s="1541"/>
      <c r="AT224" s="1541"/>
      <c r="AU224" s="1541"/>
      <c r="AV224" s="1541"/>
      <c r="AW224" s="1541"/>
      <c r="AX224" s="1541"/>
    </row>
    <row r="225" spans="1:50" s="12" customFormat="1" ht="18" x14ac:dyDescent="0.2">
      <c r="A225" s="606"/>
      <c r="B225" s="666"/>
      <c r="C225" s="1541"/>
      <c r="D225" s="1541"/>
      <c r="E225" s="1541"/>
      <c r="F225" s="1541"/>
      <c r="G225" s="666"/>
      <c r="H225" s="666"/>
      <c r="I225" s="634"/>
      <c r="J225" s="1541"/>
      <c r="K225" s="1541"/>
      <c r="L225" s="1541"/>
      <c r="M225" s="1541"/>
      <c r="N225" s="1541"/>
      <c r="O225" s="1541"/>
      <c r="P225" s="1541"/>
      <c r="AE225" s="1541"/>
      <c r="AF225" s="637"/>
      <c r="AG225" s="637"/>
      <c r="AH225" s="637"/>
      <c r="AI225" s="637"/>
      <c r="AJ225" s="637"/>
      <c r="AK225" s="637"/>
      <c r="AL225" s="1542"/>
      <c r="AN225" s="637"/>
      <c r="AO225" s="637"/>
      <c r="AP225" s="1541"/>
      <c r="AQ225" s="1541"/>
      <c r="AR225" s="1541"/>
      <c r="AS225" s="1541"/>
      <c r="AT225" s="1541"/>
      <c r="AU225" s="1541"/>
      <c r="AV225" s="1541"/>
      <c r="AW225" s="1541"/>
      <c r="AX225" s="1541"/>
    </row>
    <row r="226" spans="1:50" s="12" customFormat="1" ht="18" x14ac:dyDescent="0.2">
      <c r="A226" s="606"/>
      <c r="B226" s="666"/>
      <c r="C226" s="1541"/>
      <c r="D226" s="1541"/>
      <c r="E226" s="1541"/>
      <c r="F226" s="1541"/>
      <c r="G226" s="666"/>
      <c r="H226" s="666"/>
      <c r="I226" s="634"/>
      <c r="J226" s="1541"/>
      <c r="K226" s="1541"/>
      <c r="L226" s="1541"/>
      <c r="M226" s="1541"/>
      <c r="N226" s="1541"/>
      <c r="O226" s="1541"/>
      <c r="P226" s="1541"/>
      <c r="AE226" s="1541"/>
      <c r="AF226" s="637"/>
      <c r="AG226" s="637"/>
      <c r="AH226" s="637"/>
      <c r="AI226" s="637"/>
      <c r="AJ226" s="637"/>
      <c r="AK226" s="637"/>
      <c r="AL226" s="1542"/>
      <c r="AN226" s="637"/>
      <c r="AO226" s="637"/>
      <c r="AP226" s="1541"/>
      <c r="AQ226" s="1541"/>
      <c r="AR226" s="1541"/>
      <c r="AS226" s="1541"/>
      <c r="AT226" s="1541"/>
      <c r="AU226" s="1541"/>
      <c r="AV226" s="1541"/>
      <c r="AW226" s="1541"/>
      <c r="AX226" s="1541"/>
    </row>
    <row r="227" spans="1:50" s="12" customFormat="1" ht="18" x14ac:dyDescent="0.2">
      <c r="A227" s="606"/>
      <c r="B227" s="666"/>
      <c r="C227" s="1541"/>
      <c r="D227" s="1541"/>
      <c r="E227" s="1541"/>
      <c r="F227" s="1541"/>
      <c r="G227" s="666"/>
      <c r="H227" s="666"/>
      <c r="I227" s="634"/>
      <c r="J227" s="1541"/>
      <c r="K227" s="1541"/>
      <c r="L227" s="1541"/>
      <c r="M227" s="1541"/>
      <c r="N227" s="1541"/>
      <c r="O227" s="1541"/>
      <c r="P227" s="1541"/>
      <c r="AE227" s="1541"/>
      <c r="AF227" s="637"/>
      <c r="AG227" s="637"/>
      <c r="AH227" s="637"/>
      <c r="AI227" s="637"/>
      <c r="AJ227" s="637"/>
      <c r="AK227" s="637"/>
      <c r="AL227" s="1542"/>
      <c r="AN227" s="637"/>
      <c r="AO227" s="637"/>
      <c r="AP227" s="1541"/>
      <c r="AQ227" s="1541"/>
      <c r="AR227" s="1541"/>
      <c r="AS227" s="1541"/>
      <c r="AT227" s="1541"/>
      <c r="AU227" s="1541"/>
      <c r="AV227" s="1541"/>
      <c r="AW227" s="1541"/>
      <c r="AX227" s="1541"/>
    </row>
    <row r="228" spans="1:50" s="12" customFormat="1" ht="18" x14ac:dyDescent="0.2">
      <c r="A228" s="606"/>
      <c r="B228" s="666"/>
      <c r="C228" s="1541"/>
      <c r="D228" s="1541"/>
      <c r="E228" s="1541"/>
      <c r="F228" s="1541"/>
      <c r="G228" s="666"/>
      <c r="H228" s="666"/>
      <c r="I228" s="634"/>
      <c r="J228" s="1541"/>
      <c r="K228" s="1541"/>
      <c r="L228" s="1541"/>
      <c r="M228" s="1541"/>
      <c r="N228" s="1541"/>
      <c r="O228" s="1541"/>
      <c r="P228" s="1541"/>
      <c r="AE228" s="1541"/>
      <c r="AF228" s="637"/>
      <c r="AG228" s="637"/>
      <c r="AH228" s="637"/>
      <c r="AI228" s="637"/>
      <c r="AJ228" s="637"/>
      <c r="AK228" s="637"/>
      <c r="AL228" s="1542"/>
      <c r="AN228" s="637"/>
      <c r="AO228" s="637"/>
      <c r="AP228" s="1541"/>
      <c r="AQ228" s="1541"/>
      <c r="AR228" s="1541"/>
      <c r="AS228" s="1541"/>
      <c r="AT228" s="1541"/>
      <c r="AU228" s="1541"/>
      <c r="AV228" s="1541"/>
      <c r="AW228" s="1541"/>
      <c r="AX228" s="1541"/>
    </row>
    <row r="229" spans="1:50" s="12" customFormat="1" ht="18" x14ac:dyDescent="0.2">
      <c r="A229" s="606"/>
      <c r="B229" s="666"/>
      <c r="C229" s="1541"/>
      <c r="D229" s="1541"/>
      <c r="E229" s="1541"/>
      <c r="F229" s="1541"/>
      <c r="G229" s="666"/>
      <c r="H229" s="666"/>
      <c r="I229" s="634"/>
      <c r="J229" s="1541"/>
      <c r="K229" s="1541"/>
      <c r="L229" s="1541"/>
      <c r="M229" s="1541"/>
      <c r="N229" s="1541"/>
      <c r="O229" s="1541"/>
      <c r="P229" s="1541"/>
      <c r="AE229" s="1541"/>
      <c r="AF229" s="637"/>
      <c r="AG229" s="637"/>
      <c r="AH229" s="637"/>
      <c r="AI229" s="637"/>
      <c r="AJ229" s="637"/>
      <c r="AK229" s="637"/>
      <c r="AL229" s="1542"/>
      <c r="AN229" s="637"/>
      <c r="AO229" s="637"/>
      <c r="AP229" s="1541"/>
      <c r="AQ229" s="1541"/>
      <c r="AR229" s="1541"/>
      <c r="AS229" s="1541"/>
      <c r="AT229" s="1541"/>
      <c r="AU229" s="1541"/>
      <c r="AV229" s="1541"/>
      <c r="AW229" s="1541"/>
      <c r="AX229" s="1541"/>
    </row>
    <row r="230" spans="1:50" s="12" customFormat="1" ht="18" x14ac:dyDescent="0.2">
      <c r="A230" s="606"/>
      <c r="B230" s="666"/>
      <c r="C230" s="1541"/>
      <c r="D230" s="1541"/>
      <c r="E230" s="1541"/>
      <c r="F230" s="1541"/>
      <c r="G230" s="666"/>
      <c r="H230" s="666"/>
      <c r="I230" s="634"/>
      <c r="J230" s="1541"/>
      <c r="K230" s="1541"/>
      <c r="L230" s="1541"/>
      <c r="M230" s="1541"/>
      <c r="N230" s="1541"/>
      <c r="O230" s="1541"/>
      <c r="P230" s="1541"/>
      <c r="AE230" s="1541"/>
      <c r="AF230" s="637"/>
      <c r="AG230" s="637"/>
      <c r="AH230" s="637"/>
      <c r="AI230" s="637"/>
      <c r="AJ230" s="637"/>
      <c r="AK230" s="637"/>
      <c r="AL230" s="1542"/>
      <c r="AN230" s="637"/>
      <c r="AO230" s="637"/>
      <c r="AP230" s="1541"/>
      <c r="AQ230" s="1541"/>
      <c r="AR230" s="1541"/>
      <c r="AS230" s="1541"/>
      <c r="AT230" s="1541"/>
      <c r="AU230" s="1541"/>
      <c r="AV230" s="1541"/>
      <c r="AW230" s="1541"/>
      <c r="AX230" s="1541"/>
    </row>
    <row r="231" spans="1:50" s="12" customFormat="1" ht="18" x14ac:dyDescent="0.2">
      <c r="A231" s="606"/>
      <c r="B231" s="666"/>
      <c r="C231" s="1541"/>
      <c r="D231" s="1541"/>
      <c r="E231" s="1541"/>
      <c r="F231" s="1541"/>
      <c r="G231" s="666"/>
      <c r="H231" s="666"/>
      <c r="I231" s="634"/>
      <c r="J231" s="1541"/>
      <c r="K231" s="1541"/>
      <c r="L231" s="1541"/>
      <c r="M231" s="1541"/>
      <c r="N231" s="1541"/>
      <c r="O231" s="1541"/>
      <c r="P231" s="1541"/>
      <c r="AE231" s="1541"/>
      <c r="AF231" s="637"/>
      <c r="AG231" s="637"/>
      <c r="AH231" s="637"/>
      <c r="AI231" s="637"/>
      <c r="AJ231" s="637"/>
      <c r="AK231" s="637"/>
      <c r="AL231" s="1542"/>
      <c r="AN231" s="637"/>
      <c r="AO231" s="637"/>
      <c r="AP231" s="1541"/>
      <c r="AQ231" s="1541"/>
      <c r="AR231" s="1541"/>
      <c r="AS231" s="1541"/>
      <c r="AT231" s="1541"/>
      <c r="AU231" s="1541"/>
      <c r="AV231" s="1541"/>
      <c r="AW231" s="1541"/>
      <c r="AX231" s="1541"/>
    </row>
    <row r="232" spans="1:50" s="12" customFormat="1" ht="18" x14ac:dyDescent="0.2">
      <c r="A232" s="606"/>
      <c r="B232" s="666"/>
      <c r="C232" s="1541"/>
      <c r="D232" s="1541"/>
      <c r="E232" s="1541"/>
      <c r="F232" s="1541"/>
      <c r="G232" s="666"/>
      <c r="H232" s="666"/>
      <c r="I232" s="634"/>
      <c r="J232" s="1541"/>
      <c r="K232" s="1541"/>
      <c r="L232" s="1541"/>
      <c r="M232" s="1541"/>
      <c r="N232" s="1541"/>
      <c r="O232" s="1541"/>
      <c r="P232" s="1541"/>
      <c r="AE232" s="1541"/>
      <c r="AF232" s="637"/>
      <c r="AG232" s="637"/>
      <c r="AH232" s="637"/>
      <c r="AI232" s="637"/>
      <c r="AJ232" s="637"/>
      <c r="AK232" s="637"/>
      <c r="AL232" s="1542"/>
      <c r="AN232" s="637"/>
      <c r="AO232" s="637"/>
      <c r="AP232" s="1541"/>
      <c r="AQ232" s="1541"/>
      <c r="AR232" s="1541"/>
      <c r="AS232" s="1541"/>
      <c r="AT232" s="1541"/>
      <c r="AU232" s="1541"/>
      <c r="AV232" s="1541"/>
      <c r="AW232" s="1541"/>
      <c r="AX232" s="1541"/>
    </row>
    <row r="233" spans="1:50" s="12" customFormat="1" ht="18" x14ac:dyDescent="0.2">
      <c r="A233" s="606"/>
      <c r="B233" s="666"/>
      <c r="C233" s="1541"/>
      <c r="D233" s="1541"/>
      <c r="E233" s="1541"/>
      <c r="F233" s="1541"/>
      <c r="G233" s="666"/>
      <c r="H233" s="666"/>
      <c r="I233" s="634"/>
      <c r="J233" s="1541"/>
      <c r="K233" s="1541"/>
      <c r="L233" s="1541"/>
      <c r="M233" s="1541"/>
      <c r="N233" s="1541"/>
      <c r="O233" s="1541"/>
      <c r="P233" s="1541"/>
      <c r="AE233" s="1541"/>
      <c r="AF233" s="637"/>
      <c r="AG233" s="637"/>
      <c r="AH233" s="637"/>
      <c r="AI233" s="637"/>
      <c r="AJ233" s="637"/>
      <c r="AK233" s="637"/>
      <c r="AL233" s="1542"/>
      <c r="AN233" s="637"/>
      <c r="AO233" s="637"/>
      <c r="AP233" s="1541"/>
      <c r="AQ233" s="1541"/>
      <c r="AR233" s="1541"/>
      <c r="AS233" s="1541"/>
      <c r="AT233" s="1541"/>
      <c r="AU233" s="1541"/>
      <c r="AV233" s="1541"/>
      <c r="AW233" s="1541"/>
      <c r="AX233" s="1541"/>
    </row>
    <row r="234" spans="1:50" s="12" customFormat="1" ht="18" x14ac:dyDescent="0.2">
      <c r="A234" s="606"/>
      <c r="B234" s="666"/>
      <c r="C234" s="1541"/>
      <c r="D234" s="1541"/>
      <c r="E234" s="1541"/>
      <c r="F234" s="1541"/>
      <c r="G234" s="666"/>
      <c r="H234" s="666"/>
      <c r="I234" s="634"/>
      <c r="J234" s="1541"/>
      <c r="K234" s="1541"/>
      <c r="L234" s="1541"/>
      <c r="M234" s="1541"/>
      <c r="N234" s="1541"/>
      <c r="O234" s="1541"/>
      <c r="P234" s="1541"/>
      <c r="AE234" s="1541"/>
      <c r="AF234" s="637"/>
      <c r="AG234" s="637"/>
      <c r="AH234" s="637"/>
      <c r="AI234" s="637"/>
      <c r="AJ234" s="637"/>
      <c r="AK234" s="637"/>
      <c r="AL234" s="1542"/>
      <c r="AN234" s="637"/>
      <c r="AO234" s="637"/>
      <c r="AP234" s="1541"/>
      <c r="AQ234" s="1541"/>
      <c r="AR234" s="1541"/>
      <c r="AS234" s="1541"/>
      <c r="AT234" s="1541"/>
      <c r="AU234" s="1541"/>
      <c r="AV234" s="1541"/>
      <c r="AW234" s="1541"/>
      <c r="AX234" s="1541"/>
    </row>
    <row r="235" spans="1:50" s="12" customFormat="1" ht="18" x14ac:dyDescent="0.2">
      <c r="A235" s="606"/>
      <c r="B235" s="666"/>
      <c r="C235" s="1541"/>
      <c r="D235" s="1541"/>
      <c r="E235" s="1541"/>
      <c r="F235" s="1541"/>
      <c r="G235" s="666"/>
      <c r="H235" s="666"/>
      <c r="I235" s="634"/>
      <c r="J235" s="1541"/>
      <c r="K235" s="1541"/>
      <c r="L235" s="1541"/>
      <c r="M235" s="1541"/>
      <c r="N235" s="1541"/>
      <c r="O235" s="1541"/>
      <c r="P235" s="1541"/>
      <c r="AE235" s="1541"/>
      <c r="AF235" s="637"/>
      <c r="AG235" s="637"/>
      <c r="AH235" s="637"/>
      <c r="AI235" s="637"/>
      <c r="AJ235" s="637"/>
      <c r="AK235" s="637"/>
      <c r="AL235" s="1542"/>
      <c r="AN235" s="637"/>
      <c r="AO235" s="637"/>
      <c r="AP235" s="1541"/>
      <c r="AQ235" s="1541"/>
      <c r="AR235" s="1541"/>
      <c r="AS235" s="1541"/>
      <c r="AT235" s="1541"/>
      <c r="AU235" s="1541"/>
      <c r="AV235" s="1541"/>
      <c r="AW235" s="1541"/>
      <c r="AX235" s="1541"/>
    </row>
    <row r="236" spans="1:50" s="12" customFormat="1" ht="18" x14ac:dyDescent="0.2">
      <c r="A236" s="606"/>
      <c r="B236" s="666"/>
      <c r="C236" s="1541"/>
      <c r="D236" s="1541"/>
      <c r="E236" s="1541"/>
      <c r="F236" s="1541"/>
      <c r="G236" s="666"/>
      <c r="H236" s="666"/>
      <c r="I236" s="634"/>
      <c r="J236" s="1541"/>
      <c r="K236" s="1541"/>
      <c r="L236" s="1541"/>
      <c r="M236" s="1541"/>
      <c r="N236" s="1541"/>
      <c r="O236" s="1541"/>
      <c r="P236" s="1541"/>
      <c r="AE236" s="1541"/>
      <c r="AF236" s="637"/>
      <c r="AG236" s="637"/>
      <c r="AH236" s="637"/>
      <c r="AI236" s="637"/>
      <c r="AJ236" s="637"/>
      <c r="AK236" s="637"/>
      <c r="AL236" s="1542"/>
      <c r="AN236" s="637"/>
      <c r="AO236" s="637"/>
      <c r="AP236" s="1541"/>
      <c r="AQ236" s="1541"/>
      <c r="AR236" s="1541"/>
      <c r="AS236" s="1541"/>
      <c r="AT236" s="1541"/>
      <c r="AU236" s="1541"/>
      <c r="AV236" s="1541"/>
      <c r="AW236" s="1541"/>
      <c r="AX236" s="1541"/>
    </row>
    <row r="237" spans="1:50" s="12" customFormat="1" ht="18" x14ac:dyDescent="0.2">
      <c r="A237" s="606"/>
      <c r="B237" s="666"/>
      <c r="C237" s="1541"/>
      <c r="D237" s="1541"/>
      <c r="E237" s="1541"/>
      <c r="F237" s="1541"/>
      <c r="G237" s="666"/>
      <c r="H237" s="666"/>
      <c r="I237" s="634"/>
      <c r="J237" s="1541"/>
      <c r="K237" s="1541"/>
      <c r="L237" s="1541"/>
      <c r="M237" s="1541"/>
      <c r="N237" s="1541"/>
      <c r="O237" s="1541"/>
      <c r="P237" s="1541"/>
      <c r="AE237" s="1541"/>
      <c r="AF237" s="637"/>
      <c r="AG237" s="637"/>
      <c r="AH237" s="637"/>
      <c r="AI237" s="637"/>
      <c r="AJ237" s="637"/>
      <c r="AK237" s="637"/>
      <c r="AL237" s="1542"/>
      <c r="AN237" s="637"/>
      <c r="AO237" s="637"/>
      <c r="AP237" s="1541"/>
      <c r="AQ237" s="1541"/>
      <c r="AR237" s="1541"/>
      <c r="AS237" s="1541"/>
      <c r="AT237" s="1541"/>
      <c r="AU237" s="1541"/>
      <c r="AV237" s="1541"/>
      <c r="AW237" s="1541"/>
      <c r="AX237" s="1541"/>
    </row>
    <row r="238" spans="1:50" s="12" customFormat="1" ht="18" x14ac:dyDescent="0.2">
      <c r="A238" s="606"/>
      <c r="B238" s="666"/>
      <c r="C238" s="1541"/>
      <c r="D238" s="1541"/>
      <c r="E238" s="1541"/>
      <c r="F238" s="1541"/>
      <c r="G238" s="666"/>
      <c r="H238" s="666"/>
      <c r="I238" s="634"/>
      <c r="J238" s="1541"/>
      <c r="K238" s="1541"/>
      <c r="L238" s="1541"/>
      <c r="M238" s="1541"/>
      <c r="N238" s="1541"/>
      <c r="O238" s="1541"/>
      <c r="P238" s="1541"/>
      <c r="AE238" s="1541"/>
      <c r="AF238" s="637"/>
      <c r="AG238" s="637"/>
      <c r="AH238" s="637"/>
      <c r="AI238" s="637"/>
      <c r="AJ238" s="637"/>
      <c r="AK238" s="637"/>
      <c r="AL238" s="1542"/>
      <c r="AN238" s="637"/>
      <c r="AO238" s="637"/>
      <c r="AP238" s="1541"/>
      <c r="AQ238" s="1541"/>
      <c r="AR238" s="1541"/>
      <c r="AS238" s="1541"/>
      <c r="AT238" s="1541"/>
      <c r="AU238" s="1541"/>
      <c r="AV238" s="1541"/>
      <c r="AW238" s="1541"/>
      <c r="AX238" s="1541"/>
    </row>
    <row r="239" spans="1:50" s="12" customFormat="1" ht="18" x14ac:dyDescent="0.2">
      <c r="A239" s="606"/>
      <c r="B239" s="666"/>
      <c r="C239" s="1541"/>
      <c r="D239" s="1541"/>
      <c r="E239" s="1541"/>
      <c r="F239" s="1541"/>
      <c r="G239" s="666"/>
      <c r="H239" s="666"/>
      <c r="I239" s="634"/>
      <c r="J239" s="1541"/>
      <c r="K239" s="1541"/>
      <c r="L239" s="1541"/>
      <c r="M239" s="1541"/>
      <c r="N239" s="1541"/>
      <c r="O239" s="1541"/>
      <c r="P239" s="1541"/>
      <c r="AE239" s="1541"/>
      <c r="AF239" s="637"/>
      <c r="AG239" s="637"/>
      <c r="AH239" s="637"/>
      <c r="AI239" s="637"/>
      <c r="AJ239" s="637"/>
      <c r="AK239" s="637"/>
      <c r="AL239" s="1542"/>
      <c r="AN239" s="637"/>
      <c r="AO239" s="637"/>
      <c r="AP239" s="1541"/>
      <c r="AQ239" s="1541"/>
      <c r="AR239" s="1541"/>
      <c r="AS239" s="1541"/>
      <c r="AT239" s="1541"/>
      <c r="AU239" s="1541"/>
      <c r="AV239" s="1541"/>
      <c r="AW239" s="1541"/>
      <c r="AX239" s="1541"/>
    </row>
    <row r="240" spans="1:50" s="12" customFormat="1" ht="18" x14ac:dyDescent="0.2">
      <c r="A240" s="606"/>
      <c r="B240" s="666"/>
      <c r="C240" s="1541"/>
      <c r="D240" s="1541"/>
      <c r="E240" s="1541"/>
      <c r="F240" s="1541"/>
      <c r="G240" s="666"/>
      <c r="H240" s="666"/>
      <c r="I240" s="634"/>
      <c r="J240" s="1541"/>
      <c r="K240" s="1541"/>
      <c r="L240" s="1541"/>
      <c r="M240" s="1541"/>
      <c r="N240" s="1541"/>
      <c r="O240" s="1541"/>
      <c r="P240" s="1541"/>
      <c r="AE240" s="1541"/>
      <c r="AF240" s="637"/>
      <c r="AG240" s="637"/>
      <c r="AH240" s="637"/>
      <c r="AI240" s="637"/>
      <c r="AJ240" s="637"/>
      <c r="AK240" s="637"/>
      <c r="AL240" s="1542"/>
      <c r="AN240" s="637"/>
      <c r="AO240" s="637"/>
      <c r="AP240" s="1541"/>
      <c r="AQ240" s="1541"/>
      <c r="AR240" s="1541"/>
      <c r="AS240" s="1541"/>
      <c r="AT240" s="1541"/>
      <c r="AU240" s="1541"/>
      <c r="AV240" s="1541"/>
      <c r="AW240" s="1541"/>
      <c r="AX240" s="1541"/>
    </row>
    <row r="241" spans="1:50" s="12" customFormat="1" ht="18" x14ac:dyDescent="0.2">
      <c r="A241" s="606"/>
      <c r="B241" s="666"/>
      <c r="C241" s="1541"/>
      <c r="D241" s="1541"/>
      <c r="E241" s="1541"/>
      <c r="F241" s="1541"/>
      <c r="G241" s="666"/>
      <c r="H241" s="666"/>
      <c r="I241" s="634"/>
      <c r="J241" s="1541"/>
      <c r="K241" s="1541"/>
      <c r="L241" s="1541"/>
      <c r="M241" s="1541"/>
      <c r="N241" s="1541"/>
      <c r="O241" s="1541"/>
      <c r="P241" s="1541"/>
      <c r="AE241" s="1541"/>
      <c r="AF241" s="637"/>
      <c r="AG241" s="637"/>
      <c r="AH241" s="637"/>
      <c r="AI241" s="637"/>
      <c r="AJ241" s="637"/>
      <c r="AK241" s="637"/>
      <c r="AL241" s="1542"/>
      <c r="AN241" s="637"/>
      <c r="AO241" s="637"/>
      <c r="AP241" s="1541"/>
      <c r="AQ241" s="1541"/>
      <c r="AR241" s="1541"/>
      <c r="AS241" s="1541"/>
      <c r="AT241" s="1541"/>
      <c r="AU241" s="1541"/>
      <c r="AV241" s="1541"/>
      <c r="AW241" s="1541"/>
      <c r="AX241" s="1541"/>
    </row>
    <row r="242" spans="1:50" s="12" customFormat="1" ht="18" x14ac:dyDescent="0.2">
      <c r="A242" s="606"/>
      <c r="B242" s="666"/>
      <c r="C242" s="1541"/>
      <c r="D242" s="1541"/>
      <c r="E242" s="1541"/>
      <c r="F242" s="1541"/>
      <c r="G242" s="666"/>
      <c r="H242" s="666"/>
      <c r="I242" s="634"/>
      <c r="J242" s="1541"/>
      <c r="K242" s="1541"/>
      <c r="L242" s="1541"/>
      <c r="M242" s="1541"/>
      <c r="N242" s="1541"/>
      <c r="O242" s="1541"/>
      <c r="P242" s="1541"/>
      <c r="AE242" s="1541"/>
      <c r="AF242" s="637"/>
      <c r="AG242" s="637"/>
      <c r="AH242" s="637"/>
      <c r="AI242" s="637"/>
      <c r="AJ242" s="637"/>
      <c r="AK242" s="637"/>
      <c r="AL242" s="1542"/>
      <c r="AN242" s="637"/>
      <c r="AO242" s="637"/>
      <c r="AP242" s="1541"/>
      <c r="AQ242" s="1541"/>
      <c r="AR242" s="1541"/>
      <c r="AS242" s="1541"/>
      <c r="AT242" s="1541"/>
      <c r="AU242" s="1541"/>
      <c r="AV242" s="1541"/>
      <c r="AW242" s="1541"/>
      <c r="AX242" s="1541"/>
    </row>
    <row r="243" spans="1:50" s="12" customFormat="1" ht="18" x14ac:dyDescent="0.2">
      <c r="A243" s="606"/>
      <c r="B243" s="666"/>
      <c r="C243" s="1541"/>
      <c r="D243" s="1541"/>
      <c r="E243" s="1541"/>
      <c r="F243" s="1541"/>
      <c r="G243" s="666"/>
      <c r="H243" s="666"/>
      <c r="I243" s="634"/>
      <c r="J243" s="1541"/>
      <c r="K243" s="1541"/>
      <c r="L243" s="1541"/>
      <c r="M243" s="1541"/>
      <c r="N243" s="1541"/>
      <c r="O243" s="1541"/>
      <c r="P243" s="1541"/>
      <c r="AE243" s="1541"/>
      <c r="AF243" s="637"/>
      <c r="AG243" s="637"/>
      <c r="AH243" s="637"/>
      <c r="AI243" s="637"/>
      <c r="AJ243" s="637"/>
      <c r="AK243" s="637"/>
      <c r="AL243" s="1542"/>
      <c r="AN243" s="637"/>
      <c r="AO243" s="637"/>
      <c r="AP243" s="1541"/>
      <c r="AQ243" s="1541"/>
      <c r="AR243" s="1541"/>
      <c r="AS243" s="1541"/>
      <c r="AT243" s="1541"/>
      <c r="AU243" s="1541"/>
      <c r="AV243" s="1541"/>
      <c r="AW243" s="1541"/>
      <c r="AX243" s="1541"/>
    </row>
    <row r="244" spans="1:50" s="12" customFormat="1" ht="18" x14ac:dyDescent="0.2">
      <c r="A244" s="606"/>
      <c r="B244" s="666"/>
      <c r="C244" s="1541"/>
      <c r="D244" s="1541"/>
      <c r="E244" s="1541"/>
      <c r="F244" s="1541"/>
      <c r="G244" s="666"/>
      <c r="H244" s="666"/>
      <c r="I244" s="634"/>
      <c r="J244" s="1541"/>
      <c r="K244" s="1541"/>
      <c r="L244" s="1541"/>
      <c r="M244" s="1541"/>
      <c r="N244" s="1541"/>
      <c r="O244" s="1541"/>
      <c r="P244" s="1541"/>
      <c r="AE244" s="1541"/>
      <c r="AF244" s="637"/>
      <c r="AG244" s="637"/>
      <c r="AH244" s="637"/>
      <c r="AI244" s="637"/>
      <c r="AJ244" s="637"/>
      <c r="AK244" s="637"/>
      <c r="AL244" s="1542"/>
      <c r="AN244" s="637"/>
      <c r="AO244" s="637"/>
      <c r="AP244" s="1541"/>
      <c r="AQ244" s="1541"/>
      <c r="AR244" s="1541"/>
      <c r="AS244" s="1541"/>
      <c r="AT244" s="1541"/>
      <c r="AU244" s="1541"/>
      <c r="AV244" s="1541"/>
      <c r="AW244" s="1541"/>
      <c r="AX244" s="1541"/>
    </row>
    <row r="245" spans="1:50" s="12" customFormat="1" ht="18" x14ac:dyDescent="0.2">
      <c r="A245" s="606"/>
      <c r="B245" s="666"/>
      <c r="C245" s="1541"/>
      <c r="D245" s="1541"/>
      <c r="E245" s="1541"/>
      <c r="F245" s="1541"/>
      <c r="G245" s="666"/>
      <c r="H245" s="666"/>
      <c r="I245" s="634"/>
      <c r="J245" s="1541"/>
      <c r="K245" s="1541"/>
      <c r="L245" s="1541"/>
      <c r="M245" s="1541"/>
      <c r="N245" s="1541"/>
      <c r="O245" s="1541"/>
      <c r="P245" s="1541"/>
      <c r="AE245" s="1541"/>
      <c r="AF245" s="637"/>
      <c r="AG245" s="637"/>
      <c r="AH245" s="637"/>
      <c r="AI245" s="637"/>
      <c r="AJ245" s="637"/>
      <c r="AK245" s="637"/>
      <c r="AL245" s="1542"/>
      <c r="AN245" s="637"/>
      <c r="AO245" s="637"/>
      <c r="AP245" s="1541"/>
      <c r="AQ245" s="1541"/>
      <c r="AR245" s="1541"/>
      <c r="AS245" s="1541"/>
      <c r="AT245" s="1541"/>
      <c r="AU245" s="1541"/>
      <c r="AV245" s="1541"/>
      <c r="AW245" s="1541"/>
      <c r="AX245" s="1541"/>
    </row>
    <row r="246" spans="1:50" s="12" customFormat="1" ht="18" x14ac:dyDescent="0.2">
      <c r="A246" s="606"/>
      <c r="B246" s="666"/>
      <c r="C246" s="1541"/>
      <c r="D246" s="1541"/>
      <c r="E246" s="1541"/>
      <c r="F246" s="1541"/>
      <c r="G246" s="666"/>
      <c r="H246" s="666"/>
      <c r="I246" s="634"/>
      <c r="J246" s="1541"/>
      <c r="K246" s="1541"/>
      <c r="L246" s="1541"/>
      <c r="M246" s="1541"/>
      <c r="N246" s="1541"/>
      <c r="O246" s="1541"/>
      <c r="P246" s="1541"/>
      <c r="AE246" s="1541"/>
      <c r="AF246" s="637"/>
      <c r="AG246" s="637"/>
      <c r="AH246" s="637"/>
      <c r="AI246" s="637"/>
      <c r="AJ246" s="637"/>
      <c r="AK246" s="637"/>
      <c r="AL246" s="1542"/>
      <c r="AN246" s="637"/>
      <c r="AO246" s="637"/>
      <c r="AP246" s="1541"/>
      <c r="AQ246" s="1541"/>
      <c r="AR246" s="1541"/>
      <c r="AS246" s="1541"/>
      <c r="AT246" s="1541"/>
      <c r="AU246" s="1541"/>
      <c r="AV246" s="1541"/>
      <c r="AW246" s="1541"/>
      <c r="AX246" s="1541"/>
    </row>
    <row r="247" spans="1:50" s="12" customFormat="1" ht="18" x14ac:dyDescent="0.2">
      <c r="A247" s="606"/>
      <c r="B247" s="666"/>
      <c r="C247" s="1541"/>
      <c r="D247" s="1541"/>
      <c r="E247" s="1541"/>
      <c r="F247" s="1541"/>
      <c r="G247" s="666"/>
      <c r="H247" s="666"/>
      <c r="I247" s="634"/>
      <c r="J247" s="1541"/>
      <c r="K247" s="1541"/>
      <c r="L247" s="1541"/>
      <c r="M247" s="1541"/>
      <c r="N247" s="1541"/>
      <c r="O247" s="1541"/>
      <c r="P247" s="1541"/>
      <c r="AE247" s="1541"/>
      <c r="AF247" s="637"/>
      <c r="AG247" s="637"/>
      <c r="AH247" s="637"/>
      <c r="AI247" s="637"/>
      <c r="AJ247" s="637"/>
      <c r="AK247" s="637"/>
      <c r="AL247" s="1542"/>
      <c r="AN247" s="637"/>
      <c r="AO247" s="637"/>
      <c r="AP247" s="1541"/>
      <c r="AQ247" s="1541"/>
      <c r="AR247" s="1541"/>
      <c r="AS247" s="1541"/>
      <c r="AT247" s="1541"/>
      <c r="AU247" s="1541"/>
      <c r="AV247" s="1541"/>
      <c r="AW247" s="1541"/>
      <c r="AX247" s="1541"/>
    </row>
    <row r="248" spans="1:50" s="12" customFormat="1" ht="18" x14ac:dyDescent="0.2">
      <c r="A248" s="606"/>
      <c r="B248" s="666"/>
      <c r="C248" s="1541"/>
      <c r="D248" s="1541"/>
      <c r="E248" s="1541"/>
      <c r="F248" s="1541"/>
      <c r="G248" s="666"/>
      <c r="H248" s="666"/>
      <c r="I248" s="634"/>
      <c r="J248" s="1541"/>
      <c r="K248" s="1541"/>
      <c r="L248" s="1541"/>
      <c r="M248" s="1541"/>
      <c r="N248" s="1541"/>
      <c r="O248" s="1541"/>
      <c r="P248" s="1541"/>
      <c r="AE248" s="1541"/>
      <c r="AF248" s="637"/>
      <c r="AG248" s="637"/>
      <c r="AH248" s="637"/>
      <c r="AI248" s="637"/>
      <c r="AJ248" s="637"/>
      <c r="AK248" s="637"/>
      <c r="AL248" s="1542"/>
      <c r="AN248" s="637"/>
      <c r="AO248" s="637"/>
      <c r="AP248" s="1541"/>
      <c r="AQ248" s="1541"/>
      <c r="AR248" s="1541"/>
      <c r="AS248" s="1541"/>
      <c r="AT248" s="1541"/>
      <c r="AU248" s="1541"/>
      <c r="AV248" s="1541"/>
      <c r="AW248" s="1541"/>
      <c r="AX248" s="1541"/>
    </row>
    <row r="249" spans="1:50" s="12" customFormat="1" ht="18" x14ac:dyDescent="0.2">
      <c r="A249" s="606"/>
      <c r="B249" s="666"/>
      <c r="C249" s="1541"/>
      <c r="D249" s="1541"/>
      <c r="E249" s="1541"/>
      <c r="F249" s="1541"/>
      <c r="G249" s="666"/>
      <c r="H249" s="666"/>
      <c r="I249" s="634"/>
      <c r="J249" s="1541"/>
      <c r="K249" s="1541"/>
      <c r="L249" s="1541"/>
      <c r="M249" s="1541"/>
      <c r="N249" s="1541"/>
      <c r="O249" s="1541"/>
      <c r="P249" s="1541"/>
      <c r="AE249" s="1541"/>
      <c r="AF249" s="637"/>
      <c r="AG249" s="637"/>
      <c r="AH249" s="637"/>
      <c r="AI249" s="637"/>
      <c r="AJ249" s="637"/>
      <c r="AK249" s="637"/>
      <c r="AL249" s="1542"/>
      <c r="AN249" s="637"/>
      <c r="AO249" s="637"/>
      <c r="AP249" s="1541"/>
      <c r="AQ249" s="1541"/>
      <c r="AR249" s="1541"/>
      <c r="AS249" s="1541"/>
      <c r="AT249" s="1541"/>
      <c r="AU249" s="1541"/>
      <c r="AV249" s="1541"/>
      <c r="AW249" s="1541"/>
      <c r="AX249" s="1541"/>
    </row>
    <row r="250" spans="1:50" s="12" customFormat="1" ht="18" x14ac:dyDescent="0.2">
      <c r="A250" s="606"/>
      <c r="B250" s="666"/>
      <c r="C250" s="1541"/>
      <c r="D250" s="1541"/>
      <c r="E250" s="1541"/>
      <c r="F250" s="1541"/>
      <c r="G250" s="666"/>
      <c r="H250" s="666"/>
      <c r="I250" s="634"/>
      <c r="J250" s="1541"/>
      <c r="K250" s="1541"/>
      <c r="L250" s="1541"/>
      <c r="M250" s="1541"/>
      <c r="N250" s="1541"/>
      <c r="O250" s="1541"/>
      <c r="P250" s="1541"/>
      <c r="AE250" s="1541"/>
      <c r="AF250" s="637"/>
      <c r="AG250" s="637"/>
      <c r="AH250" s="637"/>
      <c r="AI250" s="637"/>
      <c r="AJ250" s="637"/>
      <c r="AK250" s="637"/>
      <c r="AL250" s="1542"/>
      <c r="AN250" s="637"/>
      <c r="AO250" s="637"/>
      <c r="AP250" s="1541"/>
      <c r="AQ250" s="1541"/>
      <c r="AR250" s="1541"/>
      <c r="AS250" s="1541"/>
      <c r="AT250" s="1541"/>
      <c r="AU250" s="1541"/>
      <c r="AV250" s="1541"/>
      <c r="AW250" s="1541"/>
      <c r="AX250" s="1541"/>
    </row>
    <row r="251" spans="1:50" s="12" customFormat="1" ht="18" x14ac:dyDescent="0.2">
      <c r="A251" s="606"/>
      <c r="B251" s="666"/>
      <c r="C251" s="1541"/>
      <c r="D251" s="1541"/>
      <c r="E251" s="1541"/>
      <c r="F251" s="1541"/>
      <c r="G251" s="666"/>
      <c r="H251" s="666"/>
      <c r="I251" s="634"/>
      <c r="J251" s="1541"/>
      <c r="K251" s="1541"/>
      <c r="L251" s="1541"/>
      <c r="M251" s="1541"/>
      <c r="N251" s="1541"/>
      <c r="O251" s="1541"/>
      <c r="P251" s="1541"/>
      <c r="AE251" s="1541"/>
      <c r="AF251" s="637"/>
      <c r="AG251" s="637"/>
      <c r="AH251" s="637"/>
      <c r="AI251" s="637"/>
      <c r="AJ251" s="637"/>
      <c r="AK251" s="637"/>
      <c r="AL251" s="1542"/>
      <c r="AN251" s="637"/>
      <c r="AO251" s="637"/>
      <c r="AP251" s="1541"/>
      <c r="AQ251" s="1541"/>
      <c r="AR251" s="1541"/>
      <c r="AS251" s="1541"/>
      <c r="AT251" s="1541"/>
      <c r="AU251" s="1541"/>
      <c r="AV251" s="1541"/>
      <c r="AW251" s="1541"/>
      <c r="AX251" s="1541"/>
    </row>
    <row r="252" spans="1:50" s="12" customFormat="1" ht="18" x14ac:dyDescent="0.2">
      <c r="A252" s="606"/>
      <c r="B252" s="666"/>
      <c r="C252" s="1541"/>
      <c r="D252" s="1541"/>
      <c r="E252" s="1541"/>
      <c r="F252" s="1541"/>
      <c r="G252" s="666"/>
      <c r="H252" s="666"/>
      <c r="I252" s="634"/>
      <c r="J252" s="1541"/>
      <c r="K252" s="1541"/>
      <c r="L252" s="1541"/>
      <c r="M252" s="1541"/>
      <c r="N252" s="1541"/>
      <c r="O252" s="1541"/>
      <c r="P252" s="1541"/>
      <c r="AE252" s="1541"/>
      <c r="AF252" s="637"/>
      <c r="AG252" s="637"/>
      <c r="AH252" s="637"/>
      <c r="AI252" s="637"/>
      <c r="AJ252" s="637"/>
      <c r="AK252" s="637"/>
      <c r="AL252" s="1542"/>
      <c r="AN252" s="637"/>
      <c r="AO252" s="637"/>
      <c r="AP252" s="1541"/>
      <c r="AQ252" s="1541"/>
      <c r="AR252" s="1541"/>
      <c r="AS252" s="1541"/>
      <c r="AT252" s="1541"/>
      <c r="AU252" s="1541"/>
      <c r="AV252" s="1541"/>
      <c r="AW252" s="1541"/>
      <c r="AX252" s="1541"/>
    </row>
    <row r="253" spans="1:50" s="12" customFormat="1" ht="18" x14ac:dyDescent="0.2">
      <c r="A253" s="606"/>
      <c r="B253" s="666"/>
      <c r="C253" s="1541"/>
      <c r="D253" s="1541"/>
      <c r="E253" s="1541"/>
      <c r="F253" s="1541"/>
      <c r="G253" s="666"/>
      <c r="H253" s="666"/>
      <c r="I253" s="634"/>
      <c r="J253" s="1541"/>
      <c r="K253" s="1541"/>
      <c r="L253" s="1541"/>
      <c r="M253" s="1541"/>
      <c r="N253" s="1541"/>
      <c r="O253" s="1541"/>
      <c r="P253" s="1541"/>
      <c r="AE253" s="1541"/>
      <c r="AF253" s="637"/>
      <c r="AG253" s="637"/>
      <c r="AH253" s="637"/>
      <c r="AI253" s="637"/>
      <c r="AJ253" s="637"/>
      <c r="AK253" s="637"/>
      <c r="AL253" s="1542"/>
      <c r="AN253" s="637"/>
      <c r="AO253" s="637"/>
      <c r="AP253" s="1541"/>
      <c r="AQ253" s="1541"/>
      <c r="AR253" s="1541"/>
      <c r="AS253" s="1541"/>
      <c r="AT253" s="1541"/>
      <c r="AU253" s="1541"/>
      <c r="AV253" s="1541"/>
      <c r="AW253" s="1541"/>
      <c r="AX253" s="1541"/>
    </row>
    <row r="254" spans="1:50" s="12" customFormat="1" ht="18" x14ac:dyDescent="0.2">
      <c r="A254" s="606"/>
      <c r="B254" s="666"/>
      <c r="C254" s="1541"/>
      <c r="D254" s="1541"/>
      <c r="E254" s="1541"/>
      <c r="F254" s="1541"/>
      <c r="G254" s="666"/>
      <c r="H254" s="666"/>
      <c r="I254" s="634"/>
      <c r="J254" s="1541"/>
      <c r="K254" s="1541"/>
      <c r="L254" s="1541"/>
      <c r="M254" s="1541"/>
      <c r="N254" s="1541"/>
      <c r="O254" s="1541"/>
      <c r="P254" s="1541"/>
      <c r="AE254" s="1541"/>
      <c r="AF254" s="637"/>
      <c r="AG254" s="637"/>
      <c r="AH254" s="637"/>
      <c r="AI254" s="637"/>
      <c r="AJ254" s="637"/>
      <c r="AK254" s="637"/>
      <c r="AL254" s="1542"/>
      <c r="AN254" s="637"/>
      <c r="AO254" s="637"/>
      <c r="AP254" s="1541"/>
      <c r="AQ254" s="1541"/>
      <c r="AR254" s="1541"/>
      <c r="AS254" s="1541"/>
      <c r="AT254" s="1541"/>
      <c r="AU254" s="1541"/>
      <c r="AV254" s="1541"/>
      <c r="AW254" s="1541"/>
      <c r="AX254" s="1541"/>
    </row>
    <row r="255" spans="1:50" s="12" customFormat="1" ht="18" x14ac:dyDescent="0.2">
      <c r="A255" s="606"/>
      <c r="B255" s="666"/>
      <c r="C255" s="1541"/>
      <c r="D255" s="1541"/>
      <c r="E255" s="1541"/>
      <c r="F255" s="1541"/>
      <c r="G255" s="666"/>
      <c r="H255" s="666"/>
      <c r="I255" s="634"/>
      <c r="J255" s="1541"/>
      <c r="K255" s="1541"/>
      <c r="L255" s="1541"/>
      <c r="M255" s="1541"/>
      <c r="N255" s="1541"/>
      <c r="O255" s="1541"/>
      <c r="P255" s="1541"/>
      <c r="AE255" s="1541"/>
      <c r="AF255" s="637"/>
      <c r="AG255" s="637"/>
      <c r="AH255" s="637"/>
      <c r="AI255" s="637"/>
      <c r="AJ255" s="637"/>
      <c r="AK255" s="637"/>
      <c r="AL255" s="1542"/>
      <c r="AN255" s="637"/>
      <c r="AO255" s="637"/>
      <c r="AP255" s="1541"/>
      <c r="AQ255" s="1541"/>
      <c r="AR255" s="1541"/>
      <c r="AS255" s="1541"/>
      <c r="AT255" s="1541"/>
      <c r="AU255" s="1541"/>
      <c r="AV255" s="1541"/>
      <c r="AW255" s="1541"/>
      <c r="AX255" s="1541"/>
    </row>
    <row r="256" spans="1:50" s="12" customFormat="1" ht="18" x14ac:dyDescent="0.2">
      <c r="A256" s="606"/>
      <c r="B256" s="666"/>
      <c r="C256" s="1541"/>
      <c r="D256" s="1541"/>
      <c r="E256" s="1541"/>
      <c r="F256" s="1541"/>
      <c r="G256" s="666"/>
      <c r="H256" s="666"/>
      <c r="I256" s="634"/>
      <c r="J256" s="1541"/>
      <c r="K256" s="1541"/>
      <c r="L256" s="1541"/>
      <c r="M256" s="1541"/>
      <c r="N256" s="1541"/>
      <c r="O256" s="1541"/>
      <c r="P256" s="1541"/>
      <c r="AE256" s="1541"/>
      <c r="AF256" s="637"/>
      <c r="AG256" s="637"/>
      <c r="AH256" s="637"/>
      <c r="AI256" s="637"/>
      <c r="AJ256" s="637"/>
      <c r="AK256" s="637"/>
      <c r="AL256" s="1542"/>
      <c r="AN256" s="637"/>
      <c r="AO256" s="637"/>
      <c r="AP256" s="1541"/>
      <c r="AQ256" s="1541"/>
      <c r="AR256" s="1541"/>
      <c r="AS256" s="1541"/>
      <c r="AT256" s="1541"/>
      <c r="AU256" s="1541"/>
      <c r="AV256" s="1541"/>
      <c r="AW256" s="1541"/>
      <c r="AX256" s="1541"/>
    </row>
    <row r="257" spans="1:50" s="12" customFormat="1" ht="18" x14ac:dyDescent="0.2">
      <c r="A257" s="606"/>
      <c r="B257" s="666"/>
      <c r="C257" s="1541"/>
      <c r="D257" s="1541"/>
      <c r="E257" s="1541"/>
      <c r="F257" s="1541"/>
      <c r="G257" s="666"/>
      <c r="H257" s="666"/>
      <c r="I257" s="634"/>
      <c r="J257" s="1541"/>
      <c r="K257" s="1541"/>
      <c r="L257" s="1541"/>
      <c r="M257" s="1541"/>
      <c r="N257" s="1541"/>
      <c r="O257" s="1541"/>
      <c r="P257" s="1541"/>
      <c r="AE257" s="1541"/>
      <c r="AF257" s="637"/>
      <c r="AG257" s="637"/>
      <c r="AH257" s="637"/>
      <c r="AI257" s="637"/>
      <c r="AJ257" s="637"/>
      <c r="AK257" s="637"/>
      <c r="AL257" s="1542"/>
      <c r="AN257" s="637"/>
      <c r="AO257" s="637"/>
      <c r="AP257" s="1541"/>
      <c r="AQ257" s="1541"/>
      <c r="AR257" s="1541"/>
      <c r="AS257" s="1541"/>
      <c r="AT257" s="1541"/>
      <c r="AU257" s="1541"/>
      <c r="AV257" s="1541"/>
      <c r="AW257" s="1541"/>
      <c r="AX257" s="1541"/>
    </row>
    <row r="258" spans="1:50" s="12" customFormat="1" ht="18" x14ac:dyDescent="0.2">
      <c r="A258" s="606"/>
      <c r="B258" s="666"/>
      <c r="C258" s="1541"/>
      <c r="D258" s="1541"/>
      <c r="E258" s="1541"/>
      <c r="F258" s="1541"/>
      <c r="G258" s="666"/>
      <c r="H258" s="666"/>
      <c r="I258" s="634"/>
      <c r="J258" s="1541"/>
      <c r="K258" s="1541"/>
      <c r="L258" s="1541"/>
      <c r="M258" s="1541"/>
      <c r="N258" s="1541"/>
      <c r="O258" s="1541"/>
      <c r="P258" s="1541"/>
      <c r="AE258" s="1541"/>
      <c r="AF258" s="637"/>
      <c r="AG258" s="637"/>
      <c r="AH258" s="637"/>
      <c r="AI258" s="637"/>
      <c r="AJ258" s="637"/>
      <c r="AK258" s="637"/>
      <c r="AL258" s="1542"/>
      <c r="AN258" s="637"/>
      <c r="AO258" s="637"/>
      <c r="AP258" s="1541"/>
      <c r="AQ258" s="1541"/>
      <c r="AR258" s="1541"/>
      <c r="AS258" s="1541"/>
      <c r="AT258" s="1541"/>
      <c r="AU258" s="1541"/>
      <c r="AV258" s="1541"/>
      <c r="AW258" s="1541"/>
      <c r="AX258" s="1541"/>
    </row>
    <row r="259" spans="1:50" s="12" customFormat="1" ht="18" x14ac:dyDescent="0.2">
      <c r="A259" s="606"/>
      <c r="B259" s="666"/>
      <c r="C259" s="1541"/>
      <c r="D259" s="1541"/>
      <c r="E259" s="1541"/>
      <c r="F259" s="1541"/>
      <c r="G259" s="666"/>
      <c r="H259" s="666"/>
      <c r="I259" s="634"/>
      <c r="J259" s="1541"/>
      <c r="K259" s="1541"/>
      <c r="L259" s="1541"/>
      <c r="M259" s="1541"/>
      <c r="N259" s="1541"/>
      <c r="O259" s="1541"/>
      <c r="P259" s="1541"/>
      <c r="AE259" s="1541"/>
      <c r="AF259" s="637"/>
      <c r="AG259" s="637"/>
      <c r="AH259" s="637"/>
      <c r="AI259" s="637"/>
      <c r="AJ259" s="637"/>
      <c r="AK259" s="637"/>
      <c r="AL259" s="1542"/>
      <c r="AN259" s="637"/>
      <c r="AO259" s="637"/>
      <c r="AP259" s="1541"/>
      <c r="AQ259" s="1541"/>
      <c r="AR259" s="1541"/>
      <c r="AS259" s="1541"/>
      <c r="AT259" s="1541"/>
      <c r="AU259" s="1541"/>
      <c r="AV259" s="1541"/>
      <c r="AW259" s="1541"/>
      <c r="AX259" s="1541"/>
    </row>
    <row r="260" spans="1:50" s="12" customFormat="1" ht="18" x14ac:dyDescent="0.2">
      <c r="A260" s="606"/>
      <c r="B260" s="666"/>
      <c r="C260" s="1541"/>
      <c r="D260" s="1541"/>
      <c r="E260" s="1541"/>
      <c r="F260" s="1541"/>
      <c r="G260" s="666"/>
      <c r="H260" s="666"/>
      <c r="I260" s="634"/>
      <c r="J260" s="1541"/>
      <c r="K260" s="1541"/>
      <c r="L260" s="1541"/>
      <c r="M260" s="1541"/>
      <c r="N260" s="1541"/>
      <c r="O260" s="1541"/>
      <c r="P260" s="1541"/>
      <c r="AE260" s="1541"/>
      <c r="AF260" s="637"/>
      <c r="AG260" s="637"/>
      <c r="AH260" s="637"/>
      <c r="AI260" s="637"/>
      <c r="AJ260" s="637"/>
      <c r="AK260" s="637"/>
      <c r="AL260" s="1542"/>
      <c r="AN260" s="637"/>
      <c r="AO260" s="637"/>
      <c r="AP260" s="1541"/>
      <c r="AQ260" s="1541"/>
      <c r="AR260" s="1541"/>
      <c r="AS260" s="1541"/>
      <c r="AT260" s="1541"/>
      <c r="AU260" s="1541"/>
      <c r="AV260" s="1541"/>
      <c r="AW260" s="1541"/>
      <c r="AX260" s="1541"/>
    </row>
    <row r="261" spans="1:50" s="12" customFormat="1" ht="18" x14ac:dyDescent="0.2">
      <c r="A261" s="606"/>
      <c r="B261" s="666"/>
      <c r="C261" s="1541"/>
      <c r="D261" s="1541"/>
      <c r="E261" s="1541"/>
      <c r="F261" s="1541"/>
      <c r="G261" s="666"/>
      <c r="H261" s="666"/>
      <c r="I261" s="634"/>
      <c r="J261" s="1541"/>
      <c r="K261" s="1541"/>
      <c r="L261" s="1541"/>
      <c r="M261" s="1541"/>
      <c r="N261" s="1541"/>
      <c r="O261" s="1541"/>
      <c r="P261" s="1541"/>
      <c r="AE261" s="1541"/>
      <c r="AF261" s="637"/>
      <c r="AG261" s="637"/>
      <c r="AH261" s="637"/>
      <c r="AI261" s="637"/>
      <c r="AJ261" s="637"/>
      <c r="AK261" s="637"/>
      <c r="AL261" s="1542"/>
      <c r="AN261" s="637"/>
      <c r="AO261" s="637"/>
      <c r="AP261" s="1541"/>
      <c r="AQ261" s="1541"/>
      <c r="AR261" s="1541"/>
      <c r="AS261" s="1541"/>
      <c r="AT261" s="1541"/>
      <c r="AU261" s="1541"/>
      <c r="AV261" s="1541"/>
      <c r="AW261" s="1541"/>
      <c r="AX261" s="1541"/>
    </row>
    <row r="262" spans="1:50" s="12" customFormat="1" ht="18" x14ac:dyDescent="0.2">
      <c r="A262" s="606"/>
      <c r="B262" s="666"/>
      <c r="C262" s="1541"/>
      <c r="D262" s="1541"/>
      <c r="E262" s="1541"/>
      <c r="F262" s="1541"/>
      <c r="G262" s="666"/>
      <c r="H262" s="666"/>
      <c r="I262" s="634"/>
      <c r="J262" s="1541"/>
      <c r="K262" s="1541"/>
      <c r="L262" s="1541"/>
      <c r="M262" s="1541"/>
      <c r="N262" s="1541"/>
      <c r="O262" s="1541"/>
      <c r="P262" s="1541"/>
      <c r="AE262" s="1541"/>
      <c r="AF262" s="637"/>
      <c r="AG262" s="637"/>
      <c r="AH262" s="637"/>
      <c r="AI262" s="637"/>
      <c r="AJ262" s="637"/>
      <c r="AK262" s="637"/>
      <c r="AL262" s="1542"/>
      <c r="AN262" s="637"/>
      <c r="AO262" s="637"/>
      <c r="AP262" s="1541"/>
      <c r="AQ262" s="1541"/>
      <c r="AR262" s="1541"/>
      <c r="AS262" s="1541"/>
      <c r="AT262" s="1541"/>
      <c r="AU262" s="1541"/>
      <c r="AV262" s="1541"/>
      <c r="AW262" s="1541"/>
      <c r="AX262" s="1541"/>
    </row>
    <row r="263" spans="1:50" s="12" customFormat="1" ht="18" x14ac:dyDescent="0.2">
      <c r="A263" s="606"/>
      <c r="B263" s="666"/>
      <c r="C263" s="1541"/>
      <c r="D263" s="1541"/>
      <c r="E263" s="1541"/>
      <c r="F263" s="1541"/>
      <c r="G263" s="666"/>
      <c r="H263" s="666"/>
      <c r="I263" s="634"/>
      <c r="J263" s="1541"/>
      <c r="K263" s="1541"/>
      <c r="L263" s="1541"/>
      <c r="M263" s="1541"/>
      <c r="N263" s="1541"/>
      <c r="O263" s="1541"/>
      <c r="P263" s="1541"/>
      <c r="AE263" s="1541"/>
      <c r="AF263" s="637"/>
      <c r="AG263" s="637"/>
      <c r="AH263" s="637"/>
      <c r="AI263" s="637"/>
      <c r="AJ263" s="637"/>
      <c r="AK263" s="637"/>
      <c r="AL263" s="1542"/>
      <c r="AN263" s="637"/>
      <c r="AO263" s="637"/>
      <c r="AP263" s="1541"/>
      <c r="AQ263" s="1541"/>
      <c r="AR263" s="1541"/>
      <c r="AS263" s="1541"/>
      <c r="AT263" s="1541"/>
      <c r="AU263" s="1541"/>
      <c r="AV263" s="1541"/>
      <c r="AW263" s="1541"/>
      <c r="AX263" s="1541"/>
    </row>
    <row r="264" spans="1:50" s="12" customFormat="1" ht="18" x14ac:dyDescent="0.2">
      <c r="A264" s="606"/>
      <c r="B264" s="666"/>
      <c r="C264" s="1541"/>
      <c r="D264" s="1541"/>
      <c r="E264" s="1541"/>
      <c r="F264" s="1541"/>
      <c r="G264" s="666"/>
      <c r="H264" s="666"/>
      <c r="I264" s="634"/>
      <c r="J264" s="1541"/>
      <c r="K264" s="1541"/>
      <c r="L264" s="1541"/>
      <c r="M264" s="1541"/>
      <c r="N264" s="1541"/>
      <c r="O264" s="1541"/>
      <c r="P264" s="1541"/>
      <c r="AE264" s="1541"/>
      <c r="AF264" s="637"/>
      <c r="AG264" s="637"/>
      <c r="AH264" s="637"/>
      <c r="AI264" s="637"/>
      <c r="AJ264" s="637"/>
      <c r="AK264" s="637"/>
      <c r="AL264" s="1542"/>
      <c r="AN264" s="637"/>
      <c r="AO264" s="637"/>
      <c r="AP264" s="1541"/>
      <c r="AQ264" s="1541"/>
      <c r="AR264" s="1541"/>
      <c r="AS264" s="1541"/>
      <c r="AT264" s="1541"/>
      <c r="AU264" s="1541"/>
      <c r="AV264" s="1541"/>
      <c r="AW264" s="1541"/>
      <c r="AX264" s="1541"/>
    </row>
    <row r="265" spans="1:50" s="12" customFormat="1" ht="18" x14ac:dyDescent="0.2">
      <c r="A265" s="606"/>
      <c r="B265" s="666"/>
      <c r="C265" s="1541"/>
      <c r="D265" s="1541"/>
      <c r="E265" s="1541"/>
      <c r="F265" s="1541"/>
      <c r="G265" s="666"/>
      <c r="H265" s="666"/>
      <c r="I265" s="634"/>
      <c r="J265" s="1541"/>
      <c r="K265" s="1541"/>
      <c r="L265" s="1541"/>
      <c r="M265" s="1541"/>
      <c r="N265" s="1541"/>
      <c r="O265" s="1541"/>
      <c r="P265" s="1541"/>
      <c r="AE265" s="1541"/>
      <c r="AF265" s="637"/>
      <c r="AG265" s="637"/>
      <c r="AH265" s="637"/>
      <c r="AI265" s="637"/>
      <c r="AJ265" s="637"/>
      <c r="AK265" s="637"/>
      <c r="AL265" s="1542"/>
      <c r="AN265" s="637"/>
      <c r="AO265" s="637"/>
      <c r="AP265" s="1541"/>
      <c r="AQ265" s="1541"/>
      <c r="AR265" s="1541"/>
      <c r="AS265" s="1541"/>
      <c r="AT265" s="1541"/>
      <c r="AU265" s="1541"/>
      <c r="AV265" s="1541"/>
      <c r="AW265" s="1541"/>
      <c r="AX265" s="1541"/>
    </row>
    <row r="266" spans="1:50" s="12" customFormat="1" ht="18" x14ac:dyDescent="0.2">
      <c r="A266" s="606"/>
      <c r="B266" s="666"/>
      <c r="C266" s="1541"/>
      <c r="D266" s="1541"/>
      <c r="E266" s="1541"/>
      <c r="F266" s="1541"/>
      <c r="G266" s="666"/>
      <c r="H266" s="666"/>
      <c r="I266" s="634"/>
      <c r="J266" s="1541"/>
      <c r="K266" s="1541"/>
      <c r="L266" s="1541"/>
      <c r="M266" s="1541"/>
      <c r="N266" s="1541"/>
      <c r="O266" s="1541"/>
      <c r="P266" s="1541"/>
      <c r="AE266" s="1541"/>
      <c r="AF266" s="637"/>
      <c r="AG266" s="637"/>
      <c r="AH266" s="637"/>
      <c r="AI266" s="637"/>
      <c r="AJ266" s="637"/>
      <c r="AK266" s="637"/>
      <c r="AL266" s="1542"/>
      <c r="AN266" s="637"/>
      <c r="AO266" s="637"/>
      <c r="AP266" s="1541"/>
      <c r="AQ266" s="1541"/>
      <c r="AR266" s="1541"/>
      <c r="AS266" s="1541"/>
      <c r="AT266" s="1541"/>
      <c r="AU266" s="1541"/>
      <c r="AV266" s="1541"/>
      <c r="AW266" s="1541"/>
      <c r="AX266" s="1541"/>
    </row>
    <row r="267" spans="1:50" s="12" customFormat="1" ht="18" x14ac:dyDescent="0.2">
      <c r="A267" s="606"/>
      <c r="B267" s="666"/>
      <c r="C267" s="1541"/>
      <c r="D267" s="1541"/>
      <c r="E267" s="1541"/>
      <c r="F267" s="1541"/>
      <c r="G267" s="666"/>
      <c r="H267" s="666"/>
      <c r="I267" s="634"/>
      <c r="J267" s="1541"/>
      <c r="K267" s="1541"/>
      <c r="L267" s="1541"/>
      <c r="M267" s="1541"/>
      <c r="N267" s="1541"/>
      <c r="O267" s="1541"/>
      <c r="P267" s="1541"/>
      <c r="AE267" s="1541"/>
      <c r="AF267" s="637"/>
      <c r="AG267" s="637"/>
      <c r="AH267" s="637"/>
      <c r="AI267" s="637"/>
      <c r="AJ267" s="637"/>
      <c r="AK267" s="637"/>
      <c r="AL267" s="1542"/>
      <c r="AN267" s="637"/>
      <c r="AO267" s="637"/>
      <c r="AP267" s="1541"/>
      <c r="AQ267" s="1541"/>
      <c r="AR267" s="1541"/>
      <c r="AS267" s="1541"/>
      <c r="AT267" s="1541"/>
      <c r="AU267" s="1541"/>
      <c r="AV267" s="1541"/>
      <c r="AW267" s="1541"/>
      <c r="AX267" s="1541"/>
    </row>
    <row r="268" spans="1:50" s="12" customFormat="1" ht="18" x14ac:dyDescent="0.2">
      <c r="A268" s="606"/>
      <c r="B268" s="666"/>
      <c r="C268" s="1541"/>
      <c r="D268" s="1541"/>
      <c r="E268" s="1541"/>
      <c r="F268" s="1541"/>
      <c r="G268" s="666"/>
      <c r="H268" s="666"/>
      <c r="I268" s="634"/>
      <c r="J268" s="1541"/>
      <c r="K268" s="1541"/>
      <c r="L268" s="1541"/>
      <c r="M268" s="1541"/>
      <c r="N268" s="1541"/>
      <c r="O268" s="1541"/>
      <c r="P268" s="1541"/>
      <c r="AE268" s="1541"/>
      <c r="AF268" s="637"/>
      <c r="AG268" s="637"/>
      <c r="AH268" s="637"/>
      <c r="AI268" s="637"/>
      <c r="AJ268" s="637"/>
      <c r="AK268" s="637"/>
      <c r="AL268" s="1542"/>
      <c r="AN268" s="637"/>
      <c r="AO268" s="637"/>
      <c r="AP268" s="1541"/>
      <c r="AQ268" s="1541"/>
      <c r="AR268" s="1541"/>
      <c r="AS268" s="1541"/>
      <c r="AT268" s="1541"/>
      <c r="AU268" s="1541"/>
      <c r="AV268" s="1541"/>
      <c r="AW268" s="1541"/>
      <c r="AX268" s="1541"/>
    </row>
    <row r="269" spans="1:50" s="12" customFormat="1" ht="18" x14ac:dyDescent="0.2">
      <c r="A269" s="606"/>
      <c r="B269" s="666"/>
      <c r="C269" s="1541"/>
      <c r="D269" s="1541"/>
      <c r="E269" s="1541"/>
      <c r="F269" s="1541"/>
      <c r="G269" s="666"/>
      <c r="H269" s="666"/>
      <c r="I269" s="634"/>
      <c r="J269" s="1541"/>
      <c r="K269" s="1541"/>
      <c r="L269" s="1541"/>
      <c r="M269" s="1541"/>
      <c r="N269" s="1541"/>
      <c r="O269" s="1541"/>
      <c r="P269" s="1541"/>
      <c r="AE269" s="1541"/>
      <c r="AF269" s="637"/>
      <c r="AG269" s="637"/>
      <c r="AH269" s="637"/>
      <c r="AI269" s="637"/>
      <c r="AJ269" s="637"/>
      <c r="AK269" s="637"/>
      <c r="AL269" s="1542"/>
      <c r="AN269" s="637"/>
      <c r="AO269" s="637"/>
      <c r="AP269" s="1541"/>
      <c r="AQ269" s="1541"/>
      <c r="AR269" s="1541"/>
      <c r="AS269" s="1541"/>
      <c r="AT269" s="1541"/>
      <c r="AU269" s="1541"/>
      <c r="AV269" s="1541"/>
      <c r="AW269" s="1541"/>
      <c r="AX269" s="1541"/>
    </row>
    <row r="270" spans="1:50" s="12" customFormat="1" ht="18" x14ac:dyDescent="0.2">
      <c r="A270" s="606"/>
      <c r="B270" s="666"/>
      <c r="C270" s="1541"/>
      <c r="D270" s="1541"/>
      <c r="E270" s="1541"/>
      <c r="F270" s="1541"/>
      <c r="G270" s="666"/>
      <c r="H270" s="666"/>
      <c r="I270" s="634"/>
      <c r="J270" s="1541"/>
      <c r="K270" s="1541"/>
      <c r="L270" s="1541"/>
      <c r="M270" s="1541"/>
      <c r="N270" s="1541"/>
      <c r="O270" s="1541"/>
      <c r="P270" s="1541"/>
      <c r="AE270" s="1541"/>
      <c r="AF270" s="637"/>
      <c r="AG270" s="637"/>
      <c r="AH270" s="637"/>
      <c r="AI270" s="637"/>
      <c r="AJ270" s="637"/>
      <c r="AK270" s="637"/>
      <c r="AL270" s="1542"/>
      <c r="AN270" s="637"/>
      <c r="AO270" s="637"/>
      <c r="AP270" s="1541"/>
      <c r="AQ270" s="1541"/>
      <c r="AR270" s="1541"/>
      <c r="AS270" s="1541"/>
      <c r="AT270" s="1541"/>
      <c r="AU270" s="1541"/>
      <c r="AV270" s="1541"/>
      <c r="AW270" s="1541"/>
      <c r="AX270" s="1541"/>
    </row>
    <row r="271" spans="1:50" s="12" customFormat="1" ht="18" x14ac:dyDescent="0.2">
      <c r="A271" s="606"/>
      <c r="B271" s="666"/>
      <c r="C271" s="1541"/>
      <c r="D271" s="1541"/>
      <c r="E271" s="1541"/>
      <c r="F271" s="1541"/>
      <c r="G271" s="666"/>
      <c r="H271" s="666"/>
      <c r="I271" s="634"/>
      <c r="J271" s="1541"/>
      <c r="K271" s="1541"/>
      <c r="L271" s="1541"/>
      <c r="M271" s="1541"/>
      <c r="N271" s="1541"/>
      <c r="O271" s="1541"/>
      <c r="P271" s="1541"/>
      <c r="AE271" s="1541"/>
      <c r="AF271" s="637"/>
      <c r="AG271" s="637"/>
      <c r="AH271" s="637"/>
      <c r="AI271" s="637"/>
      <c r="AJ271" s="637"/>
      <c r="AK271" s="637"/>
      <c r="AL271" s="1542"/>
      <c r="AN271" s="637"/>
      <c r="AO271" s="637"/>
      <c r="AP271" s="1541"/>
      <c r="AQ271" s="1541"/>
      <c r="AR271" s="1541"/>
      <c r="AS271" s="1541"/>
      <c r="AT271" s="1541"/>
      <c r="AU271" s="1541"/>
      <c r="AV271" s="1541"/>
      <c r="AW271" s="1541"/>
      <c r="AX271" s="1541"/>
    </row>
    <row r="272" spans="1:50" s="12" customFormat="1" ht="18" x14ac:dyDescent="0.2">
      <c r="A272" s="606"/>
      <c r="B272" s="666"/>
      <c r="C272" s="1541"/>
      <c r="D272" s="1541"/>
      <c r="E272" s="1541"/>
      <c r="F272" s="1541"/>
      <c r="G272" s="666"/>
      <c r="H272" s="666"/>
      <c r="I272" s="634"/>
      <c r="J272" s="1541"/>
      <c r="K272" s="1541"/>
      <c r="L272" s="1541"/>
      <c r="M272" s="1541"/>
      <c r="N272" s="1541"/>
      <c r="O272" s="1541"/>
      <c r="P272" s="1541"/>
      <c r="AE272" s="1541"/>
      <c r="AF272" s="637"/>
      <c r="AG272" s="637"/>
      <c r="AH272" s="637"/>
      <c r="AI272" s="637"/>
      <c r="AJ272" s="637"/>
      <c r="AK272" s="637"/>
      <c r="AL272" s="1542"/>
      <c r="AN272" s="637"/>
      <c r="AO272" s="637"/>
      <c r="AP272" s="1541"/>
      <c r="AQ272" s="1541"/>
      <c r="AR272" s="1541"/>
      <c r="AS272" s="1541"/>
      <c r="AT272" s="1541"/>
      <c r="AU272" s="1541"/>
      <c r="AV272" s="1541"/>
      <c r="AW272" s="1541"/>
      <c r="AX272" s="1541"/>
    </row>
    <row r="273" spans="1:50" s="12" customFormat="1" ht="18" x14ac:dyDescent="0.2">
      <c r="A273" s="606"/>
      <c r="B273" s="666"/>
      <c r="C273" s="1541"/>
      <c r="D273" s="1541"/>
      <c r="E273" s="1541"/>
      <c r="F273" s="1541"/>
      <c r="G273" s="666"/>
      <c r="H273" s="666"/>
      <c r="I273" s="634"/>
      <c r="J273" s="1541"/>
      <c r="K273" s="1541"/>
      <c r="L273" s="1541"/>
      <c r="M273" s="1541"/>
      <c r="N273" s="1541"/>
      <c r="O273" s="1541"/>
      <c r="P273" s="1541"/>
      <c r="AE273" s="1541"/>
      <c r="AF273" s="637"/>
      <c r="AG273" s="637"/>
      <c r="AH273" s="637"/>
      <c r="AI273" s="637"/>
      <c r="AJ273" s="637"/>
      <c r="AK273" s="637"/>
      <c r="AL273" s="1542"/>
      <c r="AN273" s="637"/>
      <c r="AO273" s="637"/>
      <c r="AP273" s="1541"/>
      <c r="AQ273" s="1541"/>
      <c r="AR273" s="1541"/>
      <c r="AS273" s="1541"/>
      <c r="AT273" s="1541"/>
      <c r="AU273" s="1541"/>
      <c r="AV273" s="1541"/>
      <c r="AW273" s="1541"/>
      <c r="AX273" s="1541"/>
    </row>
    <row r="274" spans="1:50" s="12" customFormat="1" ht="18" x14ac:dyDescent="0.2">
      <c r="A274" s="606"/>
      <c r="B274" s="666"/>
      <c r="C274" s="1541"/>
      <c r="D274" s="1541"/>
      <c r="E274" s="1541"/>
      <c r="F274" s="1541"/>
      <c r="G274" s="666"/>
      <c r="H274" s="666"/>
      <c r="I274" s="634"/>
      <c r="J274" s="1541"/>
      <c r="K274" s="1541"/>
      <c r="L274" s="1541"/>
      <c r="M274" s="1541"/>
      <c r="N274" s="1541"/>
      <c r="O274" s="1541"/>
      <c r="P274" s="1541"/>
      <c r="AE274" s="1541"/>
      <c r="AF274" s="637"/>
      <c r="AG274" s="637"/>
      <c r="AH274" s="637"/>
      <c r="AI274" s="637"/>
      <c r="AJ274" s="637"/>
      <c r="AK274" s="637"/>
      <c r="AL274" s="1542"/>
      <c r="AN274" s="637"/>
      <c r="AO274" s="637"/>
      <c r="AP274" s="1541"/>
      <c r="AQ274" s="1541"/>
      <c r="AR274" s="1541"/>
      <c r="AS274" s="1541"/>
      <c r="AT274" s="1541"/>
      <c r="AU274" s="1541"/>
      <c r="AV274" s="1541"/>
      <c r="AW274" s="1541"/>
      <c r="AX274" s="1541"/>
    </row>
    <row r="275" spans="1:50" s="12" customFormat="1" ht="18" x14ac:dyDescent="0.2">
      <c r="A275" s="606"/>
      <c r="B275" s="666"/>
      <c r="C275" s="1541"/>
      <c r="D275" s="1541"/>
      <c r="E275" s="1541"/>
      <c r="F275" s="1541"/>
      <c r="G275" s="666"/>
      <c r="H275" s="666"/>
      <c r="I275" s="634"/>
      <c r="J275" s="1541"/>
      <c r="K275" s="1541"/>
      <c r="L275" s="1541"/>
      <c r="M275" s="1541"/>
      <c r="N275" s="1541"/>
      <c r="O275" s="1541"/>
      <c r="P275" s="1541"/>
      <c r="AE275" s="1541"/>
      <c r="AF275" s="637"/>
      <c r="AG275" s="637"/>
      <c r="AH275" s="637"/>
      <c r="AI275" s="637"/>
      <c r="AJ275" s="637"/>
      <c r="AK275" s="637"/>
      <c r="AL275" s="1542"/>
      <c r="AN275" s="637"/>
      <c r="AO275" s="637"/>
      <c r="AP275" s="1541"/>
      <c r="AQ275" s="1541"/>
      <c r="AR275" s="1541"/>
      <c r="AS275" s="1541"/>
      <c r="AT275" s="1541"/>
      <c r="AU275" s="1541"/>
      <c r="AV275" s="1541"/>
      <c r="AW275" s="1541"/>
      <c r="AX275" s="1541"/>
    </row>
    <row r="276" spans="1:50" s="12" customFormat="1" ht="18" x14ac:dyDescent="0.2">
      <c r="A276" s="606"/>
      <c r="B276" s="666"/>
      <c r="C276" s="1541"/>
      <c r="D276" s="1541"/>
      <c r="E276" s="1541"/>
      <c r="F276" s="1541"/>
      <c r="G276" s="666"/>
      <c r="H276" s="666"/>
      <c r="I276" s="634"/>
      <c r="J276" s="1541"/>
      <c r="K276" s="1541"/>
      <c r="L276" s="1541"/>
      <c r="M276" s="1541"/>
      <c r="N276" s="1541"/>
      <c r="O276" s="1541"/>
      <c r="P276" s="1541"/>
      <c r="AE276" s="1541"/>
      <c r="AF276" s="637"/>
      <c r="AG276" s="637"/>
      <c r="AH276" s="637"/>
      <c r="AI276" s="637"/>
      <c r="AJ276" s="637"/>
      <c r="AK276" s="637"/>
      <c r="AL276" s="1542"/>
      <c r="AN276" s="637"/>
      <c r="AO276" s="637"/>
      <c r="AP276" s="1541"/>
      <c r="AQ276" s="1541"/>
      <c r="AR276" s="1541"/>
      <c r="AS276" s="1541"/>
      <c r="AT276" s="1541"/>
      <c r="AU276" s="1541"/>
      <c r="AV276" s="1541"/>
      <c r="AW276" s="1541"/>
      <c r="AX276" s="1541"/>
    </row>
    <row r="277" spans="1:50" s="12" customFormat="1" ht="18" x14ac:dyDescent="0.2">
      <c r="A277" s="606"/>
      <c r="B277" s="666"/>
      <c r="C277" s="1541"/>
      <c r="D277" s="1541"/>
      <c r="E277" s="1541"/>
      <c r="F277" s="1541"/>
      <c r="G277" s="666"/>
      <c r="H277" s="666"/>
      <c r="I277" s="634"/>
      <c r="J277" s="1541"/>
      <c r="K277" s="1541"/>
      <c r="L277" s="1541"/>
      <c r="M277" s="1541"/>
      <c r="N277" s="1541"/>
      <c r="O277" s="1541"/>
      <c r="P277" s="1541"/>
      <c r="AE277" s="1541"/>
      <c r="AF277" s="637"/>
      <c r="AG277" s="637"/>
      <c r="AH277" s="637"/>
      <c r="AI277" s="637"/>
      <c r="AJ277" s="637"/>
      <c r="AK277" s="637"/>
      <c r="AL277" s="1542"/>
      <c r="AN277" s="637"/>
      <c r="AO277" s="637"/>
      <c r="AP277" s="1541"/>
      <c r="AQ277" s="1541"/>
      <c r="AR277" s="1541"/>
      <c r="AS277" s="1541"/>
      <c r="AT277" s="1541"/>
      <c r="AU277" s="1541"/>
      <c r="AV277" s="1541"/>
      <c r="AW277" s="1541"/>
      <c r="AX277" s="1541"/>
    </row>
    <row r="278" spans="1:50" s="12" customFormat="1" ht="18" x14ac:dyDescent="0.2">
      <c r="A278" s="606"/>
      <c r="B278" s="666"/>
      <c r="C278" s="1541"/>
      <c r="D278" s="1541"/>
      <c r="E278" s="1541"/>
      <c r="F278" s="1541"/>
      <c r="G278" s="666"/>
      <c r="H278" s="666"/>
      <c r="I278" s="634"/>
      <c r="J278" s="1541"/>
      <c r="K278" s="1541"/>
      <c r="L278" s="1541"/>
      <c r="M278" s="1541"/>
      <c r="N278" s="1541"/>
      <c r="O278" s="1541"/>
      <c r="P278" s="1541"/>
      <c r="AE278" s="1541"/>
      <c r="AF278" s="637"/>
      <c r="AG278" s="637"/>
      <c r="AH278" s="637"/>
      <c r="AI278" s="637"/>
      <c r="AJ278" s="637"/>
      <c r="AK278" s="637"/>
      <c r="AL278" s="1542"/>
      <c r="AN278" s="637"/>
      <c r="AO278" s="637"/>
      <c r="AP278" s="1541"/>
      <c r="AQ278" s="1541"/>
      <c r="AR278" s="1541"/>
      <c r="AS278" s="1541"/>
      <c r="AT278" s="1541"/>
      <c r="AU278" s="1541"/>
      <c r="AV278" s="1541"/>
      <c r="AW278" s="1541"/>
      <c r="AX278" s="1541"/>
    </row>
    <row r="279" spans="1:50" s="12" customFormat="1" ht="18" x14ac:dyDescent="0.2">
      <c r="A279" s="606"/>
      <c r="B279" s="666"/>
      <c r="C279" s="1541"/>
      <c r="D279" s="1541"/>
      <c r="E279" s="1541"/>
      <c r="F279" s="1541"/>
      <c r="G279" s="666"/>
      <c r="H279" s="666"/>
      <c r="I279" s="634"/>
      <c r="J279" s="1541"/>
      <c r="K279" s="1541"/>
      <c r="L279" s="1541"/>
      <c r="M279" s="1541"/>
      <c r="N279" s="1541"/>
      <c r="O279" s="1541"/>
      <c r="P279" s="1541"/>
      <c r="AE279" s="1541"/>
      <c r="AF279" s="637"/>
      <c r="AG279" s="637"/>
      <c r="AH279" s="637"/>
      <c r="AI279" s="637"/>
      <c r="AJ279" s="637"/>
      <c r="AK279" s="637"/>
      <c r="AL279" s="1542"/>
      <c r="AN279" s="637"/>
      <c r="AO279" s="637"/>
      <c r="AP279" s="1541"/>
      <c r="AQ279" s="1541"/>
      <c r="AR279" s="1541"/>
      <c r="AS279" s="1541"/>
      <c r="AT279" s="1541"/>
      <c r="AU279" s="1541"/>
      <c r="AV279" s="1541"/>
      <c r="AW279" s="1541"/>
      <c r="AX279" s="1541"/>
    </row>
    <row r="280" spans="1:50" s="12" customFormat="1" ht="18" x14ac:dyDescent="0.2">
      <c r="A280" s="606"/>
      <c r="B280" s="666"/>
      <c r="C280" s="1541"/>
      <c r="D280" s="1541"/>
      <c r="E280" s="1541"/>
      <c r="F280" s="1541"/>
      <c r="G280" s="666"/>
      <c r="H280" s="666"/>
      <c r="I280" s="634"/>
      <c r="J280" s="1541"/>
      <c r="K280" s="1541"/>
      <c r="L280" s="1541"/>
      <c r="M280" s="1541"/>
      <c r="N280" s="1541"/>
      <c r="O280" s="1541"/>
      <c r="P280" s="1541"/>
      <c r="AE280" s="1541"/>
      <c r="AF280" s="637"/>
      <c r="AG280" s="637"/>
      <c r="AH280" s="637"/>
      <c r="AI280" s="637"/>
      <c r="AJ280" s="637"/>
      <c r="AK280" s="637"/>
      <c r="AL280" s="1542"/>
      <c r="AN280" s="637"/>
      <c r="AO280" s="637"/>
      <c r="AP280" s="1541"/>
      <c r="AQ280" s="1541"/>
      <c r="AR280" s="1541"/>
      <c r="AS280" s="1541"/>
      <c r="AT280" s="1541"/>
      <c r="AU280" s="1541"/>
      <c r="AV280" s="1541"/>
      <c r="AW280" s="1541"/>
      <c r="AX280" s="1541"/>
    </row>
    <row r="281" spans="1:50" s="12" customFormat="1" ht="18" x14ac:dyDescent="0.2">
      <c r="A281" s="606"/>
      <c r="B281" s="666"/>
      <c r="C281" s="1541"/>
      <c r="D281" s="1541"/>
      <c r="E281" s="1541"/>
      <c r="F281" s="1541"/>
      <c r="G281" s="666"/>
      <c r="H281" s="666"/>
      <c r="I281" s="634"/>
      <c r="J281" s="1541"/>
      <c r="K281" s="1541"/>
      <c r="L281" s="1541"/>
      <c r="M281" s="1541"/>
      <c r="N281" s="1541"/>
      <c r="O281" s="1541"/>
      <c r="P281" s="1541"/>
      <c r="AE281" s="1541"/>
      <c r="AF281" s="637"/>
      <c r="AG281" s="637"/>
      <c r="AH281" s="637"/>
      <c r="AI281" s="637"/>
      <c r="AJ281" s="637"/>
      <c r="AK281" s="637"/>
      <c r="AL281" s="1542"/>
      <c r="AN281" s="637"/>
      <c r="AO281" s="637"/>
      <c r="AP281" s="1541"/>
      <c r="AQ281" s="1541"/>
      <c r="AR281" s="1541"/>
      <c r="AS281" s="1541"/>
      <c r="AT281" s="1541"/>
      <c r="AU281" s="1541"/>
      <c r="AV281" s="1541"/>
      <c r="AW281" s="1541"/>
      <c r="AX281" s="1541"/>
    </row>
    <row r="282" spans="1:50" s="12" customFormat="1" ht="18" x14ac:dyDescent="0.2">
      <c r="A282" s="606"/>
      <c r="B282" s="666"/>
      <c r="C282" s="1541"/>
      <c r="D282" s="1541"/>
      <c r="E282" s="1541"/>
      <c r="F282" s="1541"/>
      <c r="G282" s="666"/>
      <c r="H282" s="666"/>
      <c r="I282" s="634"/>
      <c r="J282" s="1541"/>
      <c r="K282" s="1541"/>
      <c r="L282" s="1541"/>
      <c r="M282" s="1541"/>
      <c r="N282" s="1541"/>
      <c r="O282" s="1541"/>
      <c r="P282" s="1541"/>
      <c r="AE282" s="1541"/>
      <c r="AF282" s="637"/>
      <c r="AG282" s="637"/>
      <c r="AH282" s="637"/>
      <c r="AI282" s="637"/>
      <c r="AJ282" s="637"/>
      <c r="AK282" s="637"/>
      <c r="AL282" s="1542"/>
      <c r="AN282" s="637"/>
      <c r="AO282" s="637"/>
      <c r="AP282" s="1541"/>
      <c r="AQ282" s="1541"/>
      <c r="AR282" s="1541"/>
      <c r="AS282" s="1541"/>
      <c r="AT282" s="1541"/>
      <c r="AU282" s="1541"/>
      <c r="AV282" s="1541"/>
      <c r="AW282" s="1541"/>
      <c r="AX282" s="1541"/>
    </row>
    <row r="283" spans="1:50" s="12" customFormat="1" ht="18" x14ac:dyDescent="0.2">
      <c r="A283" s="606"/>
      <c r="B283" s="666"/>
      <c r="C283" s="1541"/>
      <c r="D283" s="1541"/>
      <c r="E283" s="1541"/>
      <c r="F283" s="1541"/>
      <c r="G283" s="666"/>
      <c r="H283" s="666"/>
      <c r="I283" s="634"/>
      <c r="J283" s="1541"/>
      <c r="K283" s="1541"/>
      <c r="L283" s="1541"/>
      <c r="M283" s="1541"/>
      <c r="N283" s="1541"/>
      <c r="O283" s="1541"/>
      <c r="P283" s="1541"/>
      <c r="AE283" s="1541"/>
      <c r="AF283" s="637"/>
      <c r="AG283" s="637"/>
      <c r="AH283" s="637"/>
      <c r="AI283" s="637"/>
      <c r="AJ283" s="637"/>
      <c r="AK283" s="637"/>
      <c r="AL283" s="1542"/>
      <c r="AN283" s="637"/>
      <c r="AO283" s="637"/>
      <c r="AP283" s="1541"/>
      <c r="AQ283" s="1541"/>
      <c r="AR283" s="1541"/>
      <c r="AS283" s="1541"/>
      <c r="AT283" s="1541"/>
      <c r="AU283" s="1541"/>
      <c r="AV283" s="1541"/>
      <c r="AW283" s="1541"/>
      <c r="AX283" s="1541"/>
    </row>
    <row r="284" spans="1:50" s="12" customFormat="1" ht="18" x14ac:dyDescent="0.2">
      <c r="A284" s="606"/>
      <c r="B284" s="666"/>
      <c r="C284" s="1541"/>
      <c r="D284" s="1541"/>
      <c r="E284" s="1541"/>
      <c r="F284" s="1541"/>
      <c r="G284" s="666"/>
      <c r="H284" s="666"/>
      <c r="I284" s="634"/>
      <c r="J284" s="1541"/>
      <c r="K284" s="1541"/>
      <c r="L284" s="1541"/>
      <c r="M284" s="1541"/>
      <c r="N284" s="1541"/>
      <c r="O284" s="1541"/>
      <c r="P284" s="1541"/>
      <c r="AE284" s="1541"/>
      <c r="AF284" s="637"/>
      <c r="AG284" s="637"/>
      <c r="AH284" s="637"/>
      <c r="AI284" s="637"/>
      <c r="AJ284" s="637"/>
      <c r="AK284" s="637"/>
      <c r="AL284" s="1542"/>
      <c r="AN284" s="637"/>
      <c r="AO284" s="637"/>
      <c r="AP284" s="1541"/>
      <c r="AQ284" s="1541"/>
      <c r="AR284" s="1541"/>
      <c r="AS284" s="1541"/>
      <c r="AT284" s="1541"/>
      <c r="AU284" s="1541"/>
      <c r="AV284" s="1541"/>
      <c r="AW284" s="1541"/>
      <c r="AX284" s="1541"/>
    </row>
    <row r="285" spans="1:50" s="12" customFormat="1" ht="18" x14ac:dyDescent="0.2">
      <c r="A285" s="606"/>
      <c r="B285" s="666"/>
      <c r="C285" s="1541"/>
      <c r="D285" s="1541"/>
      <c r="E285" s="1541"/>
      <c r="F285" s="1541"/>
      <c r="G285" s="666"/>
      <c r="H285" s="666"/>
      <c r="I285" s="634"/>
      <c r="J285" s="1541"/>
      <c r="K285" s="1541"/>
      <c r="L285" s="1541"/>
      <c r="M285" s="1541"/>
      <c r="N285" s="1541"/>
      <c r="O285" s="1541"/>
      <c r="P285" s="1541"/>
      <c r="AE285" s="1541"/>
      <c r="AF285" s="637"/>
      <c r="AG285" s="637"/>
      <c r="AH285" s="637"/>
      <c r="AI285" s="637"/>
      <c r="AJ285" s="637"/>
      <c r="AK285" s="637"/>
      <c r="AL285" s="1542"/>
      <c r="AN285" s="637"/>
      <c r="AO285" s="637"/>
      <c r="AP285" s="1541"/>
      <c r="AQ285" s="1541"/>
      <c r="AR285" s="1541"/>
      <c r="AS285" s="1541"/>
      <c r="AT285" s="1541"/>
      <c r="AU285" s="1541"/>
      <c r="AV285" s="1541"/>
      <c r="AW285" s="1541"/>
      <c r="AX285" s="1541"/>
    </row>
    <row r="286" spans="1:50" s="12" customFormat="1" ht="18" x14ac:dyDescent="0.2">
      <c r="A286" s="606"/>
      <c r="B286" s="666"/>
      <c r="C286" s="1541"/>
      <c r="D286" s="1541"/>
      <c r="E286" s="1541"/>
      <c r="F286" s="1541"/>
      <c r="G286" s="666"/>
      <c r="H286" s="666"/>
      <c r="I286" s="634"/>
      <c r="J286" s="1541"/>
      <c r="K286" s="1541"/>
      <c r="L286" s="1541"/>
      <c r="M286" s="1541"/>
      <c r="N286" s="1541"/>
      <c r="O286" s="1541"/>
      <c r="P286" s="1541"/>
      <c r="AE286" s="1541"/>
      <c r="AF286" s="637"/>
      <c r="AG286" s="637"/>
      <c r="AH286" s="637"/>
      <c r="AI286" s="637"/>
      <c r="AJ286" s="637"/>
      <c r="AK286" s="637"/>
      <c r="AL286" s="1542"/>
      <c r="AN286" s="637"/>
      <c r="AO286" s="637"/>
      <c r="AP286" s="1541"/>
      <c r="AQ286" s="1541"/>
      <c r="AR286" s="1541"/>
      <c r="AS286" s="1541"/>
      <c r="AT286" s="1541"/>
      <c r="AU286" s="1541"/>
      <c r="AV286" s="1541"/>
      <c r="AW286" s="1541"/>
      <c r="AX286" s="1541"/>
    </row>
    <row r="287" spans="1:50" s="12" customFormat="1" ht="18" x14ac:dyDescent="0.2">
      <c r="A287" s="606"/>
      <c r="B287" s="666"/>
      <c r="C287" s="1541"/>
      <c r="D287" s="1541"/>
      <c r="E287" s="1541"/>
      <c r="F287" s="1541"/>
      <c r="G287" s="666"/>
      <c r="H287" s="666"/>
      <c r="I287" s="634"/>
      <c r="J287" s="1541"/>
      <c r="K287" s="1541"/>
      <c r="L287" s="1541"/>
      <c r="M287" s="1541"/>
      <c r="N287" s="1541"/>
      <c r="O287" s="1541"/>
      <c r="P287" s="1541"/>
      <c r="AE287" s="1541"/>
      <c r="AF287" s="637"/>
      <c r="AG287" s="637"/>
      <c r="AH287" s="637"/>
      <c r="AI287" s="637"/>
      <c r="AJ287" s="637"/>
      <c r="AK287" s="637"/>
      <c r="AL287" s="1542"/>
      <c r="AN287" s="637"/>
      <c r="AO287" s="637"/>
      <c r="AP287" s="1541"/>
      <c r="AQ287" s="1541"/>
      <c r="AR287" s="1541"/>
      <c r="AS287" s="1541"/>
      <c r="AT287" s="1541"/>
      <c r="AU287" s="1541"/>
      <c r="AV287" s="1541"/>
      <c r="AW287" s="1541"/>
      <c r="AX287" s="1541"/>
    </row>
    <row r="288" spans="1:50" s="12" customFormat="1" ht="18" x14ac:dyDescent="0.2">
      <c r="A288" s="606"/>
      <c r="B288" s="666"/>
      <c r="C288" s="1541"/>
      <c r="D288" s="1541"/>
      <c r="E288" s="1541"/>
      <c r="F288" s="1541"/>
      <c r="G288" s="666"/>
      <c r="H288" s="666"/>
      <c r="I288" s="634"/>
      <c r="J288" s="1541"/>
      <c r="K288" s="1541"/>
      <c r="L288" s="1541"/>
      <c r="M288" s="1541"/>
      <c r="N288" s="1541"/>
      <c r="O288" s="1541"/>
      <c r="P288" s="1541"/>
      <c r="AE288" s="1541"/>
      <c r="AF288" s="637"/>
      <c r="AG288" s="637"/>
      <c r="AH288" s="637"/>
      <c r="AI288" s="637"/>
      <c r="AJ288" s="637"/>
      <c r="AK288" s="637"/>
      <c r="AL288" s="1542"/>
      <c r="AN288" s="637"/>
      <c r="AO288" s="637"/>
      <c r="AP288" s="1541"/>
      <c r="AQ288" s="1541"/>
      <c r="AR288" s="1541"/>
      <c r="AS288" s="1541"/>
      <c r="AT288" s="1541"/>
      <c r="AU288" s="1541"/>
      <c r="AV288" s="1541"/>
      <c r="AW288" s="1541"/>
      <c r="AX288" s="1541"/>
    </row>
    <row r="289" spans="1:50" s="12" customFormat="1" ht="18" x14ac:dyDescent="0.2">
      <c r="A289" s="606"/>
      <c r="B289" s="666"/>
      <c r="C289" s="1541"/>
      <c r="D289" s="1541"/>
      <c r="E289" s="1541"/>
      <c r="F289" s="1541"/>
      <c r="G289" s="666"/>
      <c r="H289" s="666"/>
      <c r="I289" s="634"/>
      <c r="J289" s="1541"/>
      <c r="K289" s="1541"/>
      <c r="L289" s="1541"/>
      <c r="M289" s="1541"/>
      <c r="N289" s="1541"/>
      <c r="O289" s="1541"/>
      <c r="P289" s="1541"/>
      <c r="AE289" s="1541"/>
      <c r="AF289" s="637"/>
      <c r="AG289" s="637"/>
      <c r="AH289" s="637"/>
      <c r="AI289" s="637"/>
      <c r="AJ289" s="637"/>
      <c r="AK289" s="637"/>
      <c r="AL289" s="1542"/>
      <c r="AN289" s="637"/>
      <c r="AO289" s="637"/>
      <c r="AP289" s="1541"/>
      <c r="AQ289" s="1541"/>
      <c r="AR289" s="1541"/>
      <c r="AS289" s="1541"/>
      <c r="AT289" s="1541"/>
      <c r="AU289" s="1541"/>
      <c r="AV289" s="1541"/>
      <c r="AW289" s="1541"/>
      <c r="AX289" s="1541"/>
    </row>
    <row r="290" spans="1:50" s="12" customFormat="1" ht="18" x14ac:dyDescent="0.2">
      <c r="A290" s="606"/>
      <c r="B290" s="666"/>
      <c r="C290" s="1541"/>
      <c r="D290" s="1541"/>
      <c r="E290" s="1541"/>
      <c r="F290" s="1541"/>
      <c r="G290" s="666"/>
      <c r="H290" s="666"/>
      <c r="I290" s="634"/>
      <c r="J290" s="1541"/>
      <c r="K290" s="1541"/>
      <c r="L290" s="1541"/>
      <c r="M290" s="1541"/>
      <c r="N290" s="1541"/>
      <c r="O290" s="1541"/>
      <c r="P290" s="1541"/>
      <c r="AE290" s="1541"/>
      <c r="AF290" s="637"/>
      <c r="AG290" s="637"/>
      <c r="AH290" s="637"/>
      <c r="AI290" s="637"/>
      <c r="AJ290" s="637"/>
      <c r="AK290" s="637"/>
      <c r="AL290" s="1542"/>
      <c r="AN290" s="637"/>
      <c r="AO290" s="637"/>
      <c r="AP290" s="1541"/>
      <c r="AQ290" s="1541"/>
      <c r="AR290" s="1541"/>
      <c r="AS290" s="1541"/>
      <c r="AT290" s="1541"/>
      <c r="AU290" s="1541"/>
      <c r="AV290" s="1541"/>
      <c r="AW290" s="1541"/>
      <c r="AX290" s="1541"/>
    </row>
    <row r="291" spans="1:50" s="12" customFormat="1" ht="18" x14ac:dyDescent="0.2">
      <c r="A291" s="606"/>
      <c r="B291" s="666"/>
      <c r="C291" s="1541"/>
      <c r="D291" s="1541"/>
      <c r="E291" s="1541"/>
      <c r="F291" s="1541"/>
      <c r="G291" s="666"/>
      <c r="H291" s="666"/>
      <c r="I291" s="634"/>
      <c r="J291" s="1541"/>
      <c r="K291" s="1541"/>
      <c r="L291" s="1541"/>
      <c r="M291" s="1541"/>
      <c r="N291" s="1541"/>
      <c r="O291" s="1541"/>
      <c r="P291" s="1541"/>
      <c r="AE291" s="1541"/>
      <c r="AF291" s="637"/>
      <c r="AG291" s="637"/>
      <c r="AH291" s="637"/>
      <c r="AI291" s="637"/>
      <c r="AJ291" s="637"/>
      <c r="AK291" s="637"/>
      <c r="AL291" s="1542"/>
      <c r="AN291" s="637"/>
      <c r="AO291" s="637"/>
      <c r="AP291" s="1541"/>
      <c r="AQ291" s="1541"/>
      <c r="AR291" s="1541"/>
      <c r="AS291" s="1541"/>
      <c r="AT291" s="1541"/>
      <c r="AU291" s="1541"/>
      <c r="AV291" s="1541"/>
      <c r="AW291" s="1541"/>
      <c r="AX291" s="1541"/>
    </row>
    <row r="292" spans="1:50" s="12" customFormat="1" ht="18" x14ac:dyDescent="0.2">
      <c r="A292" s="606"/>
      <c r="B292" s="666"/>
      <c r="C292" s="1541"/>
      <c r="D292" s="1541"/>
      <c r="E292" s="1541"/>
      <c r="F292" s="1541"/>
      <c r="G292" s="666"/>
      <c r="H292" s="666"/>
      <c r="I292" s="634"/>
      <c r="J292" s="1541"/>
      <c r="K292" s="1541"/>
      <c r="L292" s="1541"/>
      <c r="M292" s="1541"/>
      <c r="N292" s="1541"/>
      <c r="O292" s="1541"/>
      <c r="P292" s="1541"/>
      <c r="AE292" s="1541"/>
      <c r="AF292" s="637"/>
      <c r="AG292" s="637"/>
      <c r="AH292" s="637"/>
      <c r="AI292" s="637"/>
      <c r="AJ292" s="637"/>
      <c r="AK292" s="637"/>
      <c r="AL292" s="1542"/>
      <c r="AN292" s="637"/>
      <c r="AO292" s="637"/>
      <c r="AP292" s="1541"/>
      <c r="AQ292" s="1541"/>
      <c r="AR292" s="1541"/>
      <c r="AS292" s="1541"/>
      <c r="AT292" s="1541"/>
      <c r="AU292" s="1541"/>
      <c r="AV292" s="1541"/>
      <c r="AW292" s="1541"/>
      <c r="AX292" s="1541"/>
    </row>
    <row r="293" spans="1:50" s="12" customFormat="1" ht="18" x14ac:dyDescent="0.2">
      <c r="A293" s="606"/>
      <c r="B293" s="666"/>
      <c r="C293" s="1541"/>
      <c r="D293" s="1541"/>
      <c r="E293" s="1541"/>
      <c r="F293" s="1541"/>
      <c r="G293" s="666"/>
      <c r="H293" s="666"/>
      <c r="I293" s="634"/>
      <c r="J293" s="1541"/>
      <c r="K293" s="1541"/>
      <c r="L293" s="1541"/>
      <c r="M293" s="1541"/>
      <c r="N293" s="1541"/>
      <c r="O293" s="1541"/>
      <c r="P293" s="1541"/>
      <c r="AE293" s="1541"/>
      <c r="AF293" s="637"/>
      <c r="AG293" s="637"/>
      <c r="AH293" s="637"/>
      <c r="AI293" s="637"/>
      <c r="AJ293" s="637"/>
      <c r="AK293" s="637"/>
      <c r="AL293" s="1542"/>
      <c r="AN293" s="637"/>
      <c r="AO293" s="637"/>
      <c r="AP293" s="1541"/>
      <c r="AQ293" s="1541"/>
      <c r="AR293" s="1541"/>
      <c r="AS293" s="1541"/>
      <c r="AT293" s="1541"/>
      <c r="AU293" s="1541"/>
      <c r="AV293" s="1541"/>
      <c r="AW293" s="1541"/>
      <c r="AX293" s="1541"/>
    </row>
    <row r="294" spans="1:50" s="12" customFormat="1" ht="18" x14ac:dyDescent="0.2">
      <c r="A294" s="606"/>
      <c r="B294" s="666"/>
      <c r="C294" s="1541"/>
      <c r="D294" s="1541"/>
      <c r="E294" s="1541"/>
      <c r="F294" s="1541"/>
      <c r="G294" s="666"/>
      <c r="H294" s="666"/>
      <c r="I294" s="634"/>
      <c r="J294" s="1541"/>
      <c r="K294" s="1541"/>
      <c r="L294" s="1541"/>
      <c r="M294" s="1541"/>
      <c r="N294" s="1541"/>
      <c r="O294" s="1541"/>
      <c r="P294" s="1541"/>
      <c r="AE294" s="1541"/>
      <c r="AF294" s="637"/>
      <c r="AG294" s="637"/>
      <c r="AH294" s="637"/>
      <c r="AI294" s="637"/>
      <c r="AJ294" s="637"/>
      <c r="AK294" s="637"/>
      <c r="AL294" s="1542"/>
      <c r="AN294" s="637"/>
      <c r="AO294" s="637"/>
      <c r="AP294" s="1541"/>
      <c r="AQ294" s="1541"/>
      <c r="AR294" s="1541"/>
      <c r="AS294" s="1541"/>
      <c r="AT294" s="1541"/>
      <c r="AU294" s="1541"/>
      <c r="AV294" s="1541"/>
      <c r="AW294" s="1541"/>
      <c r="AX294" s="1541"/>
    </row>
    <row r="295" spans="1:50" s="12" customFormat="1" ht="18" x14ac:dyDescent="0.2">
      <c r="A295" s="606"/>
      <c r="B295" s="666"/>
      <c r="C295" s="1541"/>
      <c r="D295" s="1541"/>
      <c r="E295" s="1541"/>
      <c r="F295" s="1541"/>
      <c r="G295" s="666"/>
      <c r="H295" s="666"/>
      <c r="I295" s="634"/>
      <c r="J295" s="1541"/>
      <c r="K295" s="1541"/>
      <c r="L295" s="1541"/>
      <c r="M295" s="1541"/>
      <c r="N295" s="1541"/>
      <c r="O295" s="1541"/>
      <c r="P295" s="1541"/>
      <c r="AE295" s="1541"/>
      <c r="AF295" s="637"/>
      <c r="AG295" s="637"/>
      <c r="AH295" s="637"/>
      <c r="AI295" s="637"/>
      <c r="AJ295" s="637"/>
      <c r="AK295" s="637"/>
      <c r="AL295" s="1542"/>
      <c r="AN295" s="637"/>
      <c r="AO295" s="637"/>
      <c r="AP295" s="1541"/>
      <c r="AQ295" s="1541"/>
      <c r="AR295" s="1541"/>
      <c r="AS295" s="1541"/>
      <c r="AT295" s="1541"/>
      <c r="AU295" s="1541"/>
      <c r="AV295" s="1541"/>
      <c r="AW295" s="1541"/>
      <c r="AX295" s="1541"/>
    </row>
    <row r="296" spans="1:50" s="12" customFormat="1" ht="18" x14ac:dyDescent="0.2">
      <c r="A296" s="606"/>
      <c r="B296" s="666"/>
      <c r="C296" s="1541"/>
      <c r="D296" s="1541"/>
      <c r="E296" s="1541"/>
      <c r="F296" s="1541"/>
      <c r="G296" s="666"/>
      <c r="H296" s="666"/>
      <c r="I296" s="634"/>
      <c r="J296" s="1541"/>
      <c r="K296" s="1541"/>
      <c r="L296" s="1541"/>
      <c r="M296" s="1541"/>
      <c r="N296" s="1541"/>
      <c r="O296" s="1541"/>
      <c r="P296" s="1541"/>
      <c r="AE296" s="1541"/>
      <c r="AF296" s="637"/>
      <c r="AG296" s="637"/>
      <c r="AH296" s="637"/>
      <c r="AI296" s="637"/>
      <c r="AJ296" s="637"/>
      <c r="AK296" s="637"/>
      <c r="AL296" s="1542"/>
      <c r="AN296" s="637"/>
      <c r="AO296" s="637"/>
      <c r="AP296" s="1541"/>
      <c r="AQ296" s="1541"/>
      <c r="AR296" s="1541"/>
      <c r="AS296" s="1541"/>
      <c r="AT296" s="1541"/>
      <c r="AU296" s="1541"/>
      <c r="AV296" s="1541"/>
      <c r="AW296" s="1541"/>
      <c r="AX296" s="1541"/>
    </row>
    <row r="297" spans="1:50" s="12" customFormat="1" ht="18" x14ac:dyDescent="0.2">
      <c r="A297" s="606"/>
      <c r="B297" s="666"/>
      <c r="C297" s="1541"/>
      <c r="D297" s="1541"/>
      <c r="E297" s="1541"/>
      <c r="F297" s="1541"/>
      <c r="G297" s="666"/>
      <c r="H297" s="666"/>
      <c r="I297" s="634"/>
      <c r="J297" s="1541"/>
      <c r="K297" s="1541"/>
      <c r="L297" s="1541"/>
      <c r="M297" s="1541"/>
      <c r="N297" s="1541"/>
      <c r="O297" s="1541"/>
      <c r="P297" s="1541"/>
      <c r="AE297" s="1541"/>
      <c r="AF297" s="637"/>
      <c r="AG297" s="637"/>
      <c r="AH297" s="637"/>
      <c r="AI297" s="637"/>
      <c r="AJ297" s="637"/>
      <c r="AK297" s="637"/>
      <c r="AL297" s="1542"/>
      <c r="AN297" s="637"/>
      <c r="AO297" s="637"/>
      <c r="AP297" s="1541"/>
      <c r="AQ297" s="1541"/>
      <c r="AR297" s="1541"/>
      <c r="AS297" s="1541"/>
      <c r="AT297" s="1541"/>
      <c r="AU297" s="1541"/>
      <c r="AV297" s="1541"/>
      <c r="AW297" s="1541"/>
      <c r="AX297" s="1541"/>
    </row>
    <row r="298" spans="1:50" s="12" customFormat="1" ht="18" x14ac:dyDescent="0.2">
      <c r="A298" s="606"/>
      <c r="B298" s="666"/>
      <c r="C298" s="1541"/>
      <c r="D298" s="1541"/>
      <c r="E298" s="1541"/>
      <c r="F298" s="1541"/>
      <c r="G298" s="666"/>
      <c r="H298" s="666"/>
      <c r="I298" s="634"/>
      <c r="J298" s="1541"/>
      <c r="K298" s="1541"/>
      <c r="L298" s="1541"/>
      <c r="M298" s="1541"/>
      <c r="N298" s="1541"/>
      <c r="O298" s="1541"/>
      <c r="P298" s="1541"/>
      <c r="AE298" s="1541"/>
      <c r="AF298" s="637"/>
      <c r="AG298" s="637"/>
      <c r="AH298" s="637"/>
      <c r="AI298" s="637"/>
      <c r="AJ298" s="637"/>
      <c r="AK298" s="637"/>
      <c r="AL298" s="1542"/>
      <c r="AN298" s="637"/>
      <c r="AO298" s="637"/>
      <c r="AP298" s="1541"/>
      <c r="AQ298" s="1541"/>
      <c r="AR298" s="1541"/>
      <c r="AS298" s="1541"/>
      <c r="AT298" s="1541"/>
      <c r="AU298" s="1541"/>
      <c r="AV298" s="1541"/>
      <c r="AW298" s="1541"/>
      <c r="AX298" s="1541"/>
    </row>
    <row r="299" spans="1:50" s="12" customFormat="1" ht="18" x14ac:dyDescent="0.2">
      <c r="A299" s="606"/>
      <c r="B299" s="666"/>
      <c r="C299" s="1541"/>
      <c r="D299" s="1541"/>
      <c r="E299" s="1541"/>
      <c r="F299" s="1541"/>
      <c r="G299" s="666"/>
      <c r="H299" s="666"/>
      <c r="I299" s="634"/>
      <c r="J299" s="1541"/>
      <c r="K299" s="1541"/>
      <c r="L299" s="1541"/>
      <c r="M299" s="1541"/>
      <c r="N299" s="1541"/>
      <c r="O299" s="1541"/>
      <c r="P299" s="1541"/>
      <c r="AE299" s="1541"/>
      <c r="AF299" s="637"/>
      <c r="AG299" s="637"/>
      <c r="AH299" s="637"/>
      <c r="AI299" s="637"/>
      <c r="AJ299" s="637"/>
      <c r="AK299" s="637"/>
      <c r="AL299" s="1542"/>
      <c r="AN299" s="637"/>
      <c r="AO299" s="637"/>
      <c r="AP299" s="1541"/>
      <c r="AQ299" s="1541"/>
      <c r="AR299" s="1541"/>
      <c r="AS299" s="1541"/>
      <c r="AT299" s="1541"/>
      <c r="AU299" s="1541"/>
      <c r="AV299" s="1541"/>
      <c r="AW299" s="1541"/>
      <c r="AX299" s="1541"/>
    </row>
    <row r="300" spans="1:50" s="12" customFormat="1" ht="18" x14ac:dyDescent="0.2">
      <c r="A300" s="606"/>
      <c r="B300" s="666"/>
      <c r="C300" s="1541"/>
      <c r="D300" s="1541"/>
      <c r="E300" s="1541"/>
      <c r="F300" s="1541"/>
      <c r="G300" s="666"/>
      <c r="H300" s="666"/>
      <c r="I300" s="634"/>
      <c r="J300" s="1541"/>
      <c r="K300" s="1541"/>
      <c r="L300" s="1541"/>
      <c r="M300" s="1541"/>
      <c r="N300" s="1541"/>
      <c r="O300" s="1541"/>
      <c r="P300" s="1541"/>
      <c r="AE300" s="1541"/>
      <c r="AF300" s="637"/>
      <c r="AG300" s="637"/>
      <c r="AH300" s="637"/>
      <c r="AI300" s="637"/>
      <c r="AJ300" s="637"/>
      <c r="AK300" s="637"/>
      <c r="AL300" s="1542"/>
      <c r="AN300" s="637"/>
      <c r="AO300" s="637"/>
      <c r="AP300" s="1541"/>
      <c r="AQ300" s="1541"/>
      <c r="AR300" s="1541"/>
      <c r="AS300" s="1541"/>
      <c r="AT300" s="1541"/>
      <c r="AU300" s="1541"/>
      <c r="AV300" s="1541"/>
      <c r="AW300" s="1541"/>
      <c r="AX300" s="1541"/>
    </row>
    <row r="301" spans="1:50" s="12" customFormat="1" ht="18" x14ac:dyDescent="0.2">
      <c r="A301" s="606"/>
      <c r="B301" s="666"/>
      <c r="C301" s="1541"/>
      <c r="D301" s="1541"/>
      <c r="E301" s="1541"/>
      <c r="F301" s="1541"/>
      <c r="G301" s="666"/>
      <c r="H301" s="666"/>
      <c r="I301" s="634"/>
      <c r="J301" s="1541"/>
      <c r="K301" s="1541"/>
      <c r="L301" s="1541"/>
      <c r="M301" s="1541"/>
      <c r="N301" s="1541"/>
      <c r="O301" s="1541"/>
      <c r="P301" s="1541"/>
      <c r="AE301" s="1541"/>
      <c r="AF301" s="637"/>
      <c r="AG301" s="637"/>
      <c r="AH301" s="637"/>
      <c r="AI301" s="637"/>
      <c r="AJ301" s="637"/>
      <c r="AK301" s="637"/>
      <c r="AL301" s="1542"/>
      <c r="AN301" s="637"/>
      <c r="AO301" s="637"/>
      <c r="AP301" s="1541"/>
      <c r="AQ301" s="1541"/>
      <c r="AR301" s="1541"/>
      <c r="AS301" s="1541"/>
      <c r="AT301" s="1541"/>
      <c r="AU301" s="1541"/>
      <c r="AV301" s="1541"/>
      <c r="AW301" s="1541"/>
      <c r="AX301" s="1541"/>
    </row>
    <row r="302" spans="1:50" s="12" customFormat="1" ht="18" x14ac:dyDescent="0.2">
      <c r="A302" s="606"/>
      <c r="B302" s="666"/>
      <c r="C302" s="1541"/>
      <c r="D302" s="1541"/>
      <c r="E302" s="1541"/>
      <c r="F302" s="1541"/>
      <c r="G302" s="666"/>
      <c r="H302" s="666"/>
      <c r="I302" s="634"/>
      <c r="J302" s="1541"/>
      <c r="K302" s="1541"/>
      <c r="L302" s="1541"/>
      <c r="M302" s="1541"/>
      <c r="N302" s="1541"/>
      <c r="O302" s="1541"/>
      <c r="P302" s="1541"/>
      <c r="AE302" s="1541"/>
      <c r="AF302" s="637"/>
      <c r="AG302" s="637"/>
      <c r="AH302" s="637"/>
      <c r="AI302" s="637"/>
      <c r="AJ302" s="637"/>
      <c r="AK302" s="637"/>
      <c r="AL302" s="1542"/>
      <c r="AN302" s="637"/>
      <c r="AO302" s="637"/>
      <c r="AP302" s="1541"/>
      <c r="AQ302" s="1541"/>
      <c r="AR302" s="1541"/>
      <c r="AS302" s="1541"/>
      <c r="AT302" s="1541"/>
      <c r="AU302" s="1541"/>
      <c r="AV302" s="1541"/>
      <c r="AW302" s="1541"/>
      <c r="AX302" s="1541"/>
    </row>
    <row r="303" spans="1:50" s="12" customFormat="1" ht="18" x14ac:dyDescent="0.2">
      <c r="A303" s="606"/>
      <c r="B303" s="666"/>
      <c r="C303" s="1541"/>
      <c r="D303" s="1541"/>
      <c r="E303" s="1541"/>
      <c r="F303" s="1541"/>
      <c r="G303" s="666"/>
      <c r="H303" s="666"/>
      <c r="I303" s="634"/>
      <c r="J303" s="1541"/>
      <c r="K303" s="1541"/>
      <c r="L303" s="1541"/>
      <c r="M303" s="1541"/>
      <c r="N303" s="1541"/>
      <c r="O303" s="1541"/>
      <c r="P303" s="1541"/>
      <c r="AE303" s="1541"/>
      <c r="AF303" s="637"/>
      <c r="AG303" s="637"/>
      <c r="AH303" s="637"/>
      <c r="AI303" s="637"/>
      <c r="AJ303" s="637"/>
      <c r="AK303" s="637"/>
      <c r="AL303" s="1542"/>
      <c r="AN303" s="637"/>
      <c r="AO303" s="637"/>
      <c r="AP303" s="1541"/>
      <c r="AQ303" s="1541"/>
      <c r="AR303" s="1541"/>
      <c r="AS303" s="1541"/>
      <c r="AT303" s="1541"/>
      <c r="AU303" s="1541"/>
      <c r="AV303" s="1541"/>
      <c r="AW303" s="1541"/>
      <c r="AX303" s="1541"/>
    </row>
    <row r="304" spans="1:50" s="12" customFormat="1" ht="18" x14ac:dyDescent="0.2">
      <c r="A304" s="606"/>
      <c r="B304" s="666"/>
      <c r="C304" s="1541"/>
      <c r="D304" s="1541"/>
      <c r="E304" s="1541"/>
      <c r="F304" s="1541"/>
      <c r="G304" s="666"/>
      <c r="H304" s="666"/>
      <c r="I304" s="634"/>
      <c r="J304" s="1541"/>
      <c r="K304" s="1541"/>
      <c r="L304" s="1541"/>
      <c r="M304" s="1541"/>
      <c r="N304" s="1541"/>
      <c r="O304" s="1541"/>
      <c r="P304" s="1541"/>
      <c r="AE304" s="1541"/>
      <c r="AF304" s="637"/>
      <c r="AG304" s="637"/>
      <c r="AH304" s="637"/>
      <c r="AI304" s="637"/>
      <c r="AJ304" s="637"/>
      <c r="AK304" s="637"/>
      <c r="AL304" s="1542"/>
      <c r="AN304" s="637"/>
      <c r="AO304" s="637"/>
      <c r="AP304" s="1541"/>
      <c r="AQ304" s="1541"/>
      <c r="AR304" s="1541"/>
      <c r="AS304" s="1541"/>
      <c r="AT304" s="1541"/>
      <c r="AU304" s="1541"/>
      <c r="AV304" s="1541"/>
      <c r="AW304" s="1541"/>
      <c r="AX304" s="1541"/>
    </row>
    <row r="305" spans="1:50" s="12" customFormat="1" ht="18" x14ac:dyDescent="0.2">
      <c r="A305" s="606"/>
      <c r="B305" s="666"/>
      <c r="C305" s="1541"/>
      <c r="D305" s="1541"/>
      <c r="E305" s="1541"/>
      <c r="F305" s="1541"/>
      <c r="G305" s="666"/>
      <c r="H305" s="666"/>
      <c r="I305" s="634"/>
      <c r="J305" s="1541"/>
      <c r="K305" s="1541"/>
      <c r="L305" s="1541"/>
      <c r="M305" s="1541"/>
      <c r="N305" s="1541"/>
      <c r="O305" s="1541"/>
      <c r="P305" s="1541"/>
      <c r="AE305" s="1541"/>
      <c r="AF305" s="637"/>
      <c r="AG305" s="637"/>
      <c r="AH305" s="637"/>
      <c r="AI305" s="637"/>
      <c r="AJ305" s="637"/>
      <c r="AK305" s="637"/>
      <c r="AL305" s="1542"/>
      <c r="AN305" s="637"/>
      <c r="AO305" s="637"/>
      <c r="AP305" s="1541"/>
      <c r="AQ305" s="1541"/>
      <c r="AR305" s="1541"/>
      <c r="AS305" s="1541"/>
      <c r="AT305" s="1541"/>
      <c r="AU305" s="1541"/>
      <c r="AV305" s="1541"/>
      <c r="AW305" s="1541"/>
      <c r="AX305" s="1541"/>
    </row>
    <row r="306" spans="1:50" s="12" customFormat="1" ht="18" x14ac:dyDescent="0.2">
      <c r="A306" s="606"/>
      <c r="B306" s="666"/>
      <c r="C306" s="1541"/>
      <c r="D306" s="1541"/>
      <c r="E306" s="1541"/>
      <c r="F306" s="1541"/>
      <c r="G306" s="666"/>
      <c r="H306" s="666"/>
      <c r="I306" s="634"/>
      <c r="J306" s="1541"/>
      <c r="K306" s="1541"/>
      <c r="L306" s="1541"/>
      <c r="M306" s="1541"/>
      <c r="N306" s="1541"/>
      <c r="O306" s="1541"/>
      <c r="P306" s="1541"/>
      <c r="AE306" s="1541"/>
      <c r="AF306" s="637"/>
      <c r="AG306" s="637"/>
      <c r="AH306" s="637"/>
      <c r="AI306" s="637"/>
      <c r="AJ306" s="637"/>
      <c r="AK306" s="637"/>
      <c r="AL306" s="1542"/>
      <c r="AN306" s="637"/>
      <c r="AO306" s="637"/>
      <c r="AP306" s="1541"/>
      <c r="AQ306" s="1541"/>
      <c r="AR306" s="1541"/>
      <c r="AS306" s="1541"/>
      <c r="AT306" s="1541"/>
      <c r="AU306" s="1541"/>
      <c r="AV306" s="1541"/>
      <c r="AW306" s="1541"/>
      <c r="AX306" s="1541"/>
    </row>
    <row r="307" spans="1:50" s="12" customFormat="1" ht="18" x14ac:dyDescent="0.2">
      <c r="A307" s="606"/>
      <c r="B307" s="666"/>
      <c r="C307" s="1541"/>
      <c r="D307" s="1541"/>
      <c r="E307" s="1541"/>
      <c r="F307" s="1541"/>
      <c r="G307" s="666"/>
      <c r="H307" s="666"/>
      <c r="I307" s="634"/>
      <c r="J307" s="1541"/>
      <c r="K307" s="1541"/>
      <c r="L307" s="1541"/>
      <c r="M307" s="1541"/>
      <c r="N307" s="1541"/>
      <c r="O307" s="1541"/>
      <c r="P307" s="1541"/>
      <c r="AE307" s="1541"/>
      <c r="AF307" s="637"/>
      <c r="AG307" s="637"/>
      <c r="AH307" s="637"/>
      <c r="AI307" s="637"/>
      <c r="AJ307" s="637"/>
      <c r="AK307" s="637"/>
      <c r="AL307" s="1542"/>
      <c r="AN307" s="637"/>
      <c r="AO307" s="637"/>
      <c r="AP307" s="1541"/>
      <c r="AQ307" s="1541"/>
      <c r="AR307" s="1541"/>
      <c r="AS307" s="1541"/>
      <c r="AT307" s="1541"/>
      <c r="AU307" s="1541"/>
      <c r="AV307" s="1541"/>
      <c r="AW307" s="1541"/>
      <c r="AX307" s="1541"/>
    </row>
    <row r="308" spans="1:50" s="12" customFormat="1" ht="18" x14ac:dyDescent="0.2">
      <c r="A308" s="606"/>
      <c r="B308" s="666"/>
      <c r="C308" s="1541"/>
      <c r="D308" s="1541"/>
      <c r="E308" s="1541"/>
      <c r="F308" s="1541"/>
      <c r="G308" s="666"/>
      <c r="H308" s="666"/>
      <c r="I308" s="634"/>
      <c r="J308" s="1541"/>
      <c r="K308" s="1541"/>
      <c r="L308" s="1541"/>
      <c r="M308" s="1541"/>
      <c r="N308" s="1541"/>
      <c r="O308" s="1541"/>
      <c r="P308" s="1541"/>
      <c r="AE308" s="1541"/>
      <c r="AF308" s="637"/>
      <c r="AG308" s="637"/>
      <c r="AH308" s="637"/>
      <c r="AI308" s="637"/>
      <c r="AJ308" s="637"/>
      <c r="AK308" s="637"/>
      <c r="AL308" s="1542"/>
      <c r="AN308" s="637"/>
      <c r="AO308" s="637"/>
      <c r="AP308" s="1541"/>
      <c r="AQ308" s="1541"/>
      <c r="AR308" s="1541"/>
      <c r="AS308" s="1541"/>
      <c r="AT308" s="1541"/>
      <c r="AU308" s="1541"/>
      <c r="AV308" s="1541"/>
      <c r="AW308" s="1541"/>
      <c r="AX308" s="1541"/>
    </row>
    <row r="309" spans="1:50" s="12" customFormat="1" ht="18" x14ac:dyDescent="0.2">
      <c r="A309" s="606"/>
      <c r="B309" s="666"/>
      <c r="C309" s="1541"/>
      <c r="D309" s="1541"/>
      <c r="E309" s="1541"/>
      <c r="F309" s="1541"/>
      <c r="G309" s="666"/>
      <c r="H309" s="666"/>
      <c r="I309" s="634"/>
      <c r="J309" s="1541"/>
      <c r="K309" s="1541"/>
      <c r="L309" s="1541"/>
      <c r="M309" s="1541"/>
      <c r="N309" s="1541"/>
      <c r="O309" s="1541"/>
      <c r="P309" s="1541"/>
      <c r="AE309" s="1541"/>
      <c r="AF309" s="637"/>
      <c r="AG309" s="637"/>
      <c r="AH309" s="637"/>
      <c r="AI309" s="637"/>
      <c r="AJ309" s="637"/>
      <c r="AK309" s="637"/>
      <c r="AL309" s="1542"/>
      <c r="AN309" s="637"/>
      <c r="AO309" s="637"/>
      <c r="AP309" s="1541"/>
      <c r="AQ309" s="1541"/>
      <c r="AR309" s="1541"/>
      <c r="AS309" s="1541"/>
      <c r="AT309" s="1541"/>
      <c r="AU309" s="1541"/>
      <c r="AV309" s="1541"/>
      <c r="AW309" s="1541"/>
      <c r="AX309" s="1541"/>
    </row>
    <row r="310" spans="1:50" s="12" customFormat="1" ht="18" x14ac:dyDescent="0.2">
      <c r="A310" s="606"/>
      <c r="B310" s="666"/>
      <c r="C310" s="1541"/>
      <c r="D310" s="1541"/>
      <c r="E310" s="1541"/>
      <c r="F310" s="1541"/>
      <c r="G310" s="666"/>
      <c r="H310" s="666"/>
      <c r="I310" s="634"/>
      <c r="J310" s="1541"/>
      <c r="K310" s="1541"/>
      <c r="L310" s="1541"/>
      <c r="M310" s="1541"/>
      <c r="N310" s="1541"/>
      <c r="O310" s="1541"/>
      <c r="P310" s="1541"/>
      <c r="AE310" s="1541"/>
      <c r="AF310" s="637"/>
      <c r="AG310" s="637"/>
      <c r="AH310" s="637"/>
      <c r="AI310" s="637"/>
      <c r="AJ310" s="637"/>
      <c r="AK310" s="637"/>
      <c r="AL310" s="1542"/>
      <c r="AN310" s="637"/>
      <c r="AO310" s="637"/>
      <c r="AP310" s="1541"/>
      <c r="AQ310" s="1541"/>
      <c r="AR310" s="1541"/>
      <c r="AS310" s="1541"/>
      <c r="AT310" s="1541"/>
      <c r="AU310" s="1541"/>
      <c r="AV310" s="1541"/>
      <c r="AW310" s="1541"/>
      <c r="AX310" s="1541"/>
    </row>
    <row r="311" spans="1:50" s="12" customFormat="1" ht="18" x14ac:dyDescent="0.2">
      <c r="A311" s="606"/>
      <c r="B311" s="666"/>
      <c r="C311" s="1541"/>
      <c r="D311" s="1541"/>
      <c r="E311" s="1541"/>
      <c r="F311" s="1541"/>
      <c r="G311" s="666"/>
      <c r="H311" s="666"/>
      <c r="I311" s="634"/>
      <c r="J311" s="1541"/>
      <c r="K311" s="1541"/>
      <c r="L311" s="1541"/>
      <c r="M311" s="1541"/>
      <c r="N311" s="1541"/>
      <c r="O311" s="1541"/>
      <c r="P311" s="1541"/>
      <c r="AE311" s="1541"/>
      <c r="AF311" s="637"/>
      <c r="AG311" s="637"/>
      <c r="AH311" s="637"/>
      <c r="AI311" s="637"/>
      <c r="AJ311" s="637"/>
      <c r="AK311" s="637"/>
      <c r="AL311" s="1542"/>
      <c r="AN311" s="637"/>
      <c r="AO311" s="637"/>
      <c r="AP311" s="1541"/>
      <c r="AQ311" s="1541"/>
      <c r="AR311" s="1541"/>
      <c r="AS311" s="1541"/>
      <c r="AT311" s="1541"/>
      <c r="AU311" s="1541"/>
      <c r="AV311" s="1541"/>
      <c r="AW311" s="1541"/>
      <c r="AX311" s="1541"/>
    </row>
    <row r="312" spans="1:50" s="12" customFormat="1" ht="18" x14ac:dyDescent="0.2">
      <c r="A312" s="606"/>
      <c r="B312" s="666"/>
      <c r="C312" s="1541"/>
      <c r="D312" s="1541"/>
      <c r="E312" s="1541"/>
      <c r="F312" s="1541"/>
      <c r="G312" s="666"/>
      <c r="H312" s="666"/>
      <c r="I312" s="634"/>
      <c r="J312" s="1541"/>
      <c r="K312" s="1541"/>
      <c r="L312" s="1541"/>
      <c r="M312" s="1541"/>
      <c r="N312" s="1541"/>
      <c r="O312" s="1541"/>
      <c r="P312" s="1541"/>
      <c r="AE312" s="1541"/>
      <c r="AF312" s="637"/>
      <c r="AG312" s="637"/>
      <c r="AH312" s="637"/>
      <c r="AI312" s="637"/>
      <c r="AJ312" s="637"/>
      <c r="AK312" s="637"/>
      <c r="AL312" s="1542"/>
      <c r="AN312" s="637"/>
      <c r="AO312" s="637"/>
      <c r="AP312" s="1541"/>
      <c r="AQ312" s="1541"/>
      <c r="AR312" s="1541"/>
      <c r="AS312" s="1541"/>
      <c r="AT312" s="1541"/>
      <c r="AU312" s="1541"/>
      <c r="AV312" s="1541"/>
      <c r="AW312" s="1541"/>
      <c r="AX312" s="1541"/>
    </row>
    <row r="313" spans="1:50" s="12" customFormat="1" ht="18" x14ac:dyDescent="0.2">
      <c r="A313" s="606"/>
      <c r="B313" s="666"/>
      <c r="C313" s="1541"/>
      <c r="D313" s="1541"/>
      <c r="E313" s="1541"/>
      <c r="F313" s="1541"/>
      <c r="G313" s="666"/>
      <c r="H313" s="666"/>
      <c r="I313" s="634"/>
      <c r="J313" s="1541"/>
      <c r="K313" s="1541"/>
      <c r="L313" s="1541"/>
      <c r="M313" s="1541"/>
      <c r="N313" s="1541"/>
      <c r="O313" s="1541"/>
      <c r="P313" s="1541"/>
      <c r="AE313" s="1541"/>
      <c r="AF313" s="637"/>
      <c r="AG313" s="637"/>
      <c r="AH313" s="637"/>
      <c r="AI313" s="637"/>
      <c r="AJ313" s="637"/>
      <c r="AK313" s="637"/>
      <c r="AL313" s="1542"/>
      <c r="AN313" s="637"/>
      <c r="AO313" s="637"/>
      <c r="AP313" s="1541"/>
      <c r="AQ313" s="1541"/>
      <c r="AR313" s="1541"/>
      <c r="AS313" s="1541"/>
      <c r="AT313" s="1541"/>
      <c r="AU313" s="1541"/>
      <c r="AV313" s="1541"/>
      <c r="AW313" s="1541"/>
      <c r="AX313" s="1541"/>
    </row>
    <row r="314" spans="1:50" s="12" customFormat="1" ht="18" x14ac:dyDescent="0.2">
      <c r="A314" s="606"/>
      <c r="B314" s="666"/>
      <c r="C314" s="1541"/>
      <c r="D314" s="1541"/>
      <c r="E314" s="1541"/>
      <c r="F314" s="1541"/>
      <c r="G314" s="666"/>
      <c r="H314" s="666"/>
      <c r="I314" s="634"/>
      <c r="J314" s="1541"/>
      <c r="K314" s="1541"/>
      <c r="L314" s="1541"/>
      <c r="M314" s="1541"/>
      <c r="N314" s="1541"/>
      <c r="O314" s="1541"/>
      <c r="P314" s="1541"/>
      <c r="AE314" s="1541"/>
      <c r="AF314" s="637"/>
      <c r="AG314" s="637"/>
      <c r="AH314" s="637"/>
      <c r="AI314" s="637"/>
      <c r="AJ314" s="637"/>
      <c r="AK314" s="637"/>
      <c r="AL314" s="1542"/>
      <c r="AN314" s="637"/>
      <c r="AO314" s="637"/>
      <c r="AP314" s="1541"/>
      <c r="AQ314" s="1541"/>
      <c r="AR314" s="1541"/>
      <c r="AS314" s="1541"/>
      <c r="AT314" s="1541"/>
      <c r="AU314" s="1541"/>
      <c r="AV314" s="1541"/>
      <c r="AW314" s="1541"/>
      <c r="AX314" s="1541"/>
    </row>
    <row r="315" spans="1:50" s="12" customFormat="1" ht="18" x14ac:dyDescent="0.2">
      <c r="A315" s="606"/>
      <c r="B315" s="666"/>
      <c r="C315" s="1541"/>
      <c r="D315" s="1541"/>
      <c r="E315" s="1541"/>
      <c r="F315" s="1541"/>
      <c r="G315" s="666"/>
      <c r="H315" s="666"/>
      <c r="I315" s="634"/>
      <c r="J315" s="1541"/>
      <c r="K315" s="1541"/>
      <c r="L315" s="1541"/>
      <c r="M315" s="1541"/>
      <c r="N315" s="1541"/>
      <c r="O315" s="1541"/>
      <c r="P315" s="1541"/>
      <c r="AE315" s="1541"/>
      <c r="AF315" s="637"/>
      <c r="AG315" s="637"/>
      <c r="AH315" s="637"/>
      <c r="AI315" s="637"/>
      <c r="AJ315" s="637"/>
      <c r="AK315" s="637"/>
      <c r="AL315" s="1542"/>
      <c r="AN315" s="637"/>
      <c r="AO315" s="637"/>
      <c r="AP315" s="1541"/>
      <c r="AQ315" s="1541"/>
      <c r="AR315" s="1541"/>
      <c r="AS315" s="1541"/>
      <c r="AT315" s="1541"/>
      <c r="AU315" s="1541"/>
      <c r="AV315" s="1541"/>
      <c r="AW315" s="1541"/>
      <c r="AX315" s="1541"/>
    </row>
    <row r="316" spans="1:50" s="12" customFormat="1" ht="18" x14ac:dyDescent="0.2">
      <c r="A316" s="606"/>
      <c r="B316" s="666"/>
      <c r="C316" s="1541"/>
      <c r="D316" s="1541"/>
      <c r="E316" s="1541"/>
      <c r="F316" s="1541"/>
      <c r="G316" s="666"/>
      <c r="H316" s="666"/>
      <c r="I316" s="634"/>
      <c r="J316" s="1541"/>
      <c r="K316" s="1541"/>
      <c r="L316" s="1541"/>
      <c r="M316" s="1541"/>
      <c r="N316" s="1541"/>
      <c r="O316" s="1541"/>
      <c r="P316" s="1541"/>
      <c r="AE316" s="1541"/>
      <c r="AF316" s="637"/>
      <c r="AG316" s="637"/>
      <c r="AH316" s="637"/>
      <c r="AI316" s="637"/>
      <c r="AJ316" s="637"/>
      <c r="AK316" s="637"/>
      <c r="AL316" s="1542"/>
      <c r="AN316" s="637"/>
      <c r="AO316" s="637"/>
      <c r="AP316" s="1541"/>
      <c r="AQ316" s="1541"/>
      <c r="AR316" s="1541"/>
      <c r="AS316" s="1541"/>
      <c r="AT316" s="1541"/>
      <c r="AU316" s="1541"/>
      <c r="AV316" s="1541"/>
      <c r="AW316" s="1541"/>
      <c r="AX316" s="1541"/>
    </row>
    <row r="317" spans="1:50" s="12" customFormat="1" ht="18" x14ac:dyDescent="0.2">
      <c r="A317" s="606"/>
      <c r="B317" s="666"/>
      <c r="C317" s="1541"/>
      <c r="D317" s="1541"/>
      <c r="E317" s="1541"/>
      <c r="F317" s="1541"/>
      <c r="G317" s="666"/>
      <c r="H317" s="666"/>
      <c r="I317" s="634"/>
      <c r="J317" s="1541"/>
      <c r="K317" s="1541"/>
      <c r="L317" s="1541"/>
      <c r="M317" s="1541"/>
      <c r="N317" s="1541"/>
      <c r="O317" s="1541"/>
      <c r="P317" s="1541"/>
      <c r="AE317" s="1541"/>
      <c r="AF317" s="637"/>
      <c r="AG317" s="637"/>
      <c r="AH317" s="637"/>
      <c r="AI317" s="637"/>
      <c r="AJ317" s="637"/>
      <c r="AK317" s="637"/>
      <c r="AL317" s="1542"/>
      <c r="AN317" s="637"/>
      <c r="AO317" s="637"/>
      <c r="AP317" s="1541"/>
      <c r="AQ317" s="1541"/>
      <c r="AR317" s="1541"/>
      <c r="AS317" s="1541"/>
      <c r="AT317" s="1541"/>
      <c r="AU317" s="1541"/>
      <c r="AV317" s="1541"/>
      <c r="AW317" s="1541"/>
      <c r="AX317" s="1541"/>
    </row>
    <row r="318" spans="1:50" s="12" customFormat="1" ht="18" x14ac:dyDescent="0.2">
      <c r="A318" s="606"/>
      <c r="B318" s="666"/>
      <c r="C318" s="1541"/>
      <c r="D318" s="1541"/>
      <c r="E318" s="1541"/>
      <c r="F318" s="1541"/>
      <c r="G318" s="666"/>
      <c r="H318" s="666"/>
      <c r="I318" s="634"/>
      <c r="J318" s="1541"/>
      <c r="K318" s="1541"/>
      <c r="L318" s="1541"/>
      <c r="M318" s="1541"/>
      <c r="N318" s="1541"/>
      <c r="O318" s="1541"/>
      <c r="P318" s="1541"/>
      <c r="AE318" s="1541"/>
      <c r="AF318" s="637"/>
      <c r="AG318" s="637"/>
      <c r="AH318" s="637"/>
      <c r="AI318" s="637"/>
      <c r="AJ318" s="637"/>
      <c r="AK318" s="637"/>
      <c r="AL318" s="1542"/>
      <c r="AN318" s="637"/>
      <c r="AO318" s="637"/>
      <c r="AP318" s="1541"/>
      <c r="AQ318" s="1541"/>
      <c r="AR318" s="1541"/>
      <c r="AS318" s="1541"/>
      <c r="AT318" s="1541"/>
      <c r="AU318" s="1541"/>
      <c r="AV318" s="1541"/>
      <c r="AW318" s="1541"/>
      <c r="AX318" s="1541"/>
    </row>
    <row r="319" spans="1:50" s="12" customFormat="1" ht="18" x14ac:dyDescent="0.2">
      <c r="A319" s="606"/>
      <c r="B319" s="666"/>
      <c r="C319" s="1541"/>
      <c r="D319" s="1541"/>
      <c r="E319" s="1541"/>
      <c r="F319" s="1541"/>
      <c r="G319" s="666"/>
      <c r="H319" s="666"/>
      <c r="I319" s="634"/>
      <c r="J319" s="1541"/>
      <c r="K319" s="1541"/>
      <c r="L319" s="1541"/>
      <c r="M319" s="1541"/>
      <c r="N319" s="1541"/>
      <c r="O319" s="1541"/>
      <c r="P319" s="1541"/>
      <c r="AE319" s="1541"/>
      <c r="AF319" s="637"/>
      <c r="AG319" s="637"/>
      <c r="AH319" s="637"/>
      <c r="AI319" s="637"/>
      <c r="AJ319" s="637"/>
      <c r="AK319" s="637"/>
      <c r="AL319" s="1542"/>
      <c r="AN319" s="637"/>
      <c r="AO319" s="637"/>
      <c r="AP319" s="1541"/>
      <c r="AQ319" s="1541"/>
      <c r="AR319" s="1541"/>
      <c r="AS319" s="1541"/>
      <c r="AT319" s="1541"/>
      <c r="AU319" s="1541"/>
      <c r="AV319" s="1541"/>
      <c r="AW319" s="1541"/>
      <c r="AX319" s="1541"/>
    </row>
    <row r="320" spans="1:50" s="12" customFormat="1" ht="18" x14ac:dyDescent="0.2">
      <c r="A320" s="606"/>
      <c r="B320" s="666"/>
      <c r="C320" s="1541"/>
      <c r="D320" s="1541"/>
      <c r="E320" s="1541"/>
      <c r="F320" s="1541"/>
      <c r="G320" s="666"/>
      <c r="H320" s="666"/>
      <c r="I320" s="634"/>
      <c r="J320" s="1541"/>
      <c r="K320" s="1541"/>
      <c r="L320" s="1541"/>
      <c r="M320" s="1541"/>
      <c r="N320" s="1541"/>
      <c r="O320" s="1541"/>
      <c r="P320" s="1541"/>
      <c r="AE320" s="1541"/>
      <c r="AF320" s="637"/>
      <c r="AG320" s="637"/>
      <c r="AH320" s="637"/>
      <c r="AI320" s="637"/>
      <c r="AJ320" s="637"/>
      <c r="AK320" s="637"/>
      <c r="AL320" s="1542"/>
      <c r="AN320" s="637"/>
      <c r="AO320" s="637"/>
      <c r="AP320" s="1541"/>
      <c r="AQ320" s="1541"/>
      <c r="AR320" s="1541"/>
      <c r="AS320" s="1541"/>
      <c r="AT320" s="1541"/>
      <c r="AU320" s="1541"/>
      <c r="AV320" s="1541"/>
      <c r="AW320" s="1541"/>
      <c r="AX320" s="1541"/>
    </row>
    <row r="321" spans="1:50" s="12" customFormat="1" ht="18" x14ac:dyDescent="0.2">
      <c r="A321" s="606"/>
      <c r="B321" s="666"/>
      <c r="C321" s="1541"/>
      <c r="D321" s="1541"/>
      <c r="E321" s="1541"/>
      <c r="F321" s="1541"/>
      <c r="G321" s="666"/>
      <c r="H321" s="666"/>
      <c r="I321" s="634"/>
      <c r="J321" s="1541"/>
      <c r="K321" s="1541"/>
      <c r="L321" s="1541"/>
      <c r="M321" s="1541"/>
      <c r="N321" s="1541"/>
      <c r="O321" s="1541"/>
      <c r="P321" s="1541"/>
      <c r="AE321" s="1541"/>
      <c r="AF321" s="637"/>
      <c r="AG321" s="637"/>
      <c r="AH321" s="637"/>
      <c r="AI321" s="637"/>
      <c r="AJ321" s="637"/>
      <c r="AK321" s="637"/>
      <c r="AL321" s="1542"/>
      <c r="AN321" s="637"/>
      <c r="AO321" s="637"/>
      <c r="AP321" s="1541"/>
      <c r="AQ321" s="1541"/>
      <c r="AR321" s="1541"/>
      <c r="AS321" s="1541"/>
      <c r="AT321" s="1541"/>
      <c r="AU321" s="1541"/>
      <c r="AV321" s="1541"/>
      <c r="AW321" s="1541"/>
      <c r="AX321" s="1541"/>
    </row>
    <row r="322" spans="1:50" s="12" customFormat="1" ht="18" x14ac:dyDescent="0.2">
      <c r="A322" s="606"/>
      <c r="B322" s="666"/>
      <c r="C322" s="1541"/>
      <c r="D322" s="1541"/>
      <c r="E322" s="1541"/>
      <c r="F322" s="1541"/>
      <c r="G322" s="666"/>
      <c r="H322" s="666"/>
      <c r="I322" s="634"/>
      <c r="J322" s="1541"/>
      <c r="K322" s="1541"/>
      <c r="L322" s="1541"/>
      <c r="M322" s="1541"/>
      <c r="N322" s="1541"/>
      <c r="O322" s="1541"/>
      <c r="P322" s="1541"/>
      <c r="AE322" s="1541"/>
      <c r="AF322" s="637"/>
      <c r="AG322" s="637"/>
      <c r="AH322" s="637"/>
      <c r="AI322" s="637"/>
      <c r="AJ322" s="637"/>
      <c r="AK322" s="637"/>
      <c r="AL322" s="1542"/>
      <c r="AN322" s="637"/>
      <c r="AO322" s="637"/>
      <c r="AP322" s="1541"/>
      <c r="AQ322" s="1541"/>
      <c r="AR322" s="1541"/>
      <c r="AS322" s="1541"/>
      <c r="AT322" s="1541"/>
      <c r="AU322" s="1541"/>
      <c r="AV322" s="1541"/>
      <c r="AW322" s="1541"/>
      <c r="AX322" s="1541"/>
    </row>
    <row r="323" spans="1:50" s="12" customFormat="1" ht="18" x14ac:dyDescent="0.2">
      <c r="A323" s="606"/>
      <c r="B323" s="666"/>
      <c r="C323" s="1541"/>
      <c r="D323" s="1541"/>
      <c r="E323" s="1541"/>
      <c r="F323" s="1541"/>
      <c r="G323" s="666"/>
      <c r="H323" s="666"/>
      <c r="I323" s="634"/>
      <c r="J323" s="1541"/>
      <c r="K323" s="1541"/>
      <c r="L323" s="1541"/>
      <c r="M323" s="1541"/>
      <c r="N323" s="1541"/>
      <c r="O323" s="1541"/>
      <c r="P323" s="1541"/>
      <c r="AE323" s="1541"/>
      <c r="AF323" s="637"/>
      <c r="AG323" s="637"/>
      <c r="AH323" s="637"/>
      <c r="AI323" s="637"/>
      <c r="AJ323" s="637"/>
      <c r="AK323" s="637"/>
      <c r="AL323" s="1542"/>
      <c r="AN323" s="637"/>
      <c r="AO323" s="637"/>
      <c r="AP323" s="1541"/>
      <c r="AQ323" s="1541"/>
      <c r="AR323" s="1541"/>
      <c r="AS323" s="1541"/>
      <c r="AT323" s="1541"/>
      <c r="AU323" s="1541"/>
      <c r="AV323" s="1541"/>
      <c r="AW323" s="1541"/>
      <c r="AX323" s="1541"/>
    </row>
    <row r="324" spans="1:50" s="12" customFormat="1" ht="18" x14ac:dyDescent="0.2">
      <c r="A324" s="606"/>
      <c r="B324" s="666"/>
      <c r="C324" s="1541"/>
      <c r="D324" s="1541"/>
      <c r="E324" s="1541"/>
      <c r="F324" s="1541"/>
      <c r="G324" s="666"/>
      <c r="H324" s="666"/>
      <c r="I324" s="634"/>
      <c r="J324" s="1541"/>
      <c r="K324" s="1541"/>
      <c r="L324" s="1541"/>
      <c r="M324" s="1541"/>
      <c r="N324" s="1541"/>
      <c r="O324" s="1541"/>
      <c r="P324" s="1541"/>
      <c r="AE324" s="1541"/>
      <c r="AF324" s="637"/>
      <c r="AG324" s="637"/>
      <c r="AH324" s="637"/>
      <c r="AI324" s="637"/>
      <c r="AJ324" s="637"/>
      <c r="AK324" s="637"/>
      <c r="AL324" s="1542"/>
      <c r="AN324" s="637"/>
      <c r="AO324" s="637"/>
      <c r="AP324" s="1541"/>
      <c r="AQ324" s="1541"/>
      <c r="AR324" s="1541"/>
      <c r="AS324" s="1541"/>
      <c r="AT324" s="1541"/>
      <c r="AU324" s="1541"/>
      <c r="AV324" s="1541"/>
      <c r="AW324" s="1541"/>
      <c r="AX324" s="1541"/>
    </row>
    <row r="325" spans="1:50" s="12" customFormat="1" ht="18" x14ac:dyDescent="0.2">
      <c r="A325" s="606"/>
      <c r="B325" s="666"/>
      <c r="C325" s="1541"/>
      <c r="D325" s="1541"/>
      <c r="E325" s="1541"/>
      <c r="F325" s="1541"/>
      <c r="G325" s="666"/>
      <c r="H325" s="666"/>
      <c r="I325" s="634"/>
      <c r="J325" s="1541"/>
      <c r="K325" s="1541"/>
      <c r="L325" s="1541"/>
      <c r="M325" s="1541"/>
      <c r="N325" s="1541"/>
      <c r="O325" s="1541"/>
      <c r="P325" s="1541"/>
      <c r="AE325" s="1541"/>
      <c r="AF325" s="637"/>
      <c r="AG325" s="637"/>
      <c r="AH325" s="637"/>
      <c r="AI325" s="637"/>
      <c r="AJ325" s="637"/>
      <c r="AK325" s="637"/>
      <c r="AL325" s="1542"/>
      <c r="AN325" s="637"/>
      <c r="AO325" s="637"/>
      <c r="AP325" s="1541"/>
      <c r="AQ325" s="1541"/>
      <c r="AR325" s="1541"/>
      <c r="AS325" s="1541"/>
      <c r="AT325" s="1541"/>
      <c r="AU325" s="1541"/>
      <c r="AV325" s="1541"/>
      <c r="AW325" s="1541"/>
      <c r="AX325" s="1541"/>
    </row>
    <row r="326" spans="1:50" s="12" customFormat="1" ht="18" x14ac:dyDescent="0.2">
      <c r="A326" s="606"/>
      <c r="B326" s="666"/>
      <c r="C326" s="1541"/>
      <c r="D326" s="1541"/>
      <c r="E326" s="1541"/>
      <c r="F326" s="1541"/>
      <c r="G326" s="666"/>
      <c r="H326" s="666"/>
      <c r="I326" s="634"/>
      <c r="J326" s="1541"/>
      <c r="K326" s="1541"/>
      <c r="L326" s="1541"/>
      <c r="M326" s="1541"/>
      <c r="N326" s="1541"/>
      <c r="O326" s="1541"/>
      <c r="P326" s="1541"/>
      <c r="AE326" s="1541"/>
      <c r="AF326" s="637"/>
      <c r="AG326" s="637"/>
      <c r="AH326" s="637"/>
      <c r="AI326" s="637"/>
      <c r="AJ326" s="637"/>
      <c r="AK326" s="637"/>
      <c r="AL326" s="1542"/>
      <c r="AN326" s="637"/>
      <c r="AO326" s="637"/>
      <c r="AP326" s="1541"/>
      <c r="AQ326" s="1541"/>
      <c r="AR326" s="1541"/>
      <c r="AS326" s="1541"/>
      <c r="AT326" s="1541"/>
      <c r="AU326" s="1541"/>
      <c r="AV326" s="1541"/>
      <c r="AW326" s="1541"/>
      <c r="AX326" s="1541"/>
    </row>
    <row r="327" spans="1:50" s="12" customFormat="1" ht="18" x14ac:dyDescent="0.2">
      <c r="A327" s="606"/>
      <c r="B327" s="666"/>
      <c r="C327" s="1541"/>
      <c r="D327" s="1541"/>
      <c r="E327" s="1541"/>
      <c r="F327" s="1541"/>
      <c r="G327" s="666"/>
      <c r="H327" s="666"/>
      <c r="I327" s="634"/>
      <c r="J327" s="1541"/>
      <c r="K327" s="1541"/>
      <c r="L327" s="1541"/>
      <c r="M327" s="1541"/>
      <c r="N327" s="1541"/>
      <c r="O327" s="1541"/>
      <c r="P327" s="1541"/>
      <c r="AE327" s="1541"/>
      <c r="AF327" s="637"/>
      <c r="AG327" s="637"/>
      <c r="AH327" s="637"/>
      <c r="AI327" s="637"/>
      <c r="AJ327" s="637"/>
      <c r="AK327" s="637"/>
      <c r="AL327" s="1542"/>
      <c r="AN327" s="637"/>
      <c r="AO327" s="637"/>
      <c r="AP327" s="1541"/>
      <c r="AQ327" s="1541"/>
      <c r="AR327" s="1541"/>
      <c r="AS327" s="1541"/>
      <c r="AT327" s="1541"/>
      <c r="AU327" s="1541"/>
      <c r="AV327" s="1541"/>
      <c r="AW327" s="1541"/>
      <c r="AX327" s="1541"/>
    </row>
    <row r="328" spans="1:50" s="12" customFormat="1" ht="18" x14ac:dyDescent="0.2">
      <c r="A328" s="606"/>
      <c r="B328" s="666"/>
      <c r="C328" s="1541"/>
      <c r="D328" s="1541"/>
      <c r="E328" s="1541"/>
      <c r="F328" s="1541"/>
      <c r="G328" s="666"/>
      <c r="H328" s="666"/>
      <c r="I328" s="634"/>
      <c r="J328" s="1541"/>
      <c r="K328" s="1541"/>
      <c r="L328" s="1541"/>
      <c r="M328" s="1541"/>
      <c r="N328" s="1541"/>
      <c r="O328" s="1541"/>
      <c r="P328" s="1541"/>
      <c r="AE328" s="1541"/>
      <c r="AF328" s="637"/>
      <c r="AG328" s="637"/>
      <c r="AH328" s="637"/>
      <c r="AI328" s="637"/>
      <c r="AJ328" s="637"/>
      <c r="AK328" s="637"/>
      <c r="AL328" s="1542"/>
      <c r="AN328" s="637"/>
      <c r="AO328" s="637"/>
      <c r="AP328" s="1541"/>
      <c r="AQ328" s="1541"/>
      <c r="AR328" s="1541"/>
      <c r="AS328" s="1541"/>
      <c r="AT328" s="1541"/>
      <c r="AU328" s="1541"/>
      <c r="AV328" s="1541"/>
      <c r="AW328" s="1541"/>
      <c r="AX328" s="1541"/>
    </row>
    <row r="329" spans="1:50" s="12" customFormat="1" ht="18" x14ac:dyDescent="0.2">
      <c r="A329" s="606"/>
      <c r="B329" s="666"/>
      <c r="C329" s="1541"/>
      <c r="D329" s="1541"/>
      <c r="E329" s="1541"/>
      <c r="F329" s="1541"/>
      <c r="G329" s="666"/>
      <c r="H329" s="666"/>
      <c r="I329" s="634"/>
      <c r="J329" s="1541"/>
      <c r="K329" s="1541"/>
      <c r="L329" s="1541"/>
      <c r="M329" s="1541"/>
      <c r="N329" s="1541"/>
      <c r="O329" s="1541"/>
      <c r="P329" s="1541"/>
      <c r="AE329" s="1541"/>
      <c r="AF329" s="637"/>
      <c r="AG329" s="637"/>
      <c r="AH329" s="637"/>
      <c r="AI329" s="637"/>
      <c r="AJ329" s="637"/>
      <c r="AK329" s="637"/>
      <c r="AL329" s="1542"/>
      <c r="AN329" s="637"/>
      <c r="AO329" s="637"/>
      <c r="AP329" s="1541"/>
      <c r="AQ329" s="1541"/>
      <c r="AR329" s="1541"/>
      <c r="AS329" s="1541"/>
      <c r="AT329" s="1541"/>
      <c r="AU329" s="1541"/>
      <c r="AV329" s="1541"/>
      <c r="AW329" s="1541"/>
      <c r="AX329" s="1541"/>
    </row>
    <row r="330" spans="1:50" s="12" customFormat="1" ht="18" x14ac:dyDescent="0.2">
      <c r="A330" s="606"/>
      <c r="B330" s="666"/>
      <c r="C330" s="1541"/>
      <c r="D330" s="1541"/>
      <c r="E330" s="1541"/>
      <c r="F330" s="1541"/>
      <c r="G330" s="666"/>
      <c r="H330" s="666"/>
      <c r="I330" s="634"/>
      <c r="J330" s="1541"/>
      <c r="K330" s="1541"/>
      <c r="L330" s="1541"/>
      <c r="M330" s="1541"/>
      <c r="N330" s="1541"/>
      <c r="O330" s="1541"/>
      <c r="P330" s="1541"/>
      <c r="AE330" s="1541"/>
      <c r="AF330" s="637"/>
      <c r="AG330" s="637"/>
      <c r="AH330" s="637"/>
      <c r="AI330" s="637"/>
      <c r="AJ330" s="637"/>
      <c r="AK330" s="637"/>
      <c r="AL330" s="1542"/>
      <c r="AN330" s="637"/>
      <c r="AO330" s="637"/>
      <c r="AP330" s="1541"/>
      <c r="AQ330" s="1541"/>
      <c r="AR330" s="1541"/>
      <c r="AS330" s="1541"/>
      <c r="AT330" s="1541"/>
      <c r="AU330" s="1541"/>
      <c r="AV330" s="1541"/>
      <c r="AW330" s="1541"/>
      <c r="AX330" s="1541"/>
    </row>
    <row r="331" spans="1:50" s="12" customFormat="1" ht="18" x14ac:dyDescent="0.2">
      <c r="A331" s="606"/>
      <c r="B331" s="666"/>
      <c r="C331" s="1541"/>
      <c r="D331" s="1541"/>
      <c r="E331" s="1541"/>
      <c r="F331" s="1541"/>
      <c r="G331" s="666"/>
      <c r="H331" s="666"/>
      <c r="I331" s="634"/>
      <c r="J331" s="1541"/>
      <c r="K331" s="1541"/>
      <c r="L331" s="1541"/>
      <c r="M331" s="1541"/>
      <c r="N331" s="1541"/>
      <c r="O331" s="1541"/>
      <c r="P331" s="1541"/>
      <c r="AE331" s="1541"/>
      <c r="AF331" s="637"/>
      <c r="AG331" s="637"/>
      <c r="AH331" s="637"/>
      <c r="AI331" s="637"/>
      <c r="AJ331" s="637"/>
      <c r="AK331" s="637"/>
      <c r="AL331" s="1542"/>
      <c r="AN331" s="637"/>
      <c r="AO331" s="637"/>
      <c r="AP331" s="1541"/>
      <c r="AQ331" s="1541"/>
      <c r="AR331" s="1541"/>
      <c r="AS331" s="1541"/>
      <c r="AT331" s="1541"/>
      <c r="AU331" s="1541"/>
      <c r="AV331" s="1541"/>
      <c r="AW331" s="1541"/>
      <c r="AX331" s="1541"/>
    </row>
    <row r="332" spans="1:50" s="12" customFormat="1" ht="18" x14ac:dyDescent="0.2">
      <c r="A332" s="606"/>
      <c r="B332" s="666"/>
      <c r="C332" s="1541"/>
      <c r="D332" s="1541"/>
      <c r="E332" s="1541"/>
      <c r="F332" s="1541"/>
      <c r="G332" s="666"/>
      <c r="H332" s="666"/>
      <c r="I332" s="634"/>
      <c r="J332" s="1541"/>
      <c r="K332" s="1541"/>
      <c r="L332" s="1541"/>
      <c r="M332" s="1541"/>
      <c r="N332" s="1541"/>
      <c r="O332" s="1541"/>
      <c r="P332" s="1541"/>
      <c r="AE332" s="1541"/>
      <c r="AF332" s="637"/>
      <c r="AG332" s="637"/>
      <c r="AH332" s="637"/>
      <c r="AI332" s="637"/>
      <c r="AJ332" s="637"/>
      <c r="AK332" s="637"/>
      <c r="AL332" s="1542"/>
      <c r="AN332" s="637"/>
      <c r="AO332" s="637"/>
      <c r="AP332" s="1541"/>
      <c r="AQ332" s="1541"/>
      <c r="AR332" s="1541"/>
      <c r="AS332" s="1541"/>
      <c r="AT332" s="1541"/>
      <c r="AU332" s="1541"/>
      <c r="AV332" s="1541"/>
      <c r="AW332" s="1541"/>
      <c r="AX332" s="1541"/>
    </row>
    <row r="333" spans="1:50" s="12" customFormat="1" ht="18" x14ac:dyDescent="0.2">
      <c r="A333" s="606"/>
      <c r="B333" s="666"/>
      <c r="C333" s="1541"/>
      <c r="D333" s="1541"/>
      <c r="E333" s="1541"/>
      <c r="F333" s="1541"/>
      <c r="G333" s="666"/>
      <c r="H333" s="666"/>
      <c r="I333" s="634"/>
      <c r="J333" s="1541"/>
      <c r="K333" s="1541"/>
      <c r="L333" s="1541"/>
      <c r="M333" s="1541"/>
      <c r="N333" s="1541"/>
      <c r="O333" s="1541"/>
      <c r="P333" s="1541"/>
      <c r="AE333" s="1541"/>
      <c r="AF333" s="637"/>
      <c r="AG333" s="637"/>
      <c r="AH333" s="637"/>
      <c r="AI333" s="637"/>
      <c r="AJ333" s="637"/>
      <c r="AK333" s="637"/>
      <c r="AL333" s="1542"/>
      <c r="AN333" s="637"/>
      <c r="AO333" s="637"/>
      <c r="AP333" s="1541"/>
      <c r="AQ333" s="1541"/>
      <c r="AR333" s="1541"/>
      <c r="AS333" s="1541"/>
      <c r="AT333" s="1541"/>
      <c r="AU333" s="1541"/>
      <c r="AV333" s="1541"/>
      <c r="AW333" s="1541"/>
      <c r="AX333" s="1541"/>
    </row>
    <row r="334" spans="1:50" s="12" customFormat="1" ht="18" x14ac:dyDescent="0.2">
      <c r="A334" s="606"/>
      <c r="B334" s="666"/>
      <c r="C334" s="1541"/>
      <c r="D334" s="1541"/>
      <c r="E334" s="1541"/>
      <c r="F334" s="1541"/>
      <c r="G334" s="666"/>
      <c r="H334" s="666"/>
      <c r="I334" s="634"/>
      <c r="J334" s="1541"/>
      <c r="K334" s="1541"/>
      <c r="L334" s="1541"/>
      <c r="M334" s="1541"/>
      <c r="N334" s="1541"/>
      <c r="O334" s="1541"/>
      <c r="P334" s="1541"/>
      <c r="AE334" s="1541"/>
      <c r="AF334" s="637"/>
      <c r="AG334" s="637"/>
      <c r="AH334" s="637"/>
      <c r="AI334" s="637"/>
      <c r="AJ334" s="637"/>
      <c r="AK334" s="637"/>
      <c r="AL334" s="1542"/>
      <c r="AN334" s="637"/>
      <c r="AO334" s="637"/>
      <c r="AP334" s="1541"/>
      <c r="AQ334" s="1541"/>
      <c r="AR334" s="1541"/>
      <c r="AS334" s="1541"/>
      <c r="AT334" s="1541"/>
      <c r="AU334" s="1541"/>
      <c r="AV334" s="1541"/>
      <c r="AW334" s="1541"/>
      <c r="AX334" s="1541"/>
    </row>
    <row r="335" spans="1:50" s="12" customFormat="1" ht="18" x14ac:dyDescent="0.2">
      <c r="A335" s="606"/>
      <c r="B335" s="666"/>
      <c r="C335" s="1541"/>
      <c r="D335" s="1541"/>
      <c r="E335" s="1541"/>
      <c r="F335" s="1541"/>
      <c r="G335" s="666"/>
      <c r="H335" s="666"/>
      <c r="I335" s="634"/>
      <c r="J335" s="1541"/>
      <c r="K335" s="1541"/>
      <c r="L335" s="1541"/>
      <c r="M335" s="1541"/>
      <c r="N335" s="1541"/>
      <c r="O335" s="1541"/>
      <c r="P335" s="1541"/>
      <c r="AE335" s="1541"/>
      <c r="AF335" s="637"/>
      <c r="AG335" s="637"/>
      <c r="AH335" s="637"/>
      <c r="AI335" s="637"/>
      <c r="AJ335" s="637"/>
      <c r="AK335" s="637"/>
      <c r="AL335" s="1542"/>
      <c r="AN335" s="637"/>
      <c r="AO335" s="637"/>
      <c r="AP335" s="1541"/>
      <c r="AQ335" s="1541"/>
      <c r="AR335" s="1541"/>
      <c r="AS335" s="1541"/>
      <c r="AT335" s="1541"/>
      <c r="AU335" s="1541"/>
      <c r="AV335" s="1541"/>
      <c r="AW335" s="1541"/>
      <c r="AX335" s="1541"/>
    </row>
    <row r="336" spans="1:50" s="12" customFormat="1" ht="18" x14ac:dyDescent="0.2">
      <c r="A336" s="606"/>
      <c r="B336" s="666"/>
      <c r="C336" s="1541"/>
      <c r="D336" s="1541"/>
      <c r="E336" s="1541"/>
      <c r="F336" s="1541"/>
      <c r="G336" s="666"/>
      <c r="H336" s="666"/>
      <c r="I336" s="634"/>
      <c r="J336" s="1541"/>
      <c r="K336" s="1541"/>
      <c r="L336" s="1541"/>
      <c r="M336" s="1541"/>
      <c r="N336" s="1541"/>
      <c r="O336" s="1541"/>
      <c r="P336" s="1541"/>
      <c r="AE336" s="1541"/>
      <c r="AF336" s="637"/>
      <c r="AG336" s="637"/>
      <c r="AH336" s="637"/>
      <c r="AI336" s="637"/>
      <c r="AJ336" s="637"/>
      <c r="AK336" s="637"/>
      <c r="AL336" s="1542"/>
      <c r="AN336" s="637"/>
      <c r="AO336" s="637"/>
      <c r="AP336" s="1541"/>
      <c r="AQ336" s="1541"/>
      <c r="AR336" s="1541"/>
      <c r="AS336" s="1541"/>
      <c r="AT336" s="1541"/>
      <c r="AU336" s="1541"/>
      <c r="AV336" s="1541"/>
      <c r="AW336" s="1541"/>
      <c r="AX336" s="1541"/>
    </row>
    <row r="337" spans="1:50" s="12" customFormat="1" ht="18" x14ac:dyDescent="0.2">
      <c r="A337" s="606"/>
      <c r="B337" s="666"/>
      <c r="C337" s="1541"/>
      <c r="D337" s="1541"/>
      <c r="E337" s="1541"/>
      <c r="F337" s="1541"/>
      <c r="G337" s="666"/>
      <c r="H337" s="666"/>
      <c r="I337" s="634"/>
      <c r="J337" s="1541"/>
      <c r="K337" s="1541"/>
      <c r="L337" s="1541"/>
      <c r="M337" s="1541"/>
      <c r="N337" s="1541"/>
      <c r="O337" s="1541"/>
      <c r="P337" s="1541"/>
      <c r="AE337" s="1541"/>
      <c r="AF337" s="637"/>
      <c r="AG337" s="637"/>
      <c r="AH337" s="637"/>
      <c r="AI337" s="637"/>
      <c r="AJ337" s="637"/>
      <c r="AK337" s="637"/>
      <c r="AL337" s="1542"/>
      <c r="AN337" s="637"/>
      <c r="AO337" s="637"/>
      <c r="AP337" s="1541"/>
      <c r="AQ337" s="1541"/>
      <c r="AR337" s="1541"/>
      <c r="AS337" s="1541"/>
      <c r="AT337" s="1541"/>
      <c r="AU337" s="1541"/>
      <c r="AV337" s="1541"/>
      <c r="AW337" s="1541"/>
      <c r="AX337" s="1541"/>
    </row>
    <row r="338" spans="1:50" s="12" customFormat="1" ht="18" x14ac:dyDescent="0.2">
      <c r="A338" s="606"/>
      <c r="B338" s="666"/>
      <c r="C338" s="1541"/>
      <c r="D338" s="1541"/>
      <c r="E338" s="1541"/>
      <c r="F338" s="1541"/>
      <c r="G338" s="666"/>
      <c r="H338" s="666"/>
      <c r="I338" s="634"/>
      <c r="J338" s="1541"/>
      <c r="K338" s="1541"/>
      <c r="L338" s="1541"/>
      <c r="M338" s="1541"/>
      <c r="N338" s="1541"/>
      <c r="O338" s="1541"/>
      <c r="P338" s="1541"/>
      <c r="AE338" s="1541"/>
      <c r="AF338" s="637"/>
      <c r="AG338" s="637"/>
      <c r="AH338" s="637"/>
      <c r="AI338" s="637"/>
      <c r="AJ338" s="637"/>
      <c r="AK338" s="637"/>
      <c r="AL338" s="1542"/>
      <c r="AN338" s="637"/>
      <c r="AO338" s="637"/>
      <c r="AP338" s="1541"/>
      <c r="AQ338" s="1541"/>
      <c r="AR338" s="1541"/>
      <c r="AS338" s="1541"/>
      <c r="AT338" s="1541"/>
      <c r="AU338" s="1541"/>
      <c r="AV338" s="1541"/>
      <c r="AW338" s="1541"/>
      <c r="AX338" s="1541"/>
    </row>
    <row r="339" spans="1:50" s="12" customFormat="1" ht="18" x14ac:dyDescent="0.2">
      <c r="A339" s="606"/>
      <c r="B339" s="666"/>
      <c r="C339" s="1541"/>
      <c r="D339" s="1541"/>
      <c r="E339" s="1541"/>
      <c r="F339" s="1541"/>
      <c r="G339" s="666"/>
      <c r="H339" s="666"/>
      <c r="I339" s="634"/>
      <c r="J339" s="1541"/>
      <c r="K339" s="1541"/>
      <c r="L339" s="1541"/>
      <c r="M339" s="1541"/>
      <c r="N339" s="1541"/>
      <c r="O339" s="1541"/>
      <c r="P339" s="1541"/>
      <c r="AE339" s="1541"/>
      <c r="AF339" s="637"/>
      <c r="AG339" s="637"/>
      <c r="AH339" s="637"/>
      <c r="AI339" s="637"/>
      <c r="AJ339" s="637"/>
      <c r="AK339" s="637"/>
      <c r="AL339" s="1542"/>
      <c r="AN339" s="637"/>
      <c r="AO339" s="637"/>
      <c r="AP339" s="1541"/>
      <c r="AQ339" s="1541"/>
      <c r="AR339" s="1541"/>
      <c r="AS339" s="1541"/>
      <c r="AT339" s="1541"/>
      <c r="AU339" s="1541"/>
      <c r="AV339" s="1541"/>
      <c r="AW339" s="1541"/>
      <c r="AX339" s="1541"/>
    </row>
    <row r="340" spans="1:50" s="12" customFormat="1" ht="18" x14ac:dyDescent="0.2">
      <c r="A340" s="606"/>
      <c r="B340" s="666"/>
      <c r="C340" s="1541"/>
      <c r="D340" s="1541"/>
      <c r="E340" s="1541"/>
      <c r="F340" s="1541"/>
      <c r="G340" s="666"/>
      <c r="H340" s="666"/>
      <c r="I340" s="634"/>
      <c r="J340" s="1541"/>
      <c r="K340" s="1541"/>
      <c r="L340" s="1541"/>
      <c r="M340" s="1541"/>
      <c r="N340" s="1541"/>
      <c r="O340" s="1541"/>
      <c r="P340" s="1541"/>
      <c r="AE340" s="1541"/>
      <c r="AF340" s="637"/>
      <c r="AG340" s="637"/>
      <c r="AH340" s="637"/>
      <c r="AI340" s="637"/>
      <c r="AJ340" s="637"/>
      <c r="AK340" s="637"/>
      <c r="AL340" s="1542"/>
      <c r="AN340" s="637"/>
      <c r="AO340" s="637"/>
      <c r="AP340" s="1541"/>
      <c r="AQ340" s="1541"/>
      <c r="AR340" s="1541"/>
      <c r="AS340" s="1541"/>
      <c r="AT340" s="1541"/>
      <c r="AU340" s="1541"/>
      <c r="AV340" s="1541"/>
      <c r="AW340" s="1541"/>
      <c r="AX340" s="1541"/>
    </row>
    <row r="341" spans="1:50" s="12" customFormat="1" ht="18" x14ac:dyDescent="0.2">
      <c r="A341" s="606"/>
      <c r="B341" s="666"/>
      <c r="C341" s="1541"/>
      <c r="D341" s="1541"/>
      <c r="E341" s="1541"/>
      <c r="F341" s="1541"/>
      <c r="G341" s="666"/>
      <c r="H341" s="666"/>
      <c r="I341" s="634"/>
      <c r="J341" s="1541"/>
      <c r="K341" s="1541"/>
      <c r="L341" s="1541"/>
      <c r="M341" s="1541"/>
      <c r="N341" s="1541"/>
      <c r="O341" s="1541"/>
      <c r="P341" s="1541"/>
      <c r="AE341" s="1541"/>
      <c r="AF341" s="637"/>
      <c r="AG341" s="637"/>
      <c r="AH341" s="637"/>
      <c r="AI341" s="637"/>
      <c r="AJ341" s="637"/>
      <c r="AK341" s="637"/>
      <c r="AL341" s="1542"/>
      <c r="AN341" s="637"/>
      <c r="AO341" s="637"/>
      <c r="AP341" s="1541"/>
      <c r="AQ341" s="1541"/>
      <c r="AR341" s="1541"/>
      <c r="AS341" s="1541"/>
      <c r="AT341" s="1541"/>
      <c r="AU341" s="1541"/>
      <c r="AV341" s="1541"/>
      <c r="AW341" s="1541"/>
      <c r="AX341" s="1541"/>
    </row>
    <row r="342" spans="1:50" s="12" customFormat="1" ht="18" x14ac:dyDescent="0.2">
      <c r="A342" s="606"/>
      <c r="B342" s="666"/>
      <c r="C342" s="1541"/>
      <c r="D342" s="1541"/>
      <c r="E342" s="1541"/>
      <c r="F342" s="1541"/>
      <c r="G342" s="666"/>
      <c r="H342" s="666"/>
      <c r="I342" s="634"/>
      <c r="J342" s="1541"/>
      <c r="K342" s="1541"/>
      <c r="L342" s="1541"/>
      <c r="M342" s="1541"/>
      <c r="N342" s="1541"/>
      <c r="O342" s="1541"/>
      <c r="P342" s="1541"/>
      <c r="AE342" s="1541"/>
      <c r="AF342" s="637"/>
      <c r="AG342" s="637"/>
      <c r="AH342" s="637"/>
      <c r="AI342" s="637"/>
      <c r="AJ342" s="637"/>
      <c r="AK342" s="637"/>
      <c r="AL342" s="1542"/>
      <c r="AN342" s="637"/>
      <c r="AO342" s="637"/>
      <c r="AP342" s="1541"/>
      <c r="AQ342" s="1541"/>
      <c r="AR342" s="1541"/>
      <c r="AS342" s="1541"/>
      <c r="AT342" s="1541"/>
      <c r="AU342" s="1541"/>
      <c r="AV342" s="1541"/>
      <c r="AW342" s="1541"/>
      <c r="AX342" s="1541"/>
    </row>
    <row r="343" spans="1:50" s="12" customFormat="1" ht="18" x14ac:dyDescent="0.2">
      <c r="A343" s="606"/>
      <c r="B343" s="666"/>
      <c r="C343" s="1541"/>
      <c r="D343" s="1541"/>
      <c r="E343" s="1541"/>
      <c r="F343" s="1541"/>
      <c r="G343" s="666"/>
      <c r="H343" s="666"/>
      <c r="I343" s="634"/>
      <c r="J343" s="1541"/>
      <c r="K343" s="1541"/>
      <c r="L343" s="1541"/>
      <c r="M343" s="1541"/>
      <c r="N343" s="1541"/>
      <c r="O343" s="1541"/>
      <c r="P343" s="1541"/>
      <c r="AE343" s="1541"/>
      <c r="AF343" s="637"/>
      <c r="AG343" s="637"/>
      <c r="AH343" s="637"/>
      <c r="AI343" s="637"/>
      <c r="AJ343" s="637"/>
      <c r="AK343" s="637"/>
      <c r="AL343" s="1542"/>
      <c r="AN343" s="637"/>
      <c r="AO343" s="637"/>
      <c r="AP343" s="1541"/>
      <c r="AQ343" s="1541"/>
      <c r="AR343" s="1541"/>
      <c r="AS343" s="1541"/>
      <c r="AT343" s="1541"/>
      <c r="AU343" s="1541"/>
      <c r="AV343" s="1541"/>
      <c r="AW343" s="1541"/>
      <c r="AX343" s="1541"/>
    </row>
    <row r="344" spans="1:50" s="12" customFormat="1" ht="18" x14ac:dyDescent="0.2">
      <c r="A344" s="606"/>
      <c r="B344" s="666"/>
      <c r="C344" s="1541"/>
      <c r="D344" s="1541"/>
      <c r="E344" s="1541"/>
      <c r="F344" s="1541"/>
      <c r="G344" s="666"/>
      <c r="H344" s="666"/>
      <c r="I344" s="634"/>
      <c r="J344" s="1541"/>
      <c r="K344" s="1541"/>
      <c r="L344" s="1541"/>
      <c r="M344" s="1541"/>
      <c r="N344" s="1541"/>
      <c r="O344" s="1541"/>
      <c r="P344" s="1541"/>
      <c r="AE344" s="1541"/>
      <c r="AF344" s="637"/>
      <c r="AG344" s="637"/>
      <c r="AH344" s="637"/>
      <c r="AI344" s="637"/>
      <c r="AJ344" s="637"/>
      <c r="AK344" s="637"/>
      <c r="AL344" s="1542"/>
      <c r="AN344" s="637"/>
      <c r="AO344" s="637"/>
      <c r="AP344" s="1541"/>
      <c r="AQ344" s="1541"/>
      <c r="AR344" s="1541"/>
      <c r="AS344" s="1541"/>
      <c r="AT344" s="1541"/>
      <c r="AU344" s="1541"/>
      <c r="AV344" s="1541"/>
      <c r="AW344" s="1541"/>
      <c r="AX344" s="1541"/>
    </row>
    <row r="345" spans="1:50" s="12" customFormat="1" ht="18" x14ac:dyDescent="0.2">
      <c r="A345" s="606"/>
      <c r="B345" s="666"/>
      <c r="C345" s="1541"/>
      <c r="D345" s="1541"/>
      <c r="E345" s="1541"/>
      <c r="F345" s="1541"/>
      <c r="G345" s="666"/>
      <c r="H345" s="666"/>
      <c r="I345" s="634"/>
      <c r="J345" s="1541"/>
      <c r="K345" s="1541"/>
      <c r="L345" s="1541"/>
      <c r="M345" s="1541"/>
      <c r="N345" s="1541"/>
      <c r="O345" s="1541"/>
      <c r="P345" s="1541"/>
      <c r="AE345" s="1541"/>
      <c r="AF345" s="637"/>
      <c r="AG345" s="637"/>
      <c r="AH345" s="637"/>
      <c r="AI345" s="637"/>
      <c r="AJ345" s="637"/>
      <c r="AK345" s="637"/>
      <c r="AL345" s="1542"/>
      <c r="AN345" s="637"/>
      <c r="AO345" s="637"/>
      <c r="AP345" s="1541"/>
      <c r="AQ345" s="1541"/>
      <c r="AR345" s="1541"/>
      <c r="AS345" s="1541"/>
      <c r="AT345" s="1541"/>
      <c r="AU345" s="1541"/>
      <c r="AV345" s="1541"/>
      <c r="AW345" s="1541"/>
      <c r="AX345" s="1541"/>
    </row>
    <row r="346" spans="1:50" s="12" customFormat="1" ht="18" x14ac:dyDescent="0.2">
      <c r="A346" s="606"/>
      <c r="B346" s="666"/>
      <c r="C346" s="1541"/>
      <c r="D346" s="1541"/>
      <c r="E346" s="1541"/>
      <c r="F346" s="1541"/>
      <c r="G346" s="666"/>
      <c r="H346" s="666"/>
      <c r="I346" s="634"/>
      <c r="J346" s="1541"/>
      <c r="K346" s="1541"/>
      <c r="L346" s="1541"/>
      <c r="M346" s="1541"/>
      <c r="N346" s="1541"/>
      <c r="O346" s="1541"/>
      <c r="P346" s="1541"/>
      <c r="AE346" s="1541"/>
      <c r="AF346" s="637"/>
      <c r="AG346" s="637"/>
      <c r="AH346" s="637"/>
      <c r="AI346" s="637"/>
      <c r="AJ346" s="637"/>
      <c r="AK346" s="637"/>
      <c r="AL346" s="1542"/>
      <c r="AN346" s="637"/>
      <c r="AO346" s="637"/>
      <c r="AP346" s="1541"/>
      <c r="AQ346" s="1541"/>
      <c r="AR346" s="1541"/>
      <c r="AS346" s="1541"/>
      <c r="AT346" s="1541"/>
      <c r="AU346" s="1541"/>
      <c r="AV346" s="1541"/>
      <c r="AW346" s="1541"/>
      <c r="AX346" s="1541"/>
    </row>
    <row r="347" spans="1:50" s="12" customFormat="1" ht="18" x14ac:dyDescent="0.2">
      <c r="A347" s="606"/>
      <c r="B347" s="666"/>
      <c r="C347" s="1541"/>
      <c r="D347" s="1541"/>
      <c r="E347" s="1541"/>
      <c r="F347" s="1541"/>
      <c r="G347" s="666"/>
      <c r="H347" s="666"/>
      <c r="I347" s="634"/>
      <c r="J347" s="1541"/>
      <c r="K347" s="1541"/>
      <c r="L347" s="1541"/>
      <c r="M347" s="1541"/>
      <c r="N347" s="1541"/>
      <c r="O347" s="1541"/>
      <c r="P347" s="1541"/>
      <c r="AE347" s="1541"/>
      <c r="AF347" s="637"/>
      <c r="AG347" s="637"/>
      <c r="AH347" s="637"/>
      <c r="AI347" s="637"/>
      <c r="AJ347" s="637"/>
      <c r="AK347" s="637"/>
      <c r="AL347" s="1542"/>
      <c r="AN347" s="637"/>
      <c r="AO347" s="637"/>
      <c r="AP347" s="1541"/>
      <c r="AQ347" s="1541"/>
      <c r="AR347" s="1541"/>
      <c r="AS347" s="1541"/>
      <c r="AT347" s="1541"/>
      <c r="AU347" s="1541"/>
      <c r="AV347" s="1541"/>
      <c r="AW347" s="1541"/>
      <c r="AX347" s="1541"/>
    </row>
    <row r="348" spans="1:50" s="12" customFormat="1" ht="18" x14ac:dyDescent="0.2">
      <c r="A348" s="606"/>
      <c r="B348" s="666"/>
      <c r="C348" s="1541"/>
      <c r="D348" s="1541"/>
      <c r="E348" s="1541"/>
      <c r="F348" s="1541"/>
      <c r="G348" s="666"/>
      <c r="H348" s="666"/>
      <c r="I348" s="634"/>
      <c r="J348" s="1541"/>
      <c r="K348" s="1541"/>
      <c r="L348" s="1541"/>
      <c r="M348" s="1541"/>
      <c r="N348" s="1541"/>
      <c r="O348" s="1541"/>
      <c r="P348" s="1541"/>
      <c r="AE348" s="1541"/>
      <c r="AF348" s="637"/>
      <c r="AG348" s="637"/>
      <c r="AH348" s="637"/>
      <c r="AI348" s="637"/>
      <c r="AJ348" s="637"/>
      <c r="AK348" s="637"/>
      <c r="AL348" s="1542"/>
      <c r="AN348" s="637"/>
      <c r="AO348" s="637"/>
      <c r="AP348" s="1541"/>
      <c r="AQ348" s="1541"/>
      <c r="AR348" s="1541"/>
      <c r="AS348" s="1541"/>
      <c r="AT348" s="1541"/>
      <c r="AU348" s="1541"/>
      <c r="AV348" s="1541"/>
      <c r="AW348" s="1541"/>
      <c r="AX348" s="1541"/>
    </row>
    <row r="349" spans="1:50" s="12" customFormat="1" ht="18" x14ac:dyDescent="0.2">
      <c r="A349" s="606"/>
      <c r="B349" s="666"/>
      <c r="C349" s="1541"/>
      <c r="D349" s="1541"/>
      <c r="E349" s="1541"/>
      <c r="F349" s="1541"/>
      <c r="G349" s="666"/>
      <c r="H349" s="666"/>
      <c r="I349" s="634"/>
      <c r="J349" s="1541"/>
      <c r="K349" s="1541"/>
      <c r="L349" s="1541"/>
      <c r="M349" s="1541"/>
      <c r="N349" s="1541"/>
      <c r="O349" s="1541"/>
      <c r="P349" s="1541"/>
      <c r="AE349" s="1541"/>
      <c r="AF349" s="637"/>
      <c r="AG349" s="637"/>
      <c r="AH349" s="637"/>
      <c r="AI349" s="637"/>
      <c r="AJ349" s="637"/>
      <c r="AK349" s="637"/>
      <c r="AL349" s="1542"/>
      <c r="AN349" s="637"/>
      <c r="AO349" s="637"/>
      <c r="AP349" s="1541"/>
      <c r="AQ349" s="1541"/>
      <c r="AR349" s="1541"/>
      <c r="AS349" s="1541"/>
      <c r="AT349" s="1541"/>
      <c r="AU349" s="1541"/>
      <c r="AV349" s="1541"/>
      <c r="AW349" s="1541"/>
      <c r="AX349" s="1541"/>
    </row>
    <row r="350" spans="1:50" s="12" customFormat="1" ht="18" x14ac:dyDescent="0.2">
      <c r="A350" s="606"/>
      <c r="B350" s="666"/>
      <c r="C350" s="1541"/>
      <c r="D350" s="1541"/>
      <c r="E350" s="1541"/>
      <c r="F350" s="1541"/>
      <c r="G350" s="666"/>
      <c r="H350" s="666"/>
      <c r="I350" s="634"/>
      <c r="J350" s="1541"/>
      <c r="K350" s="1541"/>
      <c r="L350" s="1541"/>
      <c r="M350" s="1541"/>
      <c r="N350" s="1541"/>
      <c r="O350" s="1541"/>
      <c r="P350" s="1541"/>
      <c r="AE350" s="1541"/>
      <c r="AF350" s="637"/>
      <c r="AG350" s="637"/>
      <c r="AH350" s="637"/>
      <c r="AI350" s="637"/>
      <c r="AJ350" s="637"/>
      <c r="AK350" s="637"/>
      <c r="AL350" s="1542"/>
      <c r="AN350" s="637"/>
      <c r="AO350" s="637"/>
      <c r="AP350" s="1541"/>
      <c r="AQ350" s="1541"/>
      <c r="AR350" s="1541"/>
      <c r="AS350" s="1541"/>
      <c r="AT350" s="1541"/>
      <c r="AU350" s="1541"/>
      <c r="AV350" s="1541"/>
      <c r="AW350" s="1541"/>
      <c r="AX350" s="1541"/>
    </row>
    <row r="351" spans="1:50" s="12" customFormat="1" ht="18" x14ac:dyDescent="0.2">
      <c r="A351" s="606"/>
      <c r="B351" s="666"/>
      <c r="C351" s="1541"/>
      <c r="D351" s="1541"/>
      <c r="E351" s="1541"/>
      <c r="F351" s="1541"/>
      <c r="G351" s="666"/>
      <c r="H351" s="666"/>
      <c r="I351" s="634"/>
      <c r="J351" s="1541"/>
      <c r="K351" s="1541"/>
      <c r="L351" s="1541"/>
      <c r="M351" s="1541"/>
      <c r="N351" s="1541"/>
      <c r="O351" s="1541"/>
      <c r="P351" s="1541"/>
      <c r="AE351" s="1541"/>
      <c r="AF351" s="637"/>
      <c r="AG351" s="637"/>
      <c r="AH351" s="637"/>
      <c r="AI351" s="637"/>
      <c r="AJ351" s="637"/>
      <c r="AK351" s="637"/>
      <c r="AL351" s="1542"/>
      <c r="AN351" s="637"/>
      <c r="AO351" s="637"/>
      <c r="AP351" s="1541"/>
      <c r="AQ351" s="1541"/>
      <c r="AR351" s="1541"/>
      <c r="AS351" s="1541"/>
      <c r="AT351" s="1541"/>
      <c r="AU351" s="1541"/>
      <c r="AV351" s="1541"/>
      <c r="AW351" s="1541"/>
      <c r="AX351" s="1541"/>
    </row>
    <row r="352" spans="1:50" s="12" customFormat="1" ht="18" x14ac:dyDescent="0.2">
      <c r="A352" s="606"/>
      <c r="B352" s="666"/>
      <c r="C352" s="1541"/>
      <c r="D352" s="1541"/>
      <c r="E352" s="1541"/>
      <c r="F352" s="1541"/>
      <c r="G352" s="666"/>
      <c r="H352" s="666"/>
      <c r="I352" s="634"/>
      <c r="J352" s="1541"/>
      <c r="K352" s="1541"/>
      <c r="L352" s="1541"/>
      <c r="M352" s="1541"/>
      <c r="N352" s="1541"/>
      <c r="O352" s="1541"/>
      <c r="P352" s="1541"/>
      <c r="AE352" s="1541"/>
      <c r="AF352" s="637"/>
      <c r="AG352" s="637"/>
      <c r="AH352" s="637"/>
      <c r="AI352" s="637"/>
      <c r="AJ352" s="637"/>
      <c r="AK352" s="637"/>
      <c r="AL352" s="1542"/>
      <c r="AN352" s="637"/>
      <c r="AO352" s="637"/>
      <c r="AP352" s="1541"/>
      <c r="AQ352" s="1541"/>
      <c r="AR352" s="1541"/>
      <c r="AS352" s="1541"/>
      <c r="AT352" s="1541"/>
      <c r="AU352" s="1541"/>
      <c r="AV352" s="1541"/>
      <c r="AW352" s="1541"/>
      <c r="AX352" s="1541"/>
    </row>
    <row r="353" spans="1:50" s="12" customFormat="1" ht="18" x14ac:dyDescent="0.2">
      <c r="A353" s="606"/>
      <c r="B353" s="666"/>
      <c r="C353" s="1541"/>
      <c r="D353" s="1541"/>
      <c r="E353" s="1541"/>
      <c r="F353" s="1541"/>
      <c r="G353" s="666"/>
      <c r="H353" s="666"/>
      <c r="I353" s="634"/>
      <c r="J353" s="1541"/>
      <c r="K353" s="1541"/>
      <c r="L353" s="1541"/>
      <c r="M353" s="1541"/>
      <c r="N353" s="1541"/>
      <c r="O353" s="1541"/>
      <c r="P353" s="1541"/>
      <c r="AE353" s="1541"/>
      <c r="AF353" s="637"/>
      <c r="AG353" s="637"/>
      <c r="AH353" s="637"/>
      <c r="AI353" s="637"/>
      <c r="AJ353" s="637"/>
      <c r="AK353" s="637"/>
      <c r="AL353" s="1542"/>
      <c r="AN353" s="637"/>
      <c r="AO353" s="637"/>
      <c r="AP353" s="1541"/>
      <c r="AQ353" s="1541"/>
      <c r="AR353" s="1541"/>
      <c r="AS353" s="1541"/>
      <c r="AT353" s="1541"/>
      <c r="AU353" s="1541"/>
      <c r="AV353" s="1541"/>
      <c r="AW353" s="1541"/>
      <c r="AX353" s="1541"/>
    </row>
    <row r="354" spans="1:50" s="12" customFormat="1" ht="18" x14ac:dyDescent="0.2">
      <c r="A354" s="606"/>
      <c r="B354" s="666"/>
      <c r="C354" s="1541"/>
      <c r="D354" s="1541"/>
      <c r="E354" s="1541"/>
      <c r="F354" s="1541"/>
      <c r="G354" s="666"/>
      <c r="H354" s="666"/>
      <c r="I354" s="634"/>
      <c r="J354" s="1541"/>
      <c r="K354" s="1541"/>
      <c r="L354" s="1541"/>
      <c r="M354" s="1541"/>
      <c r="N354" s="1541"/>
      <c r="O354" s="1541"/>
      <c r="P354" s="1541"/>
      <c r="AE354" s="1541"/>
      <c r="AF354" s="637"/>
      <c r="AG354" s="637"/>
      <c r="AH354" s="637"/>
      <c r="AI354" s="637"/>
      <c r="AJ354" s="637"/>
      <c r="AK354" s="637"/>
      <c r="AL354" s="1542"/>
      <c r="AN354" s="637"/>
      <c r="AO354" s="637"/>
      <c r="AP354" s="1541"/>
      <c r="AQ354" s="1541"/>
      <c r="AR354" s="1541"/>
      <c r="AS354" s="1541"/>
      <c r="AT354" s="1541"/>
      <c r="AU354" s="1541"/>
      <c r="AV354" s="1541"/>
      <c r="AW354" s="1541"/>
      <c r="AX354" s="1541"/>
    </row>
    <row r="355" spans="1:50" s="12" customFormat="1" ht="18" x14ac:dyDescent="0.2">
      <c r="A355" s="606"/>
      <c r="B355" s="666"/>
      <c r="C355" s="1541"/>
      <c r="D355" s="1541"/>
      <c r="E355" s="1541"/>
      <c r="F355" s="1541"/>
      <c r="G355" s="666"/>
      <c r="H355" s="666"/>
      <c r="I355" s="634"/>
      <c r="J355" s="1541"/>
      <c r="K355" s="1541"/>
      <c r="L355" s="1541"/>
      <c r="M355" s="1541"/>
      <c r="N355" s="1541"/>
      <c r="O355" s="1541"/>
      <c r="P355" s="1541"/>
      <c r="AE355" s="1541"/>
      <c r="AF355" s="637"/>
      <c r="AG355" s="637"/>
      <c r="AH355" s="637"/>
      <c r="AI355" s="637"/>
      <c r="AJ355" s="637"/>
      <c r="AK355" s="637"/>
      <c r="AL355" s="1542"/>
      <c r="AN355" s="637"/>
      <c r="AO355" s="637"/>
      <c r="AP355" s="1541"/>
      <c r="AQ355" s="1541"/>
      <c r="AR355" s="1541"/>
      <c r="AS355" s="1541"/>
      <c r="AT355" s="1541"/>
      <c r="AU355" s="1541"/>
      <c r="AV355" s="1541"/>
      <c r="AW355" s="1541"/>
      <c r="AX355" s="1541"/>
    </row>
    <row r="356" spans="1:50" s="12" customFormat="1" ht="18" x14ac:dyDescent="0.2">
      <c r="A356" s="606"/>
      <c r="B356" s="666"/>
      <c r="C356" s="1541"/>
      <c r="D356" s="1541"/>
      <c r="E356" s="1541"/>
      <c r="F356" s="1541"/>
      <c r="G356" s="666"/>
      <c r="H356" s="666"/>
      <c r="I356" s="634"/>
      <c r="J356" s="1541"/>
      <c r="K356" s="1541"/>
      <c r="L356" s="1541"/>
      <c r="M356" s="1541"/>
      <c r="N356" s="1541"/>
      <c r="O356" s="1541"/>
      <c r="P356" s="1541"/>
      <c r="AE356" s="1541"/>
      <c r="AF356" s="637"/>
      <c r="AG356" s="637"/>
      <c r="AH356" s="637"/>
      <c r="AI356" s="637"/>
      <c r="AJ356" s="637"/>
      <c r="AK356" s="637"/>
      <c r="AL356" s="1542"/>
      <c r="AN356" s="637"/>
      <c r="AO356" s="637"/>
      <c r="AP356" s="1541"/>
      <c r="AQ356" s="1541"/>
      <c r="AR356" s="1541"/>
      <c r="AS356" s="1541"/>
      <c r="AT356" s="1541"/>
      <c r="AU356" s="1541"/>
      <c r="AV356" s="1541"/>
      <c r="AW356" s="1541"/>
      <c r="AX356" s="1541"/>
    </row>
    <row r="357" spans="1:50" s="12" customFormat="1" ht="18" x14ac:dyDescent="0.2">
      <c r="A357" s="606"/>
      <c r="B357" s="666"/>
      <c r="C357" s="1541"/>
      <c r="D357" s="1541"/>
      <c r="E357" s="1541"/>
      <c r="F357" s="1541"/>
      <c r="G357" s="666"/>
      <c r="H357" s="666"/>
      <c r="I357" s="634"/>
      <c r="J357" s="1541"/>
      <c r="K357" s="1541"/>
      <c r="L357" s="1541"/>
      <c r="M357" s="1541"/>
      <c r="N357" s="1541"/>
      <c r="O357" s="1541"/>
      <c r="P357" s="1541"/>
      <c r="AE357" s="1541"/>
      <c r="AF357" s="637"/>
      <c r="AG357" s="637"/>
      <c r="AH357" s="637"/>
      <c r="AI357" s="637"/>
      <c r="AJ357" s="637"/>
      <c r="AK357" s="637"/>
      <c r="AL357" s="1542"/>
      <c r="AN357" s="637"/>
      <c r="AO357" s="637"/>
      <c r="AP357" s="1541"/>
      <c r="AQ357" s="1541"/>
      <c r="AR357" s="1541"/>
      <c r="AS357" s="1541"/>
      <c r="AT357" s="1541"/>
      <c r="AU357" s="1541"/>
      <c r="AV357" s="1541"/>
      <c r="AW357" s="1541"/>
      <c r="AX357" s="1541"/>
    </row>
    <row r="358" spans="1:50" s="12" customFormat="1" ht="18" x14ac:dyDescent="0.2">
      <c r="A358" s="606"/>
      <c r="B358" s="666"/>
      <c r="C358" s="1541"/>
      <c r="D358" s="1541"/>
      <c r="E358" s="1541"/>
      <c r="F358" s="1541"/>
      <c r="G358" s="666"/>
      <c r="H358" s="666"/>
      <c r="I358" s="634"/>
      <c r="J358" s="1541"/>
      <c r="K358" s="1541"/>
      <c r="L358" s="1541"/>
      <c r="M358" s="1541"/>
      <c r="N358" s="1541"/>
      <c r="O358" s="1541"/>
      <c r="P358" s="1541"/>
      <c r="AE358" s="1541"/>
      <c r="AF358" s="637"/>
      <c r="AG358" s="637"/>
      <c r="AH358" s="637"/>
      <c r="AI358" s="637"/>
      <c r="AJ358" s="637"/>
      <c r="AK358" s="637"/>
      <c r="AL358" s="1542"/>
      <c r="AN358" s="637"/>
      <c r="AO358" s="637"/>
      <c r="AP358" s="1541"/>
      <c r="AQ358" s="1541"/>
      <c r="AR358" s="1541"/>
      <c r="AS358" s="1541"/>
      <c r="AT358" s="1541"/>
      <c r="AU358" s="1541"/>
      <c r="AV358" s="1541"/>
      <c r="AW358" s="1541"/>
      <c r="AX358" s="1541"/>
    </row>
    <row r="359" spans="1:50" s="12" customFormat="1" ht="18" x14ac:dyDescent="0.2">
      <c r="A359" s="606"/>
      <c r="B359" s="666"/>
      <c r="C359" s="1541"/>
      <c r="D359" s="1541"/>
      <c r="E359" s="1541"/>
      <c r="F359" s="1541"/>
      <c r="G359" s="666"/>
      <c r="H359" s="666"/>
      <c r="I359" s="634"/>
      <c r="J359" s="1541"/>
      <c r="K359" s="1541"/>
      <c r="L359" s="1541"/>
      <c r="M359" s="1541"/>
      <c r="N359" s="1541"/>
      <c r="O359" s="1541"/>
      <c r="P359" s="1541"/>
      <c r="AE359" s="1541"/>
      <c r="AF359" s="637"/>
      <c r="AG359" s="637"/>
      <c r="AH359" s="637"/>
      <c r="AI359" s="637"/>
      <c r="AJ359" s="637"/>
      <c r="AK359" s="637"/>
      <c r="AL359" s="1542"/>
      <c r="AN359" s="637"/>
      <c r="AO359" s="637"/>
      <c r="AP359" s="1541"/>
      <c r="AQ359" s="1541"/>
      <c r="AR359" s="1541"/>
      <c r="AS359" s="1541"/>
      <c r="AT359" s="1541"/>
      <c r="AU359" s="1541"/>
      <c r="AV359" s="1541"/>
      <c r="AW359" s="1541"/>
      <c r="AX359" s="1541"/>
    </row>
    <row r="360" spans="1:50" s="12" customFormat="1" ht="18" x14ac:dyDescent="0.2">
      <c r="A360" s="606"/>
      <c r="B360" s="666"/>
      <c r="C360" s="1541"/>
      <c r="D360" s="1541"/>
      <c r="E360" s="1541"/>
      <c r="F360" s="1541"/>
      <c r="G360" s="666"/>
      <c r="H360" s="666"/>
      <c r="I360" s="634"/>
      <c r="J360" s="1541"/>
      <c r="K360" s="1541"/>
      <c r="L360" s="1541"/>
      <c r="M360" s="1541"/>
      <c r="N360" s="1541"/>
      <c r="O360" s="1541"/>
      <c r="P360" s="1541"/>
      <c r="AE360" s="1541"/>
      <c r="AF360" s="637"/>
      <c r="AG360" s="637"/>
      <c r="AH360" s="637"/>
      <c r="AI360" s="637"/>
      <c r="AJ360" s="637"/>
      <c r="AK360" s="637"/>
      <c r="AL360" s="1542"/>
      <c r="AN360" s="637"/>
      <c r="AO360" s="637"/>
      <c r="AP360" s="1541"/>
      <c r="AQ360" s="1541"/>
      <c r="AR360" s="1541"/>
      <c r="AS360" s="1541"/>
      <c r="AT360" s="1541"/>
      <c r="AU360" s="1541"/>
      <c r="AV360" s="1541"/>
      <c r="AW360" s="1541"/>
      <c r="AX360" s="1541"/>
    </row>
    <row r="361" spans="1:50" s="12" customFormat="1" ht="18" x14ac:dyDescent="0.2">
      <c r="A361" s="606"/>
      <c r="B361" s="666"/>
      <c r="C361" s="1541"/>
      <c r="D361" s="1541"/>
      <c r="E361" s="1541"/>
      <c r="F361" s="1541"/>
      <c r="G361" s="666"/>
      <c r="H361" s="666"/>
      <c r="I361" s="634"/>
      <c r="J361" s="1541"/>
      <c r="K361" s="1541"/>
      <c r="L361" s="1541"/>
      <c r="M361" s="1541"/>
      <c r="N361" s="1541"/>
      <c r="O361" s="1541"/>
      <c r="P361" s="1541"/>
      <c r="AE361" s="1541"/>
      <c r="AF361" s="637"/>
      <c r="AG361" s="637"/>
      <c r="AH361" s="637"/>
      <c r="AI361" s="637"/>
      <c r="AJ361" s="637"/>
      <c r="AK361" s="637"/>
      <c r="AL361" s="1542"/>
      <c r="AN361" s="637"/>
      <c r="AO361" s="637"/>
      <c r="AP361" s="1541"/>
      <c r="AQ361" s="1541"/>
      <c r="AR361" s="1541"/>
      <c r="AS361" s="1541"/>
      <c r="AT361" s="1541"/>
      <c r="AU361" s="1541"/>
      <c r="AV361" s="1541"/>
      <c r="AW361" s="1541"/>
      <c r="AX361" s="1541"/>
    </row>
    <row r="362" spans="1:50" ht="18" x14ac:dyDescent="0.2">
      <c r="B362" s="715"/>
      <c r="G362" s="715"/>
      <c r="H362" s="715"/>
      <c r="I362" s="716"/>
      <c r="AG362" s="637"/>
      <c r="AH362" s="637"/>
      <c r="AI362" s="637"/>
      <c r="AJ362" s="637"/>
      <c r="AK362" s="637"/>
    </row>
    <row r="363" spans="1:50" ht="18" x14ac:dyDescent="0.2">
      <c r="B363" s="715"/>
      <c r="G363" s="715"/>
      <c r="H363" s="715"/>
      <c r="I363" s="716"/>
    </row>
    <row r="364" spans="1:50" ht="18" x14ac:dyDescent="0.2">
      <c r="B364" s="715"/>
      <c r="G364" s="715"/>
      <c r="H364" s="715"/>
      <c r="I364" s="716"/>
    </row>
    <row r="365" spans="1:50" ht="18" x14ac:dyDescent="0.2">
      <c r="B365" s="715"/>
      <c r="G365" s="715"/>
      <c r="H365" s="715"/>
      <c r="I365" s="716"/>
    </row>
    <row r="366" spans="1:50" ht="18" x14ac:dyDescent="0.2">
      <c r="B366" s="715"/>
      <c r="G366" s="715"/>
      <c r="H366" s="715"/>
      <c r="I366" s="716"/>
    </row>
    <row r="367" spans="1:50" ht="18" x14ac:dyDescent="0.2">
      <c r="B367" s="715"/>
      <c r="G367" s="715"/>
      <c r="H367" s="715"/>
      <c r="I367" s="716"/>
    </row>
    <row r="368" spans="1:50" ht="18" x14ac:dyDescent="0.2">
      <c r="B368" s="715"/>
      <c r="G368" s="715"/>
      <c r="H368" s="715"/>
      <c r="I368" s="716"/>
    </row>
    <row r="369" spans="2:9" ht="18" x14ac:dyDescent="0.2">
      <c r="B369" s="715"/>
      <c r="G369" s="715"/>
      <c r="H369" s="715"/>
      <c r="I369" s="716"/>
    </row>
    <row r="370" spans="2:9" ht="18" x14ac:dyDescent="0.2">
      <c r="B370" s="715"/>
      <c r="G370" s="715"/>
      <c r="H370" s="715"/>
      <c r="I370" s="716"/>
    </row>
    <row r="371" spans="2:9" ht="18" x14ac:dyDescent="0.2">
      <c r="B371" s="715"/>
      <c r="G371" s="715"/>
      <c r="H371" s="715"/>
      <c r="I371" s="716"/>
    </row>
    <row r="372" spans="2:9" ht="18" x14ac:dyDescent="0.2">
      <c r="B372" s="715"/>
      <c r="G372" s="715"/>
      <c r="H372" s="715"/>
      <c r="I372" s="716"/>
    </row>
    <row r="373" spans="2:9" ht="18" x14ac:dyDescent="0.2">
      <c r="B373" s="715"/>
      <c r="G373" s="715"/>
      <c r="H373" s="715"/>
      <c r="I373" s="716"/>
    </row>
    <row r="374" spans="2:9" ht="18" x14ac:dyDescent="0.2">
      <c r="B374" s="715"/>
      <c r="G374" s="715"/>
      <c r="H374" s="715"/>
      <c r="I374" s="716"/>
    </row>
    <row r="375" spans="2:9" ht="18" x14ac:dyDescent="0.2">
      <c r="B375" s="715"/>
      <c r="G375" s="715"/>
      <c r="H375" s="715"/>
      <c r="I375" s="716"/>
    </row>
    <row r="376" spans="2:9" ht="18" x14ac:dyDescent="0.2">
      <c r="B376" s="715"/>
      <c r="G376" s="715"/>
      <c r="H376" s="715"/>
      <c r="I376" s="716"/>
    </row>
    <row r="377" spans="2:9" ht="18" x14ac:dyDescent="0.2">
      <c r="B377" s="715"/>
      <c r="G377" s="715"/>
      <c r="H377" s="715"/>
      <c r="I377" s="716"/>
    </row>
    <row r="378" spans="2:9" ht="18" x14ac:dyDescent="0.2">
      <c r="B378" s="715"/>
      <c r="G378" s="715"/>
      <c r="H378" s="715"/>
      <c r="I378" s="716"/>
    </row>
    <row r="379" spans="2:9" ht="18" x14ac:dyDescent="0.2">
      <c r="B379" s="715"/>
      <c r="G379" s="715"/>
      <c r="H379" s="715"/>
      <c r="I379" s="716"/>
    </row>
    <row r="380" spans="2:9" ht="18" x14ac:dyDescent="0.2">
      <c r="B380" s="715"/>
      <c r="G380" s="715"/>
      <c r="H380" s="715"/>
      <c r="I380" s="716"/>
    </row>
    <row r="381" spans="2:9" ht="18" x14ac:dyDescent="0.2">
      <c r="B381" s="715"/>
      <c r="G381" s="715"/>
      <c r="H381" s="715"/>
      <c r="I381" s="716"/>
    </row>
    <row r="382" spans="2:9" ht="18" x14ac:dyDescent="0.2">
      <c r="B382" s="715"/>
      <c r="G382" s="715"/>
      <c r="H382" s="715"/>
      <c r="I382" s="716"/>
    </row>
    <row r="383" spans="2:9" ht="18" x14ac:dyDescent="0.2">
      <c r="B383" s="715"/>
      <c r="G383" s="715"/>
      <c r="H383" s="715"/>
      <c r="I383" s="716"/>
    </row>
    <row r="384" spans="2:9" ht="18" x14ac:dyDescent="0.2">
      <c r="B384" s="715"/>
      <c r="G384" s="715"/>
      <c r="H384" s="715"/>
      <c r="I384" s="716"/>
    </row>
    <row r="385" spans="2:9" ht="18" x14ac:dyDescent="0.2">
      <c r="B385" s="715"/>
      <c r="G385" s="715"/>
      <c r="H385" s="715"/>
      <c r="I385" s="716"/>
    </row>
    <row r="386" spans="2:9" ht="18" x14ac:dyDescent="0.2">
      <c r="B386" s="715"/>
      <c r="G386" s="715"/>
      <c r="H386" s="715"/>
      <c r="I386" s="716"/>
    </row>
    <row r="387" spans="2:9" ht="18" x14ac:dyDescent="0.2">
      <c r="B387" s="715"/>
      <c r="G387" s="715"/>
      <c r="H387" s="715"/>
      <c r="I387" s="716"/>
    </row>
    <row r="388" spans="2:9" ht="18" x14ac:dyDescent="0.2">
      <c r="B388" s="715"/>
      <c r="G388" s="715"/>
      <c r="H388" s="715"/>
      <c r="I388" s="716"/>
    </row>
    <row r="389" spans="2:9" ht="18" x14ac:dyDescent="0.2">
      <c r="B389" s="715"/>
      <c r="G389" s="715"/>
      <c r="H389" s="715"/>
      <c r="I389" s="716"/>
    </row>
    <row r="390" spans="2:9" ht="18" x14ac:dyDescent="0.2">
      <c r="B390" s="715"/>
      <c r="G390" s="715"/>
      <c r="H390" s="715"/>
      <c r="I390" s="716"/>
    </row>
    <row r="391" spans="2:9" ht="18" x14ac:dyDescent="0.2">
      <c r="B391" s="715"/>
      <c r="G391" s="715"/>
      <c r="H391" s="715"/>
      <c r="I391" s="716"/>
    </row>
    <row r="392" spans="2:9" ht="18" x14ac:dyDescent="0.2">
      <c r="B392" s="715"/>
      <c r="G392" s="715"/>
      <c r="H392" s="715"/>
      <c r="I392" s="716"/>
    </row>
    <row r="393" spans="2:9" ht="18" x14ac:dyDescent="0.2">
      <c r="B393" s="715"/>
      <c r="G393" s="715"/>
      <c r="H393" s="715"/>
      <c r="I393" s="716"/>
    </row>
    <row r="394" spans="2:9" ht="18" x14ac:dyDescent="0.2">
      <c r="B394" s="715"/>
      <c r="G394" s="715"/>
      <c r="H394" s="715"/>
      <c r="I394" s="716"/>
    </row>
    <row r="395" spans="2:9" ht="18" x14ac:dyDescent="0.2">
      <c r="B395" s="715"/>
      <c r="G395" s="715"/>
      <c r="H395" s="715"/>
      <c r="I395" s="716"/>
    </row>
    <row r="396" spans="2:9" ht="18" x14ac:dyDescent="0.2">
      <c r="B396" s="715"/>
      <c r="G396" s="715"/>
      <c r="H396" s="715"/>
      <c r="I396" s="716"/>
    </row>
    <row r="397" spans="2:9" ht="18" x14ac:dyDescent="0.2">
      <c r="B397" s="715"/>
      <c r="G397" s="715"/>
      <c r="H397" s="715"/>
      <c r="I397" s="716"/>
    </row>
    <row r="398" spans="2:9" ht="18" x14ac:dyDescent="0.2">
      <c r="B398" s="715"/>
      <c r="G398" s="715"/>
      <c r="H398" s="715"/>
      <c r="I398" s="716"/>
    </row>
    <row r="399" spans="2:9" ht="18" x14ac:dyDescent="0.2">
      <c r="B399" s="715"/>
      <c r="G399" s="715"/>
      <c r="H399" s="715"/>
      <c r="I399" s="716"/>
    </row>
    <row r="400" spans="2:9" ht="18" x14ac:dyDescent="0.2">
      <c r="B400" s="715"/>
      <c r="G400" s="715"/>
      <c r="H400" s="715"/>
      <c r="I400" s="716"/>
    </row>
    <row r="401" spans="2:9" ht="18" x14ac:dyDescent="0.2">
      <c r="B401" s="715"/>
      <c r="G401" s="715"/>
      <c r="H401" s="715"/>
      <c r="I401" s="716"/>
    </row>
    <row r="402" spans="2:9" ht="18" x14ac:dyDescent="0.2">
      <c r="B402" s="715"/>
      <c r="G402" s="715"/>
      <c r="H402" s="715"/>
      <c r="I402" s="716"/>
    </row>
    <row r="403" spans="2:9" ht="18" x14ac:dyDescent="0.2">
      <c r="B403" s="715"/>
      <c r="G403" s="715"/>
      <c r="H403" s="715"/>
      <c r="I403" s="716"/>
    </row>
    <row r="404" spans="2:9" ht="18" x14ac:dyDescent="0.2">
      <c r="B404" s="715"/>
      <c r="G404" s="715"/>
      <c r="H404" s="715"/>
      <c r="I404" s="716"/>
    </row>
    <row r="405" spans="2:9" ht="18" x14ac:dyDescent="0.2">
      <c r="B405" s="715"/>
      <c r="G405" s="715"/>
      <c r="H405" s="715"/>
      <c r="I405" s="716"/>
    </row>
    <row r="406" spans="2:9" ht="18" x14ac:dyDescent="0.2">
      <c r="B406" s="715"/>
      <c r="G406" s="715"/>
      <c r="H406" s="715"/>
      <c r="I406" s="716"/>
    </row>
    <row r="407" spans="2:9" ht="18" x14ac:dyDescent="0.2">
      <c r="B407" s="715"/>
      <c r="G407" s="715"/>
      <c r="H407" s="715"/>
      <c r="I407" s="716"/>
    </row>
    <row r="408" spans="2:9" ht="18" x14ac:dyDescent="0.2">
      <c r="B408" s="715"/>
      <c r="G408" s="715"/>
      <c r="H408" s="715"/>
      <c r="I408" s="716"/>
    </row>
    <row r="409" spans="2:9" ht="18" x14ac:dyDescent="0.2">
      <c r="B409" s="715"/>
      <c r="G409" s="715"/>
      <c r="H409" s="715"/>
      <c r="I409" s="716"/>
    </row>
    <row r="410" spans="2:9" ht="18" x14ac:dyDescent="0.2">
      <c r="B410" s="715"/>
      <c r="G410" s="715"/>
      <c r="H410" s="715"/>
      <c r="I410" s="716"/>
    </row>
    <row r="411" spans="2:9" ht="18" x14ac:dyDescent="0.2">
      <c r="B411" s="715"/>
      <c r="G411" s="715"/>
      <c r="H411" s="715"/>
      <c r="I411" s="716"/>
    </row>
    <row r="412" spans="2:9" ht="18" x14ac:dyDescent="0.2">
      <c r="B412" s="715"/>
      <c r="G412" s="715"/>
      <c r="H412" s="715"/>
      <c r="I412" s="716"/>
    </row>
    <row r="413" spans="2:9" ht="18" x14ac:dyDescent="0.2">
      <c r="B413" s="715"/>
      <c r="G413" s="715"/>
      <c r="H413" s="715"/>
      <c r="I413" s="716"/>
    </row>
    <row r="414" spans="2:9" ht="18" x14ac:dyDescent="0.2">
      <c r="B414" s="715"/>
      <c r="G414" s="715"/>
      <c r="H414" s="715"/>
      <c r="I414" s="716"/>
    </row>
    <row r="415" spans="2:9" ht="18" x14ac:dyDescent="0.2">
      <c r="B415" s="715"/>
      <c r="G415" s="715"/>
      <c r="H415" s="715"/>
      <c r="I415" s="716"/>
    </row>
    <row r="416" spans="2:9" ht="18" x14ac:dyDescent="0.2">
      <c r="B416" s="715"/>
      <c r="G416" s="715"/>
      <c r="H416" s="715"/>
      <c r="I416" s="716"/>
    </row>
    <row r="417" spans="2:9" ht="18" x14ac:dyDescent="0.2">
      <c r="B417" s="715"/>
      <c r="G417" s="715"/>
      <c r="H417" s="715"/>
      <c r="I417" s="716"/>
    </row>
    <row r="418" spans="2:9" ht="18" x14ac:dyDescent="0.2">
      <c r="B418" s="715"/>
      <c r="G418" s="715"/>
      <c r="H418" s="715"/>
      <c r="I418" s="716"/>
    </row>
    <row r="419" spans="2:9" ht="18" x14ac:dyDescent="0.2">
      <c r="B419" s="715"/>
      <c r="G419" s="715"/>
      <c r="H419" s="715"/>
      <c r="I419" s="716"/>
    </row>
    <row r="420" spans="2:9" ht="18" x14ac:dyDescent="0.2">
      <c r="B420" s="715"/>
      <c r="G420" s="715"/>
      <c r="H420" s="715"/>
      <c r="I420" s="716"/>
    </row>
    <row r="421" spans="2:9" ht="18" x14ac:dyDescent="0.2">
      <c r="I421" s="716"/>
    </row>
    <row r="422" spans="2:9" ht="18" x14ac:dyDescent="0.2">
      <c r="I422" s="716"/>
    </row>
    <row r="423" spans="2:9" ht="18" x14ac:dyDescent="0.2">
      <c r="I423" s="716"/>
    </row>
    <row r="424" spans="2:9" ht="18" x14ac:dyDescent="0.2">
      <c r="I424" s="716"/>
    </row>
    <row r="425" spans="2:9" ht="18" x14ac:dyDescent="0.2">
      <c r="I425" s="716"/>
    </row>
    <row r="426" spans="2:9" ht="18" x14ac:dyDescent="0.2">
      <c r="I426" s="716"/>
    </row>
    <row r="427" spans="2:9" ht="18" x14ac:dyDescent="0.2">
      <c r="I427" s="716"/>
    </row>
    <row r="428" spans="2:9" ht="18" x14ac:dyDescent="0.2">
      <c r="I428" s="716"/>
    </row>
    <row r="429" spans="2:9" ht="18" x14ac:dyDescent="0.2">
      <c r="I429" s="716"/>
    </row>
    <row r="430" spans="2:9" ht="18" x14ac:dyDescent="0.2">
      <c r="I430" s="716"/>
    </row>
    <row r="431" spans="2:9" ht="18" x14ac:dyDescent="0.2">
      <c r="I431" s="716"/>
    </row>
    <row r="432" spans="2:9" ht="18" x14ac:dyDescent="0.2">
      <c r="I432" s="716"/>
    </row>
    <row r="433" spans="9:9" ht="18" x14ac:dyDescent="0.2">
      <c r="I433" s="716"/>
    </row>
    <row r="434" spans="9:9" ht="18" x14ac:dyDescent="0.2">
      <c r="I434" s="716"/>
    </row>
    <row r="435" spans="9:9" ht="18" x14ac:dyDescent="0.2">
      <c r="I435" s="716"/>
    </row>
    <row r="436" spans="9:9" ht="18" x14ac:dyDescent="0.2">
      <c r="I436" s="716"/>
    </row>
    <row r="437" spans="9:9" ht="18" x14ac:dyDescent="0.2">
      <c r="I437" s="716"/>
    </row>
    <row r="438" spans="9:9" ht="18" x14ac:dyDescent="0.2">
      <c r="I438" s="716"/>
    </row>
    <row r="439" spans="9:9" ht="18" x14ac:dyDescent="0.2">
      <c r="I439" s="716"/>
    </row>
    <row r="440" spans="9:9" ht="18" x14ac:dyDescent="0.2">
      <c r="I440" s="716"/>
    </row>
    <row r="441" spans="9:9" ht="18" x14ac:dyDescent="0.2">
      <c r="I441" s="716"/>
    </row>
    <row r="442" spans="9:9" ht="18" x14ac:dyDescent="0.2">
      <c r="I442" s="716"/>
    </row>
    <row r="443" spans="9:9" ht="18" x14ac:dyDescent="0.2">
      <c r="I443" s="716"/>
    </row>
    <row r="444" spans="9:9" ht="18" x14ac:dyDescent="0.2">
      <c r="I444" s="716"/>
    </row>
    <row r="445" spans="9:9" ht="18" x14ac:dyDescent="0.2">
      <c r="I445" s="716"/>
    </row>
    <row r="446" spans="9:9" ht="18" x14ac:dyDescent="0.2">
      <c r="I446" s="716"/>
    </row>
    <row r="447" spans="9:9" ht="18" x14ac:dyDescent="0.2">
      <c r="I447" s="716"/>
    </row>
    <row r="448" spans="9:9" ht="18" x14ac:dyDescent="0.2">
      <c r="I448" s="716"/>
    </row>
    <row r="449" spans="9:9" ht="18" x14ac:dyDescent="0.2">
      <c r="I449" s="716"/>
    </row>
    <row r="450" spans="9:9" ht="18" x14ac:dyDescent="0.2">
      <c r="I450" s="716"/>
    </row>
    <row r="451" spans="9:9" ht="18" x14ac:dyDescent="0.2">
      <c r="I451" s="716"/>
    </row>
    <row r="452" spans="9:9" ht="18" x14ac:dyDescent="0.2">
      <c r="I452" s="716"/>
    </row>
    <row r="453" spans="9:9" ht="18" x14ac:dyDescent="0.2">
      <c r="I453" s="716"/>
    </row>
    <row r="454" spans="9:9" ht="18" x14ac:dyDescent="0.2">
      <c r="I454" s="716"/>
    </row>
    <row r="455" spans="9:9" ht="18" x14ac:dyDescent="0.2">
      <c r="I455" s="716"/>
    </row>
    <row r="456" spans="9:9" ht="18" x14ac:dyDescent="0.2">
      <c r="I456" s="716"/>
    </row>
    <row r="457" spans="9:9" ht="18" x14ac:dyDescent="0.2">
      <c r="I457" s="716"/>
    </row>
    <row r="458" spans="9:9" ht="18" x14ac:dyDescent="0.2">
      <c r="I458" s="716"/>
    </row>
    <row r="459" spans="9:9" ht="18" x14ac:dyDescent="0.2">
      <c r="I459" s="716"/>
    </row>
    <row r="460" spans="9:9" ht="18" x14ac:dyDescent="0.2">
      <c r="I460" s="716"/>
    </row>
    <row r="461" spans="9:9" ht="18" x14ac:dyDescent="0.2">
      <c r="I461" s="716"/>
    </row>
    <row r="462" spans="9:9" ht="18" x14ac:dyDescent="0.2">
      <c r="I462" s="716"/>
    </row>
    <row r="463" spans="9:9" ht="18" x14ac:dyDescent="0.2">
      <c r="I463" s="716"/>
    </row>
    <row r="464" spans="9:9" ht="18" x14ac:dyDescent="0.2">
      <c r="I464" s="716"/>
    </row>
    <row r="465" spans="9:9" ht="18" x14ac:dyDescent="0.2">
      <c r="I465" s="716"/>
    </row>
    <row r="466" spans="9:9" ht="18" x14ac:dyDescent="0.2">
      <c r="I466" s="716"/>
    </row>
    <row r="467" spans="9:9" ht="18" x14ac:dyDescent="0.2">
      <c r="I467" s="716"/>
    </row>
    <row r="468" spans="9:9" ht="18" x14ac:dyDescent="0.2">
      <c r="I468" s="716"/>
    </row>
    <row r="469" spans="9:9" ht="18" x14ac:dyDescent="0.2">
      <c r="I469" s="716"/>
    </row>
    <row r="470" spans="9:9" ht="18" x14ac:dyDescent="0.2">
      <c r="I470" s="716"/>
    </row>
    <row r="471" spans="9:9" ht="18" x14ac:dyDescent="0.2">
      <c r="I471" s="716"/>
    </row>
    <row r="472" spans="9:9" ht="18" x14ac:dyDescent="0.2">
      <c r="I472" s="716"/>
    </row>
    <row r="473" spans="9:9" ht="18" x14ac:dyDescent="0.2">
      <c r="I473" s="716"/>
    </row>
    <row r="474" spans="9:9" ht="18" x14ac:dyDescent="0.2">
      <c r="I474" s="716"/>
    </row>
    <row r="475" spans="9:9" ht="18" x14ac:dyDescent="0.2">
      <c r="I475" s="716"/>
    </row>
    <row r="476" spans="9:9" ht="18" x14ac:dyDescent="0.2">
      <c r="I476" s="716"/>
    </row>
    <row r="477" spans="9:9" ht="18" x14ac:dyDescent="0.2">
      <c r="I477" s="716"/>
    </row>
    <row r="478" spans="9:9" ht="18" x14ac:dyDescent="0.2">
      <c r="I478" s="716"/>
    </row>
    <row r="479" spans="9:9" ht="18" x14ac:dyDescent="0.2">
      <c r="I479" s="716"/>
    </row>
    <row r="480" spans="9:9" ht="18" x14ac:dyDescent="0.2">
      <c r="I480" s="716"/>
    </row>
    <row r="481" spans="9:9" ht="18" x14ac:dyDescent="0.2">
      <c r="I481" s="716"/>
    </row>
    <row r="482" spans="9:9" ht="18" x14ac:dyDescent="0.2">
      <c r="I482" s="716"/>
    </row>
    <row r="483" spans="9:9" ht="18" x14ac:dyDescent="0.2">
      <c r="I483" s="716"/>
    </row>
    <row r="484" spans="9:9" ht="18" x14ac:dyDescent="0.2">
      <c r="I484" s="716"/>
    </row>
    <row r="485" spans="9:9" ht="18" x14ac:dyDescent="0.2">
      <c r="I485" s="716"/>
    </row>
    <row r="486" spans="9:9" ht="18" x14ac:dyDescent="0.2">
      <c r="I486" s="716"/>
    </row>
    <row r="487" spans="9:9" ht="18" x14ac:dyDescent="0.2">
      <c r="I487" s="716"/>
    </row>
    <row r="488" spans="9:9" ht="18" x14ac:dyDescent="0.2">
      <c r="I488" s="716"/>
    </row>
    <row r="489" spans="9:9" ht="18" x14ac:dyDescent="0.2">
      <c r="I489" s="716"/>
    </row>
    <row r="490" spans="9:9" ht="18" x14ac:dyDescent="0.2">
      <c r="I490" s="716"/>
    </row>
    <row r="491" spans="9:9" ht="18" x14ac:dyDescent="0.2">
      <c r="I491" s="716"/>
    </row>
    <row r="492" spans="9:9" ht="18" x14ac:dyDescent="0.2">
      <c r="I492" s="716"/>
    </row>
    <row r="493" spans="9:9" ht="18" x14ac:dyDescent="0.2">
      <c r="I493" s="716"/>
    </row>
    <row r="494" spans="9:9" ht="18" x14ac:dyDescent="0.2">
      <c r="I494" s="716"/>
    </row>
    <row r="495" spans="9:9" ht="18" x14ac:dyDescent="0.2">
      <c r="I495" s="716"/>
    </row>
    <row r="496" spans="9:9" ht="18" x14ac:dyDescent="0.2">
      <c r="I496" s="716"/>
    </row>
    <row r="497" spans="9:9" ht="18" x14ac:dyDescent="0.2">
      <c r="I497" s="716"/>
    </row>
    <row r="498" spans="9:9" ht="18" x14ac:dyDescent="0.2">
      <c r="I498" s="716"/>
    </row>
    <row r="499" spans="9:9" ht="18" x14ac:dyDescent="0.2">
      <c r="I499" s="716"/>
    </row>
    <row r="500" spans="9:9" ht="18" x14ac:dyDescent="0.2">
      <c r="I500" s="716"/>
    </row>
    <row r="501" spans="9:9" ht="18" x14ac:dyDescent="0.2">
      <c r="I501" s="716"/>
    </row>
    <row r="502" spans="9:9" ht="18" x14ac:dyDescent="0.2">
      <c r="I502" s="716"/>
    </row>
    <row r="503" spans="9:9" ht="18" x14ac:dyDescent="0.2">
      <c r="I503" s="716"/>
    </row>
    <row r="504" spans="9:9" ht="18" x14ac:dyDescent="0.2">
      <c r="I504" s="716"/>
    </row>
    <row r="505" spans="9:9" ht="18" x14ac:dyDescent="0.2">
      <c r="I505" s="716"/>
    </row>
    <row r="506" spans="9:9" ht="18" x14ac:dyDescent="0.2">
      <c r="I506" s="716"/>
    </row>
    <row r="507" spans="9:9" ht="18" x14ac:dyDescent="0.2">
      <c r="I507" s="716"/>
    </row>
    <row r="508" spans="9:9" ht="18" x14ac:dyDescent="0.2">
      <c r="I508" s="716"/>
    </row>
    <row r="509" spans="9:9" ht="18" x14ac:dyDescent="0.2">
      <c r="I509" s="716"/>
    </row>
    <row r="510" spans="9:9" ht="18" x14ac:dyDescent="0.2">
      <c r="I510" s="716"/>
    </row>
    <row r="511" spans="9:9" ht="18" x14ac:dyDescent="0.2">
      <c r="I511" s="716"/>
    </row>
    <row r="512" spans="9:9" ht="18" x14ac:dyDescent="0.2">
      <c r="I512" s="716"/>
    </row>
    <row r="513" spans="9:9" ht="18" x14ac:dyDescent="0.2">
      <c r="I513" s="716"/>
    </row>
    <row r="514" spans="9:9" ht="18" x14ac:dyDescent="0.2">
      <c r="I514" s="716"/>
    </row>
    <row r="515" spans="9:9" ht="18" x14ac:dyDescent="0.2">
      <c r="I515" s="716"/>
    </row>
    <row r="516" spans="9:9" ht="18" x14ac:dyDescent="0.2">
      <c r="I516" s="716"/>
    </row>
    <row r="517" spans="9:9" ht="18" x14ac:dyDescent="0.2">
      <c r="I517" s="716"/>
    </row>
    <row r="518" spans="9:9" ht="18" x14ac:dyDescent="0.2">
      <c r="I518" s="716"/>
    </row>
    <row r="519" spans="9:9" ht="18" x14ac:dyDescent="0.2">
      <c r="I519" s="716"/>
    </row>
    <row r="520" spans="9:9" ht="18" x14ac:dyDescent="0.2">
      <c r="I520" s="716"/>
    </row>
    <row r="521" spans="9:9" ht="18" x14ac:dyDescent="0.2">
      <c r="I521" s="716"/>
    </row>
    <row r="522" spans="9:9" ht="18" x14ac:dyDescent="0.2">
      <c r="I522" s="716"/>
    </row>
    <row r="523" spans="9:9" ht="18" x14ac:dyDescent="0.2">
      <c r="I523" s="716"/>
    </row>
    <row r="524" spans="9:9" ht="18" x14ac:dyDescent="0.2">
      <c r="I524" s="716"/>
    </row>
    <row r="525" spans="9:9" ht="18" x14ac:dyDescent="0.2">
      <c r="I525" s="716"/>
    </row>
    <row r="526" spans="9:9" ht="18" x14ac:dyDescent="0.2">
      <c r="I526" s="716"/>
    </row>
    <row r="527" spans="9:9" ht="18" x14ac:dyDescent="0.2">
      <c r="I527" s="716"/>
    </row>
    <row r="528" spans="9:9" ht="18" x14ac:dyDescent="0.2">
      <c r="I528" s="716"/>
    </row>
    <row r="529" spans="9:9" ht="18" x14ac:dyDescent="0.2">
      <c r="I529" s="716"/>
    </row>
    <row r="530" spans="9:9" ht="18" x14ac:dyDescent="0.2">
      <c r="I530" s="716"/>
    </row>
    <row r="531" spans="9:9" ht="18" x14ac:dyDescent="0.2">
      <c r="I531" s="716"/>
    </row>
    <row r="532" spans="9:9" ht="18" x14ac:dyDescent="0.2">
      <c r="I532" s="716"/>
    </row>
    <row r="533" spans="9:9" ht="18" x14ac:dyDescent="0.2">
      <c r="I533" s="716"/>
    </row>
    <row r="534" spans="9:9" ht="18" x14ac:dyDescent="0.2">
      <c r="I534" s="716"/>
    </row>
    <row r="535" spans="9:9" ht="18" x14ac:dyDescent="0.2">
      <c r="I535" s="716"/>
    </row>
    <row r="536" spans="9:9" ht="18" x14ac:dyDescent="0.2">
      <c r="I536" s="716"/>
    </row>
    <row r="537" spans="9:9" ht="18" x14ac:dyDescent="0.2">
      <c r="I537" s="716"/>
    </row>
    <row r="538" spans="9:9" ht="18" x14ac:dyDescent="0.2">
      <c r="I538" s="716"/>
    </row>
    <row r="539" spans="9:9" ht="18" x14ac:dyDescent="0.2">
      <c r="I539" s="716"/>
    </row>
    <row r="540" spans="9:9" ht="18" x14ac:dyDescent="0.2">
      <c r="I540" s="716"/>
    </row>
    <row r="541" spans="9:9" ht="18" x14ac:dyDescent="0.2">
      <c r="I541" s="716"/>
    </row>
    <row r="542" spans="9:9" ht="18" x14ac:dyDescent="0.2">
      <c r="I542" s="716"/>
    </row>
    <row r="543" spans="9:9" ht="18" x14ac:dyDescent="0.2">
      <c r="I543" s="716"/>
    </row>
    <row r="544" spans="9:9" ht="18" x14ac:dyDescent="0.2">
      <c r="I544" s="716"/>
    </row>
    <row r="545" spans="9:9" ht="18" x14ac:dyDescent="0.2">
      <c r="I545" s="716"/>
    </row>
    <row r="546" spans="9:9" ht="18" x14ac:dyDescent="0.2">
      <c r="I546" s="716"/>
    </row>
    <row r="547" spans="9:9" ht="18" x14ac:dyDescent="0.2">
      <c r="I547" s="716"/>
    </row>
    <row r="548" spans="9:9" ht="18" x14ac:dyDescent="0.2">
      <c r="I548" s="716"/>
    </row>
    <row r="549" spans="9:9" ht="18" x14ac:dyDescent="0.2">
      <c r="I549" s="716"/>
    </row>
    <row r="550" spans="9:9" ht="18" x14ac:dyDescent="0.2">
      <c r="I550" s="716"/>
    </row>
    <row r="551" spans="9:9" ht="18" x14ac:dyDescent="0.2">
      <c r="I551" s="716"/>
    </row>
    <row r="552" spans="9:9" ht="18" x14ac:dyDescent="0.2">
      <c r="I552" s="716"/>
    </row>
    <row r="553" spans="9:9" ht="18" x14ac:dyDescent="0.2">
      <c r="I553" s="716"/>
    </row>
    <row r="554" spans="9:9" ht="18" x14ac:dyDescent="0.2">
      <c r="I554" s="716"/>
    </row>
    <row r="555" spans="9:9" ht="18" x14ac:dyDescent="0.2">
      <c r="I555" s="716"/>
    </row>
    <row r="556" spans="9:9" ht="18" x14ac:dyDescent="0.2">
      <c r="I556" s="716"/>
    </row>
    <row r="557" spans="9:9" ht="18" x14ac:dyDescent="0.2">
      <c r="I557" s="716"/>
    </row>
    <row r="558" spans="9:9" ht="18" x14ac:dyDescent="0.2">
      <c r="I558" s="716"/>
    </row>
    <row r="559" spans="9:9" ht="18" x14ac:dyDescent="0.2">
      <c r="I559" s="716"/>
    </row>
    <row r="560" spans="9:9" ht="18" x14ac:dyDescent="0.2">
      <c r="I560" s="716"/>
    </row>
    <row r="561" spans="9:9" ht="18" x14ac:dyDescent="0.2">
      <c r="I561" s="716"/>
    </row>
    <row r="562" spans="9:9" ht="18" x14ac:dyDescent="0.2">
      <c r="I562" s="716"/>
    </row>
    <row r="563" spans="9:9" ht="18" x14ac:dyDescent="0.2">
      <c r="I563" s="716"/>
    </row>
    <row r="564" spans="9:9" ht="18" x14ac:dyDescent="0.2">
      <c r="I564" s="716"/>
    </row>
    <row r="565" spans="9:9" ht="18" x14ac:dyDescent="0.2">
      <c r="I565" s="716"/>
    </row>
    <row r="566" spans="9:9" ht="18" x14ac:dyDescent="0.2">
      <c r="I566" s="716"/>
    </row>
    <row r="567" spans="9:9" ht="18" x14ac:dyDescent="0.2">
      <c r="I567" s="716"/>
    </row>
    <row r="568" spans="9:9" ht="18" x14ac:dyDescent="0.2">
      <c r="I568" s="716"/>
    </row>
    <row r="569" spans="9:9" ht="18" x14ac:dyDescent="0.2">
      <c r="I569" s="716"/>
    </row>
    <row r="570" spans="9:9" ht="18" x14ac:dyDescent="0.2">
      <c r="I570" s="716"/>
    </row>
    <row r="571" spans="9:9" ht="18" x14ac:dyDescent="0.2">
      <c r="I571" s="716"/>
    </row>
    <row r="572" spans="9:9" ht="18" x14ac:dyDescent="0.2">
      <c r="I572" s="716"/>
    </row>
    <row r="573" spans="9:9" ht="18" x14ac:dyDescent="0.2">
      <c r="I573" s="716"/>
    </row>
    <row r="574" spans="9:9" ht="18" x14ac:dyDescent="0.2">
      <c r="I574" s="716"/>
    </row>
    <row r="575" spans="9:9" ht="18" x14ac:dyDescent="0.2">
      <c r="I575" s="716"/>
    </row>
    <row r="576" spans="9:9" ht="18" x14ac:dyDescent="0.2">
      <c r="I576" s="716"/>
    </row>
    <row r="577" spans="9:9" ht="18" x14ac:dyDescent="0.2">
      <c r="I577" s="716"/>
    </row>
    <row r="578" spans="9:9" ht="18" x14ac:dyDescent="0.2">
      <c r="I578" s="716"/>
    </row>
    <row r="579" spans="9:9" ht="18" x14ac:dyDescent="0.2">
      <c r="I579" s="716"/>
    </row>
    <row r="580" spans="9:9" ht="18" x14ac:dyDescent="0.2">
      <c r="I580" s="716"/>
    </row>
    <row r="581" spans="9:9" ht="18" x14ac:dyDescent="0.2">
      <c r="I581" s="716"/>
    </row>
    <row r="582" spans="9:9" ht="18" x14ac:dyDescent="0.2">
      <c r="I582" s="716"/>
    </row>
    <row r="583" spans="9:9" ht="18" x14ac:dyDescent="0.2">
      <c r="I583" s="716"/>
    </row>
    <row r="584" spans="9:9" ht="18" x14ac:dyDescent="0.2">
      <c r="I584" s="716"/>
    </row>
    <row r="585" spans="9:9" ht="18" x14ac:dyDescent="0.2">
      <c r="I585" s="716"/>
    </row>
    <row r="586" spans="9:9" ht="18" x14ac:dyDescent="0.2">
      <c r="I586" s="716"/>
    </row>
    <row r="587" spans="9:9" ht="18" x14ac:dyDescent="0.2">
      <c r="I587" s="716"/>
    </row>
    <row r="588" spans="9:9" ht="18" x14ac:dyDescent="0.2">
      <c r="I588" s="716"/>
    </row>
    <row r="589" spans="9:9" ht="18" x14ac:dyDescent="0.2">
      <c r="I589" s="716"/>
    </row>
    <row r="590" spans="9:9" ht="18" x14ac:dyDescent="0.2">
      <c r="I590" s="716"/>
    </row>
    <row r="591" spans="9:9" ht="18" x14ac:dyDescent="0.2">
      <c r="I591" s="716"/>
    </row>
    <row r="592" spans="9:9" ht="18" x14ac:dyDescent="0.2">
      <c r="I592" s="716"/>
    </row>
    <row r="593" spans="9:9" ht="18" x14ac:dyDescent="0.2">
      <c r="I593" s="716"/>
    </row>
    <row r="594" spans="9:9" ht="18" x14ac:dyDescent="0.2">
      <c r="I594" s="716"/>
    </row>
    <row r="595" spans="9:9" ht="18" x14ac:dyDescent="0.2">
      <c r="I595" s="716"/>
    </row>
    <row r="596" spans="9:9" ht="18" x14ac:dyDescent="0.2">
      <c r="I596" s="716"/>
    </row>
    <row r="597" spans="9:9" ht="18" x14ac:dyDescent="0.2">
      <c r="I597" s="716"/>
    </row>
    <row r="598" spans="9:9" ht="18" x14ac:dyDescent="0.2">
      <c r="I598" s="716"/>
    </row>
    <row r="599" spans="9:9" ht="18" x14ac:dyDescent="0.2">
      <c r="I599" s="716"/>
    </row>
    <row r="600" spans="9:9" ht="18" x14ac:dyDescent="0.2">
      <c r="I600" s="716"/>
    </row>
    <row r="601" spans="9:9" ht="18" x14ac:dyDescent="0.2">
      <c r="I601" s="716"/>
    </row>
    <row r="602" spans="9:9" ht="18" x14ac:dyDescent="0.2">
      <c r="I602" s="716"/>
    </row>
    <row r="603" spans="9:9" ht="18" x14ac:dyDescent="0.2">
      <c r="I603" s="716"/>
    </row>
    <row r="604" spans="9:9" ht="18" x14ac:dyDescent="0.2">
      <c r="I604" s="716"/>
    </row>
    <row r="605" spans="9:9" ht="18" x14ac:dyDescent="0.2">
      <c r="I605" s="716"/>
    </row>
    <row r="606" spans="9:9" ht="18" x14ac:dyDescent="0.2">
      <c r="I606" s="716"/>
    </row>
    <row r="607" spans="9:9" ht="18" x14ac:dyDescent="0.2">
      <c r="I607" s="716"/>
    </row>
    <row r="608" spans="9:9" ht="18" x14ac:dyDescent="0.2">
      <c r="I608" s="716"/>
    </row>
    <row r="609" spans="9:9" ht="18" x14ac:dyDescent="0.2">
      <c r="I609" s="716"/>
    </row>
    <row r="610" spans="9:9" ht="18" x14ac:dyDescent="0.2">
      <c r="I610" s="716"/>
    </row>
    <row r="611" spans="9:9" ht="18" x14ac:dyDescent="0.2">
      <c r="I611" s="716"/>
    </row>
    <row r="612" spans="9:9" ht="18" x14ac:dyDescent="0.2">
      <c r="I612" s="716"/>
    </row>
    <row r="613" spans="9:9" ht="18" x14ac:dyDescent="0.2">
      <c r="I613" s="716"/>
    </row>
    <row r="614" spans="9:9" ht="18" x14ac:dyDescent="0.2">
      <c r="I614" s="716"/>
    </row>
    <row r="615" spans="9:9" ht="18" x14ac:dyDescent="0.2">
      <c r="I615" s="716"/>
    </row>
    <row r="616" spans="9:9" ht="18" x14ac:dyDescent="0.2">
      <c r="I616" s="716"/>
    </row>
    <row r="617" spans="9:9" ht="18" x14ac:dyDescent="0.2">
      <c r="I617" s="716"/>
    </row>
    <row r="618" spans="9:9" ht="18" x14ac:dyDescent="0.2">
      <c r="I618" s="716"/>
    </row>
    <row r="619" spans="9:9" ht="18" x14ac:dyDescent="0.2">
      <c r="I619" s="716"/>
    </row>
    <row r="620" spans="9:9" ht="18" x14ac:dyDescent="0.2">
      <c r="I620" s="716"/>
    </row>
    <row r="621" spans="9:9" ht="18" x14ac:dyDescent="0.2">
      <c r="I621" s="716"/>
    </row>
    <row r="622" spans="9:9" x14ac:dyDescent="0.2">
      <c r="I622" s="717"/>
    </row>
    <row r="623" spans="9:9" x14ac:dyDescent="0.2">
      <c r="I623" s="717"/>
    </row>
    <row r="624" spans="9:9" x14ac:dyDescent="0.2">
      <c r="I624" s="717"/>
    </row>
    <row r="625" spans="9:9" x14ac:dyDescent="0.2">
      <c r="I625" s="717"/>
    </row>
    <row r="626" spans="9:9" x14ac:dyDescent="0.2">
      <c r="I626" s="717"/>
    </row>
    <row r="627" spans="9:9" x14ac:dyDescent="0.2">
      <c r="I627" s="717"/>
    </row>
    <row r="628" spans="9:9" x14ac:dyDescent="0.2">
      <c r="I628" s="717"/>
    </row>
    <row r="629" spans="9:9" x14ac:dyDescent="0.2">
      <c r="I629" s="717"/>
    </row>
    <row r="630" spans="9:9" x14ac:dyDescent="0.2">
      <c r="I630" s="717"/>
    </row>
    <row r="631" spans="9:9" x14ac:dyDescent="0.2">
      <c r="I631" s="717"/>
    </row>
    <row r="632" spans="9:9" x14ac:dyDescent="0.2">
      <c r="I632" s="717"/>
    </row>
    <row r="633" spans="9:9" x14ac:dyDescent="0.2">
      <c r="I633" s="717"/>
    </row>
    <row r="634" spans="9:9" x14ac:dyDescent="0.2">
      <c r="I634" s="717"/>
    </row>
    <row r="635" spans="9:9" x14ac:dyDescent="0.2">
      <c r="I635" s="717"/>
    </row>
    <row r="636" spans="9:9" x14ac:dyDescent="0.2">
      <c r="I636" s="717"/>
    </row>
    <row r="637" spans="9:9" x14ac:dyDescent="0.2">
      <c r="I637" s="717"/>
    </row>
    <row r="638" spans="9:9" x14ac:dyDescent="0.2">
      <c r="I638" s="717"/>
    </row>
    <row r="639" spans="9:9" x14ac:dyDescent="0.2">
      <c r="I639" s="717"/>
    </row>
    <row r="640" spans="9:9" x14ac:dyDescent="0.2">
      <c r="I640" s="717"/>
    </row>
    <row r="641" spans="9:9" x14ac:dyDescent="0.2">
      <c r="I641" s="717"/>
    </row>
    <row r="642" spans="9:9" x14ac:dyDescent="0.2">
      <c r="I642" s="717"/>
    </row>
    <row r="643" spans="9:9" x14ac:dyDescent="0.2">
      <c r="I643" s="717"/>
    </row>
    <row r="644" spans="9:9" x14ac:dyDescent="0.2">
      <c r="I644" s="717"/>
    </row>
    <row r="645" spans="9:9" x14ac:dyDescent="0.2">
      <c r="I645" s="717"/>
    </row>
    <row r="646" spans="9:9" x14ac:dyDescent="0.2">
      <c r="I646" s="717"/>
    </row>
    <row r="647" spans="9:9" x14ac:dyDescent="0.2">
      <c r="I647" s="717"/>
    </row>
    <row r="648" spans="9:9" x14ac:dyDescent="0.2">
      <c r="I648" s="717"/>
    </row>
    <row r="649" spans="9:9" x14ac:dyDescent="0.2">
      <c r="I649" s="717"/>
    </row>
    <row r="650" spans="9:9" x14ac:dyDescent="0.2">
      <c r="I650" s="717"/>
    </row>
    <row r="651" spans="9:9" x14ac:dyDescent="0.2">
      <c r="I651" s="717"/>
    </row>
    <row r="652" spans="9:9" x14ac:dyDescent="0.2">
      <c r="I652" s="717"/>
    </row>
    <row r="653" spans="9:9" x14ac:dyDescent="0.2">
      <c r="I653" s="717"/>
    </row>
    <row r="654" spans="9:9" x14ac:dyDescent="0.2">
      <c r="I654" s="717"/>
    </row>
    <row r="655" spans="9:9" x14ac:dyDescent="0.2">
      <c r="I655" s="717"/>
    </row>
    <row r="656" spans="9:9" x14ac:dyDescent="0.2">
      <c r="I656" s="717"/>
    </row>
    <row r="657" spans="9:9" x14ac:dyDescent="0.2">
      <c r="I657" s="717"/>
    </row>
    <row r="658" spans="9:9" x14ac:dyDescent="0.2">
      <c r="I658" s="717"/>
    </row>
    <row r="659" spans="9:9" x14ac:dyDescent="0.2">
      <c r="I659" s="717"/>
    </row>
    <row r="660" spans="9:9" x14ac:dyDescent="0.2">
      <c r="I660" s="717"/>
    </row>
    <row r="661" spans="9:9" x14ac:dyDescent="0.2">
      <c r="I661" s="717"/>
    </row>
    <row r="662" spans="9:9" x14ac:dyDescent="0.2">
      <c r="I662" s="717"/>
    </row>
    <row r="663" spans="9:9" x14ac:dyDescent="0.2">
      <c r="I663" s="717"/>
    </row>
    <row r="664" spans="9:9" x14ac:dyDescent="0.2">
      <c r="I664" s="717"/>
    </row>
    <row r="665" spans="9:9" x14ac:dyDescent="0.2">
      <c r="I665" s="717"/>
    </row>
    <row r="666" spans="9:9" x14ac:dyDescent="0.2">
      <c r="I666" s="717"/>
    </row>
    <row r="667" spans="9:9" x14ac:dyDescent="0.2">
      <c r="I667" s="717"/>
    </row>
    <row r="668" spans="9:9" x14ac:dyDescent="0.2">
      <c r="I668" s="717"/>
    </row>
    <row r="669" spans="9:9" x14ac:dyDescent="0.2">
      <c r="I669" s="717"/>
    </row>
    <row r="670" spans="9:9" x14ac:dyDescent="0.2">
      <c r="I670" s="717"/>
    </row>
    <row r="671" spans="9:9" x14ac:dyDescent="0.2">
      <c r="I671" s="717"/>
    </row>
    <row r="672" spans="9:9" x14ac:dyDescent="0.2">
      <c r="I672" s="717"/>
    </row>
    <row r="673" spans="9:9" x14ac:dyDescent="0.2">
      <c r="I673" s="717"/>
    </row>
    <row r="674" spans="9:9" x14ac:dyDescent="0.2">
      <c r="I674" s="717"/>
    </row>
    <row r="675" spans="9:9" x14ac:dyDescent="0.2">
      <c r="I675" s="717"/>
    </row>
    <row r="676" spans="9:9" x14ac:dyDescent="0.2">
      <c r="I676" s="717"/>
    </row>
    <row r="677" spans="9:9" x14ac:dyDescent="0.2">
      <c r="I677" s="717"/>
    </row>
    <row r="678" spans="9:9" x14ac:dyDescent="0.2">
      <c r="I678" s="717"/>
    </row>
    <row r="679" spans="9:9" x14ac:dyDescent="0.2">
      <c r="I679" s="717"/>
    </row>
    <row r="680" spans="9:9" x14ac:dyDescent="0.2">
      <c r="I680" s="717"/>
    </row>
    <row r="681" spans="9:9" x14ac:dyDescent="0.2">
      <c r="I681" s="717"/>
    </row>
    <row r="682" spans="9:9" x14ac:dyDescent="0.2">
      <c r="I682" s="717"/>
    </row>
    <row r="683" spans="9:9" x14ac:dyDescent="0.2">
      <c r="I683" s="717"/>
    </row>
    <row r="684" spans="9:9" x14ac:dyDescent="0.2">
      <c r="I684" s="717"/>
    </row>
    <row r="685" spans="9:9" x14ac:dyDescent="0.2">
      <c r="I685" s="717"/>
    </row>
    <row r="686" spans="9:9" x14ac:dyDescent="0.2">
      <c r="I686" s="717"/>
    </row>
    <row r="687" spans="9:9" x14ac:dyDescent="0.2">
      <c r="I687" s="717"/>
    </row>
    <row r="688" spans="9:9" x14ac:dyDescent="0.2">
      <c r="I688" s="717"/>
    </row>
    <row r="689" spans="9:9" x14ac:dyDescent="0.2">
      <c r="I689" s="717"/>
    </row>
    <row r="690" spans="9:9" x14ac:dyDescent="0.2">
      <c r="I690" s="717"/>
    </row>
    <row r="691" spans="9:9" x14ac:dyDescent="0.2">
      <c r="I691" s="717"/>
    </row>
    <row r="692" spans="9:9" x14ac:dyDescent="0.2">
      <c r="I692" s="717"/>
    </row>
    <row r="693" spans="9:9" x14ac:dyDescent="0.2">
      <c r="I693" s="717"/>
    </row>
    <row r="694" spans="9:9" x14ac:dyDescent="0.2">
      <c r="I694" s="717"/>
    </row>
    <row r="695" spans="9:9" x14ac:dyDescent="0.2">
      <c r="I695" s="717"/>
    </row>
    <row r="696" spans="9:9" x14ac:dyDescent="0.2">
      <c r="I696" s="717"/>
    </row>
    <row r="697" spans="9:9" x14ac:dyDescent="0.2">
      <c r="I697" s="717"/>
    </row>
    <row r="698" spans="9:9" x14ac:dyDescent="0.2">
      <c r="I698" s="717"/>
    </row>
    <row r="699" spans="9:9" x14ac:dyDescent="0.2">
      <c r="I699" s="717"/>
    </row>
    <row r="700" spans="9:9" x14ac:dyDescent="0.2">
      <c r="I700" s="717"/>
    </row>
    <row r="701" spans="9:9" x14ac:dyDescent="0.2">
      <c r="I701" s="717"/>
    </row>
    <row r="702" spans="9:9" x14ac:dyDescent="0.2">
      <c r="I702" s="717"/>
    </row>
    <row r="703" spans="9:9" x14ac:dyDescent="0.2">
      <c r="I703" s="717"/>
    </row>
    <row r="704" spans="9:9" x14ac:dyDescent="0.2">
      <c r="I704" s="717"/>
    </row>
    <row r="705" spans="9:9" x14ac:dyDescent="0.2">
      <c r="I705" s="717"/>
    </row>
    <row r="706" spans="9:9" x14ac:dyDescent="0.2">
      <c r="I706" s="717"/>
    </row>
    <row r="707" spans="9:9" x14ac:dyDescent="0.2">
      <c r="I707" s="717"/>
    </row>
    <row r="708" spans="9:9" x14ac:dyDescent="0.2">
      <c r="I708" s="717"/>
    </row>
    <row r="709" spans="9:9" x14ac:dyDescent="0.2">
      <c r="I709" s="717"/>
    </row>
    <row r="710" spans="9:9" x14ac:dyDescent="0.2">
      <c r="I710" s="717"/>
    </row>
    <row r="711" spans="9:9" x14ac:dyDescent="0.2">
      <c r="I711" s="717"/>
    </row>
    <row r="712" spans="9:9" x14ac:dyDescent="0.2">
      <c r="I712" s="717"/>
    </row>
    <row r="713" spans="9:9" x14ac:dyDescent="0.2">
      <c r="I713" s="717"/>
    </row>
    <row r="714" spans="9:9" x14ac:dyDescent="0.2">
      <c r="I714" s="717"/>
    </row>
    <row r="715" spans="9:9" x14ac:dyDescent="0.2">
      <c r="I715" s="717"/>
    </row>
    <row r="716" spans="9:9" x14ac:dyDescent="0.2">
      <c r="I716" s="717"/>
    </row>
    <row r="717" spans="9:9" x14ac:dyDescent="0.2">
      <c r="I717" s="717"/>
    </row>
    <row r="718" spans="9:9" x14ac:dyDescent="0.2">
      <c r="I718" s="717"/>
    </row>
    <row r="719" spans="9:9" x14ac:dyDescent="0.2">
      <c r="I719" s="717"/>
    </row>
    <row r="720" spans="9:9" x14ac:dyDescent="0.2">
      <c r="I720" s="717"/>
    </row>
    <row r="721" spans="9:9" x14ac:dyDescent="0.2">
      <c r="I721" s="717"/>
    </row>
    <row r="722" spans="9:9" x14ac:dyDescent="0.2">
      <c r="I722" s="717"/>
    </row>
    <row r="723" spans="9:9" x14ac:dyDescent="0.2">
      <c r="I723" s="717"/>
    </row>
    <row r="724" spans="9:9" x14ac:dyDescent="0.2">
      <c r="I724" s="717"/>
    </row>
    <row r="725" spans="9:9" x14ac:dyDescent="0.2">
      <c r="I725" s="717"/>
    </row>
    <row r="726" spans="9:9" x14ac:dyDescent="0.2">
      <c r="I726" s="717"/>
    </row>
    <row r="727" spans="9:9" x14ac:dyDescent="0.2">
      <c r="I727" s="717"/>
    </row>
    <row r="728" spans="9:9" x14ac:dyDescent="0.2">
      <c r="I728" s="717"/>
    </row>
    <row r="729" spans="9:9" x14ac:dyDescent="0.2">
      <c r="I729" s="717"/>
    </row>
    <row r="730" spans="9:9" x14ac:dyDescent="0.2">
      <c r="I730" s="717"/>
    </row>
    <row r="731" spans="9:9" x14ac:dyDescent="0.2">
      <c r="I731" s="717"/>
    </row>
    <row r="732" spans="9:9" x14ac:dyDescent="0.2">
      <c r="I732" s="717"/>
    </row>
    <row r="733" spans="9:9" x14ac:dyDescent="0.2">
      <c r="I733" s="717"/>
    </row>
    <row r="734" spans="9:9" x14ac:dyDescent="0.2">
      <c r="I734" s="717"/>
    </row>
    <row r="735" spans="9:9" x14ac:dyDescent="0.2">
      <c r="I735" s="717"/>
    </row>
    <row r="736" spans="9:9" x14ac:dyDescent="0.2">
      <c r="I736" s="717"/>
    </row>
    <row r="737" spans="9:9" x14ac:dyDescent="0.2">
      <c r="I737" s="717"/>
    </row>
    <row r="738" spans="9:9" x14ac:dyDescent="0.2">
      <c r="I738" s="717"/>
    </row>
    <row r="739" spans="9:9" x14ac:dyDescent="0.2">
      <c r="I739" s="717"/>
    </row>
    <row r="740" spans="9:9" x14ac:dyDescent="0.2">
      <c r="I740" s="717"/>
    </row>
    <row r="741" spans="9:9" x14ac:dyDescent="0.2">
      <c r="I741" s="717"/>
    </row>
    <row r="742" spans="9:9" x14ac:dyDescent="0.2">
      <c r="I742" s="717"/>
    </row>
    <row r="743" spans="9:9" x14ac:dyDescent="0.2">
      <c r="I743" s="717"/>
    </row>
    <row r="744" spans="9:9" x14ac:dyDescent="0.2">
      <c r="I744" s="717"/>
    </row>
    <row r="745" spans="9:9" x14ac:dyDescent="0.2">
      <c r="I745" s="717"/>
    </row>
    <row r="746" spans="9:9" x14ac:dyDescent="0.2">
      <c r="I746" s="717"/>
    </row>
    <row r="747" spans="9:9" x14ac:dyDescent="0.2">
      <c r="I747" s="717"/>
    </row>
    <row r="748" spans="9:9" x14ac:dyDescent="0.2">
      <c r="I748" s="717"/>
    </row>
    <row r="749" spans="9:9" x14ac:dyDescent="0.2">
      <c r="I749" s="717"/>
    </row>
    <row r="750" spans="9:9" x14ac:dyDescent="0.2">
      <c r="I750" s="717"/>
    </row>
    <row r="751" spans="9:9" x14ac:dyDescent="0.2">
      <c r="I751" s="717"/>
    </row>
    <row r="752" spans="9:9" x14ac:dyDescent="0.2">
      <c r="I752" s="717"/>
    </row>
    <row r="753" spans="9:9" x14ac:dyDescent="0.2">
      <c r="I753" s="717"/>
    </row>
    <row r="754" spans="9:9" x14ac:dyDescent="0.2">
      <c r="I754" s="717"/>
    </row>
    <row r="755" spans="9:9" x14ac:dyDescent="0.2">
      <c r="I755" s="717"/>
    </row>
    <row r="756" spans="9:9" x14ac:dyDescent="0.2">
      <c r="I756" s="717"/>
    </row>
    <row r="757" spans="9:9" x14ac:dyDescent="0.2">
      <c r="I757" s="717"/>
    </row>
    <row r="758" spans="9:9" x14ac:dyDescent="0.2">
      <c r="I758" s="717"/>
    </row>
    <row r="759" spans="9:9" x14ac:dyDescent="0.2">
      <c r="I759" s="717"/>
    </row>
    <row r="760" spans="9:9" x14ac:dyDescent="0.2">
      <c r="I760" s="717"/>
    </row>
    <row r="761" spans="9:9" x14ac:dyDescent="0.2">
      <c r="I761" s="717"/>
    </row>
    <row r="762" spans="9:9" x14ac:dyDescent="0.2">
      <c r="I762" s="717"/>
    </row>
    <row r="763" spans="9:9" x14ac:dyDescent="0.2">
      <c r="I763" s="717"/>
    </row>
    <row r="764" spans="9:9" x14ac:dyDescent="0.2">
      <c r="I764" s="717"/>
    </row>
    <row r="765" spans="9:9" x14ac:dyDescent="0.2">
      <c r="I765" s="717"/>
    </row>
    <row r="766" spans="9:9" x14ac:dyDescent="0.2">
      <c r="I766" s="717"/>
    </row>
    <row r="767" spans="9:9" x14ac:dyDescent="0.2">
      <c r="I767" s="717"/>
    </row>
    <row r="768" spans="9:9" x14ac:dyDescent="0.2">
      <c r="I768" s="717"/>
    </row>
    <row r="769" spans="9:9" x14ac:dyDescent="0.2">
      <c r="I769" s="717"/>
    </row>
    <row r="770" spans="9:9" x14ac:dyDescent="0.2">
      <c r="I770" s="717"/>
    </row>
    <row r="771" spans="9:9" x14ac:dyDescent="0.2">
      <c r="I771" s="717"/>
    </row>
    <row r="772" spans="9:9" x14ac:dyDescent="0.2">
      <c r="I772" s="717"/>
    </row>
    <row r="773" spans="9:9" x14ac:dyDescent="0.2">
      <c r="I773" s="717"/>
    </row>
    <row r="774" spans="9:9" x14ac:dyDescent="0.2">
      <c r="I774" s="717"/>
    </row>
    <row r="775" spans="9:9" x14ac:dyDescent="0.2">
      <c r="I775" s="717"/>
    </row>
    <row r="776" spans="9:9" x14ac:dyDescent="0.2">
      <c r="I776" s="717"/>
    </row>
    <row r="777" spans="9:9" x14ac:dyDescent="0.2">
      <c r="I777" s="717"/>
    </row>
    <row r="778" spans="9:9" x14ac:dyDescent="0.2">
      <c r="I778" s="717"/>
    </row>
    <row r="779" spans="9:9" x14ac:dyDescent="0.2">
      <c r="I779" s="717"/>
    </row>
    <row r="780" spans="9:9" x14ac:dyDescent="0.2">
      <c r="I780" s="717"/>
    </row>
    <row r="781" spans="9:9" x14ac:dyDescent="0.2">
      <c r="I781" s="717"/>
    </row>
    <row r="782" spans="9:9" x14ac:dyDescent="0.2">
      <c r="I782" s="717"/>
    </row>
    <row r="783" spans="9:9" x14ac:dyDescent="0.2">
      <c r="I783" s="717"/>
    </row>
    <row r="784" spans="9:9" x14ac:dyDescent="0.2">
      <c r="I784" s="717"/>
    </row>
    <row r="785" spans="9:9" x14ac:dyDescent="0.2">
      <c r="I785" s="717"/>
    </row>
    <row r="786" spans="9:9" x14ac:dyDescent="0.2">
      <c r="I786" s="717"/>
    </row>
    <row r="787" spans="9:9" x14ac:dyDescent="0.2">
      <c r="I787" s="717"/>
    </row>
    <row r="788" spans="9:9" x14ac:dyDescent="0.2">
      <c r="I788" s="717"/>
    </row>
    <row r="789" spans="9:9" x14ac:dyDescent="0.2">
      <c r="I789" s="717"/>
    </row>
    <row r="790" spans="9:9" x14ac:dyDescent="0.2">
      <c r="I790" s="717"/>
    </row>
    <row r="791" spans="9:9" x14ac:dyDescent="0.2">
      <c r="I791" s="717"/>
    </row>
    <row r="792" spans="9:9" x14ac:dyDescent="0.2">
      <c r="I792" s="717"/>
    </row>
    <row r="793" spans="9:9" x14ac:dyDescent="0.2">
      <c r="I793" s="717"/>
    </row>
    <row r="794" spans="9:9" x14ac:dyDescent="0.2">
      <c r="I794" s="717"/>
    </row>
    <row r="795" spans="9:9" x14ac:dyDescent="0.2">
      <c r="I795" s="717"/>
    </row>
    <row r="796" spans="9:9" x14ac:dyDescent="0.2">
      <c r="I796" s="717"/>
    </row>
    <row r="797" spans="9:9" x14ac:dyDescent="0.2">
      <c r="I797" s="717"/>
    </row>
    <row r="798" spans="9:9" x14ac:dyDescent="0.2">
      <c r="I798" s="717"/>
    </row>
    <row r="799" spans="9:9" x14ac:dyDescent="0.2">
      <c r="I799" s="717"/>
    </row>
    <row r="800" spans="9:9" x14ac:dyDescent="0.2">
      <c r="I800" s="717"/>
    </row>
    <row r="801" spans="9:9" x14ac:dyDescent="0.2">
      <c r="I801" s="717"/>
    </row>
    <row r="802" spans="9:9" x14ac:dyDescent="0.2">
      <c r="I802" s="717"/>
    </row>
    <row r="803" spans="9:9" x14ac:dyDescent="0.2">
      <c r="I803" s="717"/>
    </row>
    <row r="804" spans="9:9" x14ac:dyDescent="0.2">
      <c r="I804" s="717"/>
    </row>
    <row r="805" spans="9:9" x14ac:dyDescent="0.2">
      <c r="I805" s="717"/>
    </row>
    <row r="806" spans="9:9" x14ac:dyDescent="0.2">
      <c r="I806" s="717"/>
    </row>
    <row r="807" spans="9:9" x14ac:dyDescent="0.2">
      <c r="I807" s="717"/>
    </row>
    <row r="808" spans="9:9" x14ac:dyDescent="0.2">
      <c r="I808" s="717"/>
    </row>
    <row r="809" spans="9:9" x14ac:dyDescent="0.2">
      <c r="I809" s="717"/>
    </row>
    <row r="810" spans="9:9" x14ac:dyDescent="0.2">
      <c r="I810" s="717"/>
    </row>
    <row r="811" spans="9:9" x14ac:dyDescent="0.2">
      <c r="I811" s="717"/>
    </row>
    <row r="812" spans="9:9" x14ac:dyDescent="0.2">
      <c r="I812" s="717"/>
    </row>
    <row r="813" spans="9:9" x14ac:dyDescent="0.2">
      <c r="I813" s="717"/>
    </row>
    <row r="814" spans="9:9" x14ac:dyDescent="0.2">
      <c r="I814" s="717"/>
    </row>
    <row r="815" spans="9:9" x14ac:dyDescent="0.2">
      <c r="I815" s="717"/>
    </row>
    <row r="816" spans="9:9" x14ac:dyDescent="0.2">
      <c r="I816" s="717"/>
    </row>
    <row r="817" spans="9:9" x14ac:dyDescent="0.2">
      <c r="I817" s="717"/>
    </row>
    <row r="818" spans="9:9" x14ac:dyDescent="0.2">
      <c r="I818" s="717"/>
    </row>
    <row r="819" spans="9:9" x14ac:dyDescent="0.2">
      <c r="I819" s="717"/>
    </row>
    <row r="820" spans="9:9" x14ac:dyDescent="0.2">
      <c r="I820" s="717"/>
    </row>
    <row r="821" spans="9:9" x14ac:dyDescent="0.2">
      <c r="I821" s="717"/>
    </row>
    <row r="822" spans="9:9" x14ac:dyDescent="0.2">
      <c r="I822" s="717"/>
    </row>
    <row r="823" spans="9:9" x14ac:dyDescent="0.2">
      <c r="I823" s="717"/>
    </row>
    <row r="824" spans="9:9" x14ac:dyDescent="0.2">
      <c r="I824" s="717"/>
    </row>
    <row r="825" spans="9:9" x14ac:dyDescent="0.2">
      <c r="I825" s="717"/>
    </row>
    <row r="826" spans="9:9" x14ac:dyDescent="0.2">
      <c r="I826" s="717"/>
    </row>
    <row r="827" spans="9:9" x14ac:dyDescent="0.2">
      <c r="I827" s="717"/>
    </row>
    <row r="828" spans="9:9" x14ac:dyDescent="0.2">
      <c r="I828" s="717"/>
    </row>
    <row r="829" spans="9:9" x14ac:dyDescent="0.2">
      <c r="I829" s="717"/>
    </row>
    <row r="830" spans="9:9" x14ac:dyDescent="0.2">
      <c r="I830" s="717"/>
    </row>
    <row r="831" spans="9:9" x14ac:dyDescent="0.2">
      <c r="I831" s="717"/>
    </row>
    <row r="832" spans="9:9" x14ac:dyDescent="0.2">
      <c r="I832" s="717"/>
    </row>
    <row r="833" spans="9:9" x14ac:dyDescent="0.2">
      <c r="I833" s="717"/>
    </row>
    <row r="834" spans="9:9" x14ac:dyDescent="0.2">
      <c r="I834" s="717"/>
    </row>
    <row r="835" spans="9:9" x14ac:dyDescent="0.2">
      <c r="I835" s="717"/>
    </row>
    <row r="836" spans="9:9" x14ac:dyDescent="0.2">
      <c r="I836" s="717"/>
    </row>
    <row r="837" spans="9:9" x14ac:dyDescent="0.2">
      <c r="I837" s="717"/>
    </row>
    <row r="838" spans="9:9" x14ac:dyDescent="0.2">
      <c r="I838" s="717"/>
    </row>
    <row r="839" spans="9:9" x14ac:dyDescent="0.2">
      <c r="I839" s="717"/>
    </row>
    <row r="840" spans="9:9" x14ac:dyDescent="0.2">
      <c r="I840" s="717"/>
    </row>
    <row r="841" spans="9:9" x14ac:dyDescent="0.2">
      <c r="I841" s="717"/>
    </row>
    <row r="842" spans="9:9" x14ac:dyDescent="0.2">
      <c r="I842" s="717"/>
    </row>
    <row r="843" spans="9:9" x14ac:dyDescent="0.2">
      <c r="I843" s="717"/>
    </row>
    <row r="844" spans="9:9" x14ac:dyDescent="0.2">
      <c r="I844" s="717"/>
    </row>
    <row r="845" spans="9:9" x14ac:dyDescent="0.2">
      <c r="I845" s="717"/>
    </row>
    <row r="846" spans="9:9" x14ac:dyDescent="0.2">
      <c r="I846" s="717"/>
    </row>
    <row r="847" spans="9:9" x14ac:dyDescent="0.2">
      <c r="I847" s="717"/>
    </row>
    <row r="848" spans="9:9" x14ac:dyDescent="0.2">
      <c r="I848" s="717"/>
    </row>
    <row r="849" spans="9:9" x14ac:dyDescent="0.2">
      <c r="I849" s="717"/>
    </row>
    <row r="850" spans="9:9" x14ac:dyDescent="0.2">
      <c r="I850" s="717"/>
    </row>
    <row r="851" spans="9:9" x14ac:dyDescent="0.2">
      <c r="I851" s="717"/>
    </row>
    <row r="852" spans="9:9" x14ac:dyDescent="0.2">
      <c r="I852" s="717"/>
    </row>
    <row r="853" spans="9:9" x14ac:dyDescent="0.2">
      <c r="I853" s="717"/>
    </row>
    <row r="854" spans="9:9" x14ac:dyDescent="0.2">
      <c r="I854" s="717"/>
    </row>
    <row r="855" spans="9:9" x14ac:dyDescent="0.2">
      <c r="I855" s="717"/>
    </row>
    <row r="856" spans="9:9" x14ac:dyDescent="0.2">
      <c r="I856" s="717"/>
    </row>
    <row r="857" spans="9:9" x14ac:dyDescent="0.2">
      <c r="I857" s="717"/>
    </row>
    <row r="858" spans="9:9" x14ac:dyDescent="0.2">
      <c r="I858" s="717"/>
    </row>
    <row r="859" spans="9:9" x14ac:dyDescent="0.2">
      <c r="I859" s="717"/>
    </row>
    <row r="860" spans="9:9" x14ac:dyDescent="0.2">
      <c r="I860" s="717"/>
    </row>
    <row r="861" spans="9:9" x14ac:dyDescent="0.2">
      <c r="I861" s="717"/>
    </row>
    <row r="862" spans="9:9" x14ac:dyDescent="0.2">
      <c r="I862" s="717"/>
    </row>
    <row r="863" spans="9:9" x14ac:dyDescent="0.2">
      <c r="I863" s="717"/>
    </row>
    <row r="864" spans="9:9" x14ac:dyDescent="0.2">
      <c r="I864" s="717"/>
    </row>
    <row r="865" spans="9:9" x14ac:dyDescent="0.2">
      <c r="I865" s="717"/>
    </row>
    <row r="866" spans="9:9" x14ac:dyDescent="0.2">
      <c r="I866" s="717"/>
    </row>
    <row r="867" spans="9:9" x14ac:dyDescent="0.2">
      <c r="I867" s="717"/>
    </row>
    <row r="868" spans="9:9" x14ac:dyDescent="0.2">
      <c r="I868" s="717"/>
    </row>
    <row r="869" spans="9:9" x14ac:dyDescent="0.2">
      <c r="I869" s="717"/>
    </row>
    <row r="870" spans="9:9" x14ac:dyDescent="0.2">
      <c r="I870" s="717"/>
    </row>
    <row r="871" spans="9:9" x14ac:dyDescent="0.2">
      <c r="I871" s="717"/>
    </row>
    <row r="872" spans="9:9" x14ac:dyDescent="0.2">
      <c r="I872" s="717"/>
    </row>
    <row r="873" spans="9:9" x14ac:dyDescent="0.2">
      <c r="I873" s="717"/>
    </row>
    <row r="874" spans="9:9" x14ac:dyDescent="0.2">
      <c r="I874" s="717"/>
    </row>
    <row r="875" spans="9:9" x14ac:dyDescent="0.2">
      <c r="I875" s="717"/>
    </row>
    <row r="876" spans="9:9" x14ac:dyDescent="0.2">
      <c r="I876" s="717"/>
    </row>
    <row r="877" spans="9:9" x14ac:dyDescent="0.2">
      <c r="I877" s="717"/>
    </row>
    <row r="878" spans="9:9" x14ac:dyDescent="0.2">
      <c r="I878" s="717"/>
    </row>
    <row r="879" spans="9:9" x14ac:dyDescent="0.2">
      <c r="I879" s="717"/>
    </row>
    <row r="880" spans="9:9" x14ac:dyDescent="0.2">
      <c r="I880" s="717"/>
    </row>
    <row r="881" spans="9:9" x14ac:dyDescent="0.2">
      <c r="I881" s="717"/>
    </row>
    <row r="882" spans="9:9" x14ac:dyDescent="0.2">
      <c r="I882" s="717"/>
    </row>
    <row r="883" spans="9:9" x14ac:dyDescent="0.2">
      <c r="I883" s="717"/>
    </row>
    <row r="884" spans="9:9" x14ac:dyDescent="0.2">
      <c r="I884" s="717"/>
    </row>
    <row r="885" spans="9:9" x14ac:dyDescent="0.2">
      <c r="I885" s="717"/>
    </row>
    <row r="886" spans="9:9" x14ac:dyDescent="0.2">
      <c r="I886" s="717"/>
    </row>
    <row r="887" spans="9:9" x14ac:dyDescent="0.2">
      <c r="I887" s="717"/>
    </row>
    <row r="888" spans="9:9" x14ac:dyDescent="0.2">
      <c r="I888" s="717"/>
    </row>
    <row r="889" spans="9:9" x14ac:dyDescent="0.2">
      <c r="I889" s="717"/>
    </row>
    <row r="890" spans="9:9" x14ac:dyDescent="0.2">
      <c r="I890" s="717"/>
    </row>
    <row r="891" spans="9:9" x14ac:dyDescent="0.2">
      <c r="I891" s="717"/>
    </row>
    <row r="892" spans="9:9" x14ac:dyDescent="0.2">
      <c r="I892" s="717"/>
    </row>
    <row r="893" spans="9:9" x14ac:dyDescent="0.2">
      <c r="I893" s="717"/>
    </row>
    <row r="894" spans="9:9" x14ac:dyDescent="0.2">
      <c r="I894" s="717"/>
    </row>
    <row r="895" spans="9:9" x14ac:dyDescent="0.2">
      <c r="I895" s="717"/>
    </row>
    <row r="896" spans="9:9" x14ac:dyDescent="0.2">
      <c r="I896" s="717"/>
    </row>
    <row r="897" spans="9:9" x14ac:dyDescent="0.2">
      <c r="I897" s="717"/>
    </row>
    <row r="898" spans="9:9" x14ac:dyDescent="0.2">
      <c r="I898" s="717"/>
    </row>
    <row r="899" spans="9:9" x14ac:dyDescent="0.2">
      <c r="I899" s="717"/>
    </row>
    <row r="900" spans="9:9" x14ac:dyDescent="0.2">
      <c r="I900" s="717"/>
    </row>
    <row r="901" spans="9:9" x14ac:dyDescent="0.2">
      <c r="I901" s="717"/>
    </row>
    <row r="902" spans="9:9" x14ac:dyDescent="0.2">
      <c r="I902" s="717"/>
    </row>
    <row r="903" spans="9:9" x14ac:dyDescent="0.2">
      <c r="I903" s="717"/>
    </row>
    <row r="904" spans="9:9" x14ac:dyDescent="0.2">
      <c r="I904" s="717"/>
    </row>
    <row r="905" spans="9:9" x14ac:dyDescent="0.2">
      <c r="I905" s="717"/>
    </row>
    <row r="906" spans="9:9" x14ac:dyDescent="0.2">
      <c r="I906" s="717"/>
    </row>
    <row r="907" spans="9:9" x14ac:dyDescent="0.2">
      <c r="I907" s="717"/>
    </row>
    <row r="908" spans="9:9" x14ac:dyDescent="0.2">
      <c r="I908" s="717"/>
    </row>
    <row r="909" spans="9:9" x14ac:dyDescent="0.2">
      <c r="I909" s="717"/>
    </row>
    <row r="910" spans="9:9" x14ac:dyDescent="0.2">
      <c r="I910" s="717"/>
    </row>
    <row r="911" spans="9:9" x14ac:dyDescent="0.2">
      <c r="I911" s="717"/>
    </row>
    <row r="912" spans="9:9" x14ac:dyDescent="0.2">
      <c r="I912" s="717"/>
    </row>
    <row r="913" spans="9:9" x14ac:dyDescent="0.2">
      <c r="I913" s="717"/>
    </row>
    <row r="914" spans="9:9" x14ac:dyDescent="0.2">
      <c r="I914" s="717"/>
    </row>
    <row r="915" spans="9:9" x14ac:dyDescent="0.2">
      <c r="I915" s="717"/>
    </row>
    <row r="916" spans="9:9" x14ac:dyDescent="0.2">
      <c r="I916" s="717"/>
    </row>
    <row r="917" spans="9:9" x14ac:dyDescent="0.2">
      <c r="I917" s="717"/>
    </row>
    <row r="918" spans="9:9" x14ac:dyDescent="0.2">
      <c r="I918" s="717"/>
    </row>
    <row r="919" spans="9:9" x14ac:dyDescent="0.2">
      <c r="I919" s="717"/>
    </row>
    <row r="920" spans="9:9" x14ac:dyDescent="0.2">
      <c r="I920" s="717"/>
    </row>
    <row r="921" spans="9:9" x14ac:dyDescent="0.2">
      <c r="I921" s="717"/>
    </row>
    <row r="922" spans="9:9" x14ac:dyDescent="0.2">
      <c r="I922" s="717"/>
    </row>
    <row r="923" spans="9:9" x14ac:dyDescent="0.2">
      <c r="I923" s="717"/>
    </row>
    <row r="924" spans="9:9" x14ac:dyDescent="0.2">
      <c r="I924" s="717"/>
    </row>
    <row r="925" spans="9:9" x14ac:dyDescent="0.2">
      <c r="I925" s="717"/>
    </row>
    <row r="926" spans="9:9" x14ac:dyDescent="0.2">
      <c r="I926" s="717"/>
    </row>
    <row r="927" spans="9:9" x14ac:dyDescent="0.2">
      <c r="I927" s="717"/>
    </row>
    <row r="928" spans="9:9" x14ac:dyDescent="0.2">
      <c r="I928" s="717"/>
    </row>
    <row r="929" spans="9:9" x14ac:dyDescent="0.2">
      <c r="I929" s="717"/>
    </row>
    <row r="930" spans="9:9" x14ac:dyDescent="0.2">
      <c r="I930" s="717"/>
    </row>
    <row r="931" spans="9:9" x14ac:dyDescent="0.2">
      <c r="I931" s="717"/>
    </row>
    <row r="932" spans="9:9" x14ac:dyDescent="0.2">
      <c r="I932" s="717"/>
    </row>
    <row r="933" spans="9:9" x14ac:dyDescent="0.2">
      <c r="I933" s="717"/>
    </row>
    <row r="934" spans="9:9" x14ac:dyDescent="0.2">
      <c r="I934" s="717"/>
    </row>
    <row r="935" spans="9:9" x14ac:dyDescent="0.2">
      <c r="I935" s="717"/>
    </row>
    <row r="936" spans="9:9" x14ac:dyDescent="0.2">
      <c r="I936" s="717"/>
    </row>
    <row r="937" spans="9:9" x14ac:dyDescent="0.2">
      <c r="I937" s="717"/>
    </row>
    <row r="938" spans="9:9" x14ac:dyDescent="0.2">
      <c r="I938" s="717"/>
    </row>
    <row r="939" spans="9:9" x14ac:dyDescent="0.2">
      <c r="I939" s="717"/>
    </row>
    <row r="940" spans="9:9" x14ac:dyDescent="0.2">
      <c r="I940" s="717"/>
    </row>
    <row r="941" spans="9:9" x14ac:dyDescent="0.2">
      <c r="I941" s="717"/>
    </row>
    <row r="942" spans="9:9" x14ac:dyDescent="0.2">
      <c r="I942" s="717"/>
    </row>
    <row r="943" spans="9:9" x14ac:dyDescent="0.2">
      <c r="I943" s="717"/>
    </row>
    <row r="944" spans="9:9" x14ac:dyDescent="0.2">
      <c r="I944" s="717"/>
    </row>
    <row r="945" spans="9:9" x14ac:dyDescent="0.2">
      <c r="I945" s="717"/>
    </row>
    <row r="946" spans="9:9" x14ac:dyDescent="0.2">
      <c r="I946" s="717"/>
    </row>
    <row r="947" spans="9:9" x14ac:dyDescent="0.2">
      <c r="I947" s="717"/>
    </row>
    <row r="948" spans="9:9" x14ac:dyDescent="0.2">
      <c r="I948" s="717"/>
    </row>
    <row r="949" spans="9:9" x14ac:dyDescent="0.2">
      <c r="I949" s="717"/>
    </row>
    <row r="950" spans="9:9" x14ac:dyDescent="0.2">
      <c r="I950" s="717"/>
    </row>
    <row r="951" spans="9:9" x14ac:dyDescent="0.2">
      <c r="I951" s="717"/>
    </row>
    <row r="952" spans="9:9" x14ac:dyDescent="0.2">
      <c r="I952" s="717"/>
    </row>
    <row r="953" spans="9:9" x14ac:dyDescent="0.2">
      <c r="I953" s="717"/>
    </row>
    <row r="954" spans="9:9" x14ac:dyDescent="0.2">
      <c r="I954" s="717"/>
    </row>
    <row r="955" spans="9:9" x14ac:dyDescent="0.2">
      <c r="I955" s="717"/>
    </row>
    <row r="956" spans="9:9" x14ac:dyDescent="0.2">
      <c r="I956" s="717"/>
    </row>
    <row r="957" spans="9:9" x14ac:dyDescent="0.2">
      <c r="I957" s="717"/>
    </row>
    <row r="958" spans="9:9" x14ac:dyDescent="0.2">
      <c r="I958" s="717"/>
    </row>
    <row r="959" spans="9:9" x14ac:dyDescent="0.2">
      <c r="I959" s="717"/>
    </row>
    <row r="960" spans="9:9" x14ac:dyDescent="0.2">
      <c r="I960" s="717"/>
    </row>
    <row r="961" spans="9:9" x14ac:dyDescent="0.2">
      <c r="I961" s="717"/>
    </row>
    <row r="962" spans="9:9" x14ac:dyDescent="0.2">
      <c r="I962" s="717"/>
    </row>
    <row r="963" spans="9:9" x14ac:dyDescent="0.2">
      <c r="I963" s="717"/>
    </row>
    <row r="964" spans="9:9" x14ac:dyDescent="0.2">
      <c r="I964" s="717"/>
    </row>
    <row r="965" spans="9:9" x14ac:dyDescent="0.2">
      <c r="I965" s="717"/>
    </row>
    <row r="966" spans="9:9" x14ac:dyDescent="0.2">
      <c r="I966" s="717"/>
    </row>
    <row r="967" spans="9:9" x14ac:dyDescent="0.2">
      <c r="I967" s="717"/>
    </row>
    <row r="968" spans="9:9" x14ac:dyDescent="0.2">
      <c r="I968" s="717"/>
    </row>
    <row r="969" spans="9:9" x14ac:dyDescent="0.2">
      <c r="I969" s="717"/>
    </row>
    <row r="970" spans="9:9" x14ac:dyDescent="0.2">
      <c r="I970" s="717"/>
    </row>
    <row r="971" spans="9:9" x14ac:dyDescent="0.2">
      <c r="I971" s="717"/>
    </row>
    <row r="972" spans="9:9" x14ac:dyDescent="0.2">
      <c r="I972" s="717"/>
    </row>
    <row r="973" spans="9:9" x14ac:dyDescent="0.2">
      <c r="I973" s="717"/>
    </row>
    <row r="974" spans="9:9" x14ac:dyDescent="0.2">
      <c r="I974" s="717"/>
    </row>
    <row r="975" spans="9:9" x14ac:dyDescent="0.2">
      <c r="I975" s="717"/>
    </row>
    <row r="976" spans="9:9" x14ac:dyDescent="0.2">
      <c r="I976" s="717"/>
    </row>
    <row r="977" spans="9:9" x14ac:dyDescent="0.2">
      <c r="I977" s="717"/>
    </row>
    <row r="978" spans="9:9" x14ac:dyDescent="0.2">
      <c r="I978" s="717"/>
    </row>
    <row r="979" spans="9:9" x14ac:dyDescent="0.2">
      <c r="I979" s="717"/>
    </row>
    <row r="980" spans="9:9" x14ac:dyDescent="0.2">
      <c r="I980" s="717"/>
    </row>
    <row r="981" spans="9:9" x14ac:dyDescent="0.2">
      <c r="I981" s="717"/>
    </row>
    <row r="982" spans="9:9" x14ac:dyDescent="0.2">
      <c r="I982" s="717"/>
    </row>
    <row r="983" spans="9:9" x14ac:dyDescent="0.2">
      <c r="I983" s="717"/>
    </row>
    <row r="984" spans="9:9" x14ac:dyDescent="0.2">
      <c r="I984" s="717"/>
    </row>
    <row r="985" spans="9:9" x14ac:dyDescent="0.2">
      <c r="I985" s="717"/>
    </row>
    <row r="986" spans="9:9" x14ac:dyDescent="0.2">
      <c r="I986" s="717"/>
    </row>
    <row r="987" spans="9:9" x14ac:dyDescent="0.2">
      <c r="I987" s="717"/>
    </row>
    <row r="988" spans="9:9" x14ac:dyDescent="0.2">
      <c r="I988" s="717"/>
    </row>
    <row r="989" spans="9:9" x14ac:dyDescent="0.2">
      <c r="I989" s="717"/>
    </row>
    <row r="990" spans="9:9" x14ac:dyDescent="0.2">
      <c r="I990" s="717"/>
    </row>
    <row r="991" spans="9:9" x14ac:dyDescent="0.2">
      <c r="I991" s="717"/>
    </row>
    <row r="992" spans="9:9" x14ac:dyDescent="0.2">
      <c r="I992" s="717"/>
    </row>
    <row r="993" spans="9:9" x14ac:dyDescent="0.2">
      <c r="I993" s="717"/>
    </row>
    <row r="994" spans="9:9" x14ac:dyDescent="0.2">
      <c r="I994" s="717"/>
    </row>
    <row r="995" spans="9:9" x14ac:dyDescent="0.2">
      <c r="I995" s="717"/>
    </row>
    <row r="996" spans="9:9" x14ac:dyDescent="0.2">
      <c r="I996" s="717"/>
    </row>
    <row r="997" spans="9:9" x14ac:dyDescent="0.2">
      <c r="I997" s="717"/>
    </row>
    <row r="998" spans="9:9" x14ac:dyDescent="0.2">
      <c r="I998" s="717"/>
    </row>
    <row r="999" spans="9:9" x14ac:dyDescent="0.2">
      <c r="I999" s="717"/>
    </row>
    <row r="1000" spans="9:9" x14ac:dyDescent="0.2">
      <c r="I1000" s="717"/>
    </row>
    <row r="1001" spans="9:9" x14ac:dyDescent="0.2">
      <c r="I1001" s="717"/>
    </row>
    <row r="1002" spans="9:9" x14ac:dyDescent="0.2">
      <c r="I1002" s="717"/>
    </row>
    <row r="1003" spans="9:9" x14ac:dyDescent="0.2">
      <c r="I1003" s="717"/>
    </row>
    <row r="1004" spans="9:9" x14ac:dyDescent="0.2">
      <c r="I1004" s="717"/>
    </row>
    <row r="1005" spans="9:9" x14ac:dyDescent="0.2">
      <c r="I1005" s="717"/>
    </row>
    <row r="1006" spans="9:9" x14ac:dyDescent="0.2">
      <c r="I1006" s="717"/>
    </row>
    <row r="1007" spans="9:9" x14ac:dyDescent="0.2">
      <c r="I1007" s="717"/>
    </row>
    <row r="1008" spans="9:9" x14ac:dyDescent="0.2">
      <c r="I1008" s="717"/>
    </row>
    <row r="1009" spans="9:9" x14ac:dyDescent="0.2">
      <c r="I1009" s="717"/>
    </row>
    <row r="1010" spans="9:9" x14ac:dyDescent="0.2">
      <c r="I1010" s="717"/>
    </row>
    <row r="1011" spans="9:9" x14ac:dyDescent="0.2">
      <c r="I1011" s="717"/>
    </row>
    <row r="1012" spans="9:9" x14ac:dyDescent="0.2">
      <c r="I1012" s="717"/>
    </row>
    <row r="1013" spans="9:9" x14ac:dyDescent="0.2">
      <c r="I1013" s="717"/>
    </row>
    <row r="1014" spans="9:9" x14ac:dyDescent="0.2">
      <c r="I1014" s="717"/>
    </row>
    <row r="1015" spans="9:9" x14ac:dyDescent="0.2">
      <c r="I1015" s="717"/>
    </row>
    <row r="1016" spans="9:9" x14ac:dyDescent="0.2">
      <c r="I1016" s="717"/>
    </row>
    <row r="1017" spans="9:9" x14ac:dyDescent="0.2">
      <c r="I1017" s="717"/>
    </row>
    <row r="1018" spans="9:9" x14ac:dyDescent="0.2">
      <c r="I1018" s="717"/>
    </row>
    <row r="1019" spans="9:9" x14ac:dyDescent="0.2">
      <c r="I1019" s="717"/>
    </row>
    <row r="1020" spans="9:9" x14ac:dyDescent="0.2">
      <c r="I1020" s="717"/>
    </row>
    <row r="1021" spans="9:9" x14ac:dyDescent="0.2">
      <c r="I1021" s="717"/>
    </row>
    <row r="1022" spans="9:9" x14ac:dyDescent="0.2">
      <c r="I1022" s="717"/>
    </row>
    <row r="1023" spans="9:9" x14ac:dyDescent="0.2">
      <c r="I1023" s="717"/>
    </row>
    <row r="1024" spans="9:9" x14ac:dyDescent="0.2">
      <c r="I1024" s="717"/>
    </row>
    <row r="1025" spans="9:9" x14ac:dyDescent="0.2">
      <c r="I1025" s="717"/>
    </row>
    <row r="1026" spans="9:9" x14ac:dyDescent="0.2">
      <c r="I1026" s="717"/>
    </row>
    <row r="1027" spans="9:9" x14ac:dyDescent="0.2">
      <c r="I1027" s="717"/>
    </row>
    <row r="1028" spans="9:9" x14ac:dyDescent="0.2">
      <c r="I1028" s="717"/>
    </row>
    <row r="1029" spans="9:9" x14ac:dyDescent="0.2">
      <c r="I1029" s="717"/>
    </row>
    <row r="1030" spans="9:9" x14ac:dyDescent="0.2">
      <c r="I1030" s="717"/>
    </row>
    <row r="1031" spans="9:9" x14ac:dyDescent="0.2">
      <c r="I1031" s="717"/>
    </row>
    <row r="1032" spans="9:9" x14ac:dyDescent="0.2">
      <c r="I1032" s="717"/>
    </row>
    <row r="1033" spans="9:9" x14ac:dyDescent="0.2">
      <c r="I1033" s="717"/>
    </row>
    <row r="1034" spans="9:9" x14ac:dyDescent="0.2">
      <c r="I1034" s="717"/>
    </row>
    <row r="1035" spans="9:9" x14ac:dyDescent="0.2">
      <c r="I1035" s="717"/>
    </row>
    <row r="1036" spans="9:9" x14ac:dyDescent="0.2">
      <c r="I1036" s="717"/>
    </row>
    <row r="1037" spans="9:9" x14ac:dyDescent="0.2">
      <c r="I1037" s="717"/>
    </row>
    <row r="1038" spans="9:9" x14ac:dyDescent="0.2">
      <c r="I1038" s="717"/>
    </row>
    <row r="1039" spans="9:9" x14ac:dyDescent="0.2">
      <c r="I1039" s="717"/>
    </row>
    <row r="1040" spans="9:9" x14ac:dyDescent="0.2">
      <c r="I1040" s="717"/>
    </row>
    <row r="1041" spans="9:9" x14ac:dyDescent="0.2">
      <c r="I1041" s="717"/>
    </row>
    <row r="1042" spans="9:9" x14ac:dyDescent="0.2">
      <c r="I1042" s="717"/>
    </row>
    <row r="1043" spans="9:9" x14ac:dyDescent="0.2">
      <c r="I1043" s="717"/>
    </row>
    <row r="1044" spans="9:9" x14ac:dyDescent="0.2">
      <c r="I1044" s="717"/>
    </row>
    <row r="1045" spans="9:9" x14ac:dyDescent="0.2">
      <c r="I1045" s="717"/>
    </row>
    <row r="1046" spans="9:9" x14ac:dyDescent="0.2">
      <c r="I1046" s="717"/>
    </row>
    <row r="1047" spans="9:9" x14ac:dyDescent="0.2">
      <c r="I1047" s="717"/>
    </row>
    <row r="1048" spans="9:9" x14ac:dyDescent="0.2">
      <c r="I1048" s="717"/>
    </row>
    <row r="1049" spans="9:9" x14ac:dyDescent="0.2">
      <c r="I1049" s="717"/>
    </row>
    <row r="1050" spans="9:9" x14ac:dyDescent="0.2">
      <c r="I1050" s="717"/>
    </row>
    <row r="1051" spans="9:9" x14ac:dyDescent="0.2">
      <c r="I1051" s="717"/>
    </row>
    <row r="1052" spans="9:9" x14ac:dyDescent="0.2">
      <c r="I1052" s="717"/>
    </row>
    <row r="1053" spans="9:9" x14ac:dyDescent="0.2">
      <c r="I1053" s="717"/>
    </row>
    <row r="1054" spans="9:9" x14ac:dyDescent="0.2">
      <c r="I1054" s="717"/>
    </row>
    <row r="1055" spans="9:9" x14ac:dyDescent="0.2">
      <c r="I1055" s="717"/>
    </row>
    <row r="1056" spans="9:9" x14ac:dyDescent="0.2">
      <c r="I1056" s="717"/>
    </row>
    <row r="1057" spans="9:9" x14ac:dyDescent="0.2">
      <c r="I1057" s="717"/>
    </row>
    <row r="1058" spans="9:9" x14ac:dyDescent="0.2">
      <c r="I1058" s="717"/>
    </row>
    <row r="1059" spans="9:9" x14ac:dyDescent="0.2">
      <c r="I1059" s="717"/>
    </row>
    <row r="1060" spans="9:9" x14ac:dyDescent="0.2">
      <c r="I1060" s="717"/>
    </row>
    <row r="1061" spans="9:9" x14ac:dyDescent="0.2">
      <c r="I1061" s="717"/>
    </row>
    <row r="1062" spans="9:9" x14ac:dyDescent="0.2">
      <c r="I1062" s="717"/>
    </row>
    <row r="1063" spans="9:9" x14ac:dyDescent="0.2">
      <c r="I1063" s="717"/>
    </row>
    <row r="1064" spans="9:9" x14ac:dyDescent="0.2">
      <c r="I1064" s="717"/>
    </row>
    <row r="1065" spans="9:9" x14ac:dyDescent="0.2">
      <c r="I1065" s="717"/>
    </row>
    <row r="1066" spans="9:9" x14ac:dyDescent="0.2">
      <c r="I1066" s="717"/>
    </row>
    <row r="1067" spans="9:9" x14ac:dyDescent="0.2">
      <c r="I1067" s="717"/>
    </row>
    <row r="1068" spans="9:9" x14ac:dyDescent="0.2">
      <c r="I1068" s="717"/>
    </row>
    <row r="1069" spans="9:9" x14ac:dyDescent="0.2">
      <c r="I1069" s="717"/>
    </row>
    <row r="1070" spans="9:9" x14ac:dyDescent="0.2">
      <c r="I1070" s="717"/>
    </row>
    <row r="1071" spans="9:9" x14ac:dyDescent="0.2">
      <c r="I1071" s="717"/>
    </row>
    <row r="1072" spans="9:9" x14ac:dyDescent="0.2">
      <c r="I1072" s="717"/>
    </row>
    <row r="1073" spans="9:9" x14ac:dyDescent="0.2">
      <c r="I1073" s="717"/>
    </row>
    <row r="1074" spans="9:9" x14ac:dyDescent="0.2">
      <c r="I1074" s="717"/>
    </row>
    <row r="1075" spans="9:9" x14ac:dyDescent="0.2">
      <c r="I1075" s="717"/>
    </row>
    <row r="1076" spans="9:9" x14ac:dyDescent="0.2">
      <c r="I1076" s="717"/>
    </row>
    <row r="1077" spans="9:9" x14ac:dyDescent="0.2">
      <c r="I1077" s="717"/>
    </row>
    <row r="1078" spans="9:9" x14ac:dyDescent="0.2">
      <c r="I1078" s="717"/>
    </row>
    <row r="1079" spans="9:9" x14ac:dyDescent="0.2">
      <c r="I1079" s="717"/>
    </row>
    <row r="1080" spans="9:9" x14ac:dyDescent="0.2">
      <c r="I1080" s="717"/>
    </row>
    <row r="1081" spans="9:9" x14ac:dyDescent="0.2">
      <c r="I1081" s="717"/>
    </row>
    <row r="1082" spans="9:9" x14ac:dyDescent="0.2">
      <c r="I1082" s="717"/>
    </row>
    <row r="1083" spans="9:9" x14ac:dyDescent="0.2">
      <c r="I1083" s="717"/>
    </row>
    <row r="1084" spans="9:9" x14ac:dyDescent="0.2">
      <c r="I1084" s="717"/>
    </row>
    <row r="1085" spans="9:9" x14ac:dyDescent="0.2">
      <c r="I1085" s="717"/>
    </row>
    <row r="1086" spans="9:9" x14ac:dyDescent="0.2">
      <c r="I1086" s="717"/>
    </row>
    <row r="1087" spans="9:9" x14ac:dyDescent="0.2">
      <c r="I1087" s="717"/>
    </row>
    <row r="1088" spans="9:9" x14ac:dyDescent="0.2">
      <c r="I1088" s="717"/>
    </row>
    <row r="1089" spans="9:9" x14ac:dyDescent="0.2">
      <c r="I1089" s="717"/>
    </row>
    <row r="1090" spans="9:9" x14ac:dyDescent="0.2">
      <c r="I1090" s="717"/>
    </row>
    <row r="1091" spans="9:9" x14ac:dyDescent="0.2">
      <c r="I1091" s="717"/>
    </row>
    <row r="1092" spans="9:9" x14ac:dyDescent="0.2">
      <c r="I1092" s="717"/>
    </row>
    <row r="1093" spans="9:9" x14ac:dyDescent="0.2">
      <c r="I1093" s="717"/>
    </row>
    <row r="1094" spans="9:9" x14ac:dyDescent="0.2">
      <c r="I1094" s="717"/>
    </row>
    <row r="1095" spans="9:9" x14ac:dyDescent="0.2">
      <c r="I1095" s="717"/>
    </row>
    <row r="1096" spans="9:9" x14ac:dyDescent="0.2">
      <c r="I1096" s="717"/>
    </row>
    <row r="1097" spans="9:9" x14ac:dyDescent="0.2">
      <c r="I1097" s="717"/>
    </row>
    <row r="1098" spans="9:9" x14ac:dyDescent="0.2">
      <c r="I1098" s="717"/>
    </row>
    <row r="1099" spans="9:9" x14ac:dyDescent="0.2">
      <c r="I1099" s="717"/>
    </row>
    <row r="1100" spans="9:9" x14ac:dyDescent="0.2">
      <c r="I1100" s="717"/>
    </row>
    <row r="1101" spans="9:9" x14ac:dyDescent="0.2">
      <c r="I1101" s="717"/>
    </row>
    <row r="1102" spans="9:9" x14ac:dyDescent="0.2">
      <c r="I1102" s="717"/>
    </row>
    <row r="1103" spans="9:9" x14ac:dyDescent="0.2">
      <c r="I1103" s="717"/>
    </row>
    <row r="1104" spans="9:9" x14ac:dyDescent="0.2">
      <c r="I1104" s="717"/>
    </row>
    <row r="1105" spans="9:9" x14ac:dyDescent="0.2">
      <c r="I1105" s="717"/>
    </row>
    <row r="1106" spans="9:9" x14ac:dyDescent="0.2">
      <c r="I1106" s="717"/>
    </row>
    <row r="1107" spans="9:9" x14ac:dyDescent="0.2">
      <c r="I1107" s="717"/>
    </row>
    <row r="1108" spans="9:9" x14ac:dyDescent="0.2">
      <c r="I1108" s="717"/>
    </row>
    <row r="1109" spans="9:9" x14ac:dyDescent="0.2">
      <c r="I1109" s="717"/>
    </row>
    <row r="1110" spans="9:9" x14ac:dyDescent="0.2">
      <c r="I1110" s="717"/>
    </row>
    <row r="1111" spans="9:9" x14ac:dyDescent="0.2">
      <c r="I1111" s="717"/>
    </row>
    <row r="1112" spans="9:9" x14ac:dyDescent="0.2">
      <c r="I1112" s="717"/>
    </row>
    <row r="1113" spans="9:9" x14ac:dyDescent="0.2">
      <c r="I1113" s="717"/>
    </row>
    <row r="1114" spans="9:9" x14ac:dyDescent="0.2">
      <c r="I1114" s="717"/>
    </row>
    <row r="1115" spans="9:9" x14ac:dyDescent="0.2">
      <c r="I1115" s="717"/>
    </row>
    <row r="1116" spans="9:9" x14ac:dyDescent="0.2">
      <c r="I1116" s="717"/>
    </row>
    <row r="1117" spans="9:9" x14ac:dyDescent="0.2">
      <c r="I1117" s="717"/>
    </row>
    <row r="1118" spans="9:9" x14ac:dyDescent="0.2">
      <c r="I1118" s="717"/>
    </row>
    <row r="1119" spans="9:9" x14ac:dyDescent="0.2">
      <c r="I1119" s="717"/>
    </row>
    <row r="1120" spans="9:9" x14ac:dyDescent="0.2">
      <c r="I1120" s="717"/>
    </row>
    <row r="1121" spans="9:9" x14ac:dyDescent="0.2">
      <c r="I1121" s="717"/>
    </row>
    <row r="1122" spans="9:9" x14ac:dyDescent="0.2">
      <c r="I1122" s="717"/>
    </row>
    <row r="1123" spans="9:9" x14ac:dyDescent="0.2">
      <c r="I1123" s="717"/>
    </row>
    <row r="1124" spans="9:9" x14ac:dyDescent="0.2">
      <c r="I1124" s="717"/>
    </row>
    <row r="1125" spans="9:9" x14ac:dyDescent="0.2">
      <c r="I1125" s="717"/>
    </row>
    <row r="1126" spans="9:9" x14ac:dyDescent="0.2">
      <c r="I1126" s="717"/>
    </row>
    <row r="1127" spans="9:9" x14ac:dyDescent="0.2">
      <c r="I1127" s="717"/>
    </row>
    <row r="1128" spans="9:9" x14ac:dyDescent="0.2">
      <c r="I1128" s="717"/>
    </row>
    <row r="1129" spans="9:9" x14ac:dyDescent="0.2">
      <c r="I1129" s="717"/>
    </row>
    <row r="1130" spans="9:9" x14ac:dyDescent="0.2">
      <c r="I1130" s="717"/>
    </row>
    <row r="1131" spans="9:9" x14ac:dyDescent="0.2">
      <c r="I1131" s="717"/>
    </row>
    <row r="1132" spans="9:9" x14ac:dyDescent="0.2">
      <c r="I1132" s="717"/>
    </row>
    <row r="1133" spans="9:9" x14ac:dyDescent="0.2">
      <c r="I1133" s="717"/>
    </row>
    <row r="1134" spans="9:9" x14ac:dyDescent="0.2">
      <c r="I1134" s="717"/>
    </row>
    <row r="1135" spans="9:9" x14ac:dyDescent="0.2">
      <c r="I1135" s="717"/>
    </row>
    <row r="1136" spans="9:9" x14ac:dyDescent="0.2">
      <c r="I1136" s="717"/>
    </row>
    <row r="1137" spans="9:9" x14ac:dyDescent="0.2">
      <c r="I1137" s="717"/>
    </row>
    <row r="1138" spans="9:9" x14ac:dyDescent="0.2">
      <c r="I1138" s="717"/>
    </row>
    <row r="1139" spans="9:9" x14ac:dyDescent="0.2">
      <c r="I1139" s="717"/>
    </row>
    <row r="1140" spans="9:9" x14ac:dyDescent="0.2">
      <c r="I1140" s="717"/>
    </row>
    <row r="1141" spans="9:9" x14ac:dyDescent="0.2">
      <c r="I1141" s="717"/>
    </row>
    <row r="1142" spans="9:9" x14ac:dyDescent="0.2">
      <c r="I1142" s="717"/>
    </row>
    <row r="1143" spans="9:9" x14ac:dyDescent="0.2">
      <c r="I1143" s="717"/>
    </row>
    <row r="1144" spans="9:9" x14ac:dyDescent="0.2">
      <c r="I1144" s="717"/>
    </row>
    <row r="1145" spans="9:9" x14ac:dyDescent="0.2">
      <c r="I1145" s="717"/>
    </row>
    <row r="1146" spans="9:9" x14ac:dyDescent="0.2">
      <c r="I1146" s="717"/>
    </row>
    <row r="1147" spans="9:9" x14ac:dyDescent="0.2">
      <c r="I1147" s="717"/>
    </row>
    <row r="1148" spans="9:9" x14ac:dyDescent="0.2">
      <c r="I1148" s="717"/>
    </row>
    <row r="1149" spans="9:9" x14ac:dyDescent="0.2">
      <c r="I1149" s="717"/>
    </row>
    <row r="1150" spans="9:9" x14ac:dyDescent="0.2">
      <c r="I1150" s="717"/>
    </row>
    <row r="1151" spans="9:9" x14ac:dyDescent="0.2">
      <c r="I1151" s="717"/>
    </row>
    <row r="1152" spans="9:9" x14ac:dyDescent="0.2">
      <c r="I1152" s="717"/>
    </row>
    <row r="1153" spans="9:9" x14ac:dyDescent="0.2">
      <c r="I1153" s="717"/>
    </row>
    <row r="1154" spans="9:9" x14ac:dyDescent="0.2">
      <c r="I1154" s="717"/>
    </row>
    <row r="1155" spans="9:9" x14ac:dyDescent="0.2">
      <c r="I1155" s="717"/>
    </row>
    <row r="1156" spans="9:9" x14ac:dyDescent="0.2">
      <c r="I1156" s="717"/>
    </row>
    <row r="1157" spans="9:9" x14ac:dyDescent="0.2">
      <c r="I1157" s="717"/>
    </row>
    <row r="1158" spans="9:9" x14ac:dyDescent="0.2">
      <c r="I1158" s="717"/>
    </row>
    <row r="1159" spans="9:9" x14ac:dyDescent="0.2">
      <c r="I1159" s="717"/>
    </row>
    <row r="1160" spans="9:9" x14ac:dyDescent="0.2">
      <c r="I1160" s="717"/>
    </row>
  </sheetData>
  <sheetProtection formatRows="0" insertColumns="0" insertRows="0" insertHyperlinks="0" sort="0" autoFilter="0" pivotTables="0"/>
  <mergeCells count="191">
    <mergeCell ref="AI54:AK54"/>
    <mergeCell ref="AB54:AH54"/>
    <mergeCell ref="AB55:AH55"/>
    <mergeCell ref="AI55:AK55"/>
    <mergeCell ref="Y21:AG21"/>
    <mergeCell ref="AI66:AK66"/>
    <mergeCell ref="Y19:AG19"/>
    <mergeCell ref="AH19:AJ19"/>
    <mergeCell ref="Y20:AG20"/>
    <mergeCell ref="AH20:AJ20"/>
    <mergeCell ref="AE59:AH59"/>
    <mergeCell ref="AI59:AK59"/>
    <mergeCell ref="AE63:AH63"/>
    <mergeCell ref="AI63:AK63"/>
    <mergeCell ref="AE64:AH64"/>
    <mergeCell ref="AI64:AK64"/>
    <mergeCell ref="AE65:AH65"/>
    <mergeCell ref="AI65:AK65"/>
    <mergeCell ref="Y60:AA60"/>
    <mergeCell ref="AB60:AD60"/>
    <mergeCell ref="Y59:AA59"/>
    <mergeCell ref="AB59:AD59"/>
    <mergeCell ref="Y62:AA62"/>
    <mergeCell ref="AB62:AD62"/>
    <mergeCell ref="AE15:AJ15"/>
    <mergeCell ref="P8:V10"/>
    <mergeCell ref="C18:I18"/>
    <mergeCell ref="J18:M18"/>
    <mergeCell ref="Y16:AD16"/>
    <mergeCell ref="AE16:AJ16"/>
    <mergeCell ref="Y18:AG18"/>
    <mergeCell ref="AH18:AJ18"/>
    <mergeCell ref="N18:O18"/>
    <mergeCell ref="C20:Q22"/>
    <mergeCell ref="M76:P76"/>
    <mergeCell ref="M77:P77"/>
    <mergeCell ref="M78:P78"/>
    <mergeCell ref="Q76:T76"/>
    <mergeCell ref="T61:X61"/>
    <mergeCell ref="B64:M64"/>
    <mergeCell ref="N64:Q64"/>
    <mergeCell ref="R64:S64"/>
    <mergeCell ref="T64:X64"/>
    <mergeCell ref="B66:M66"/>
    <mergeCell ref="N66:Q66"/>
    <mergeCell ref="R66:S66"/>
    <mergeCell ref="T66:X66"/>
    <mergeCell ref="B69:M69"/>
    <mergeCell ref="N69:Q69"/>
    <mergeCell ref="R69:S69"/>
    <mergeCell ref="T69:X69"/>
    <mergeCell ref="B59:M59"/>
    <mergeCell ref="T60:X60"/>
    <mergeCell ref="N59:Q59"/>
    <mergeCell ref="R59:S59"/>
    <mergeCell ref="T59:X59"/>
    <mergeCell ref="B77:D77"/>
    <mergeCell ref="AA1:AK1"/>
    <mergeCell ref="B4:G4"/>
    <mergeCell ref="H4:J4"/>
    <mergeCell ref="K4:M4"/>
    <mergeCell ref="P4:V7"/>
    <mergeCell ref="W4:AK7"/>
    <mergeCell ref="B15:M15"/>
    <mergeCell ref="H8:M8"/>
    <mergeCell ref="H9:M9"/>
    <mergeCell ref="B10:G10"/>
    <mergeCell ref="H10:M10"/>
    <mergeCell ref="O15:V15"/>
    <mergeCell ref="W8:AK10"/>
    <mergeCell ref="B11:G11"/>
    <mergeCell ref="H11:M11"/>
    <mergeCell ref="B12:G12"/>
    <mergeCell ref="H12:M12"/>
    <mergeCell ref="Y15:AD15"/>
    <mergeCell ref="B5:G5"/>
    <mergeCell ref="H5:M5"/>
    <mergeCell ref="B6:G6"/>
    <mergeCell ref="H6:M6"/>
    <mergeCell ref="B7:G7"/>
    <mergeCell ref="H7:M7"/>
    <mergeCell ref="AB57:AD57"/>
    <mergeCell ref="AE57:AH57"/>
    <mergeCell ref="AI57:AK57"/>
    <mergeCell ref="Y58:AA58"/>
    <mergeCell ref="AB58:AD58"/>
    <mergeCell ref="AE58:AH58"/>
    <mergeCell ref="AI58:AK58"/>
    <mergeCell ref="AI61:AK61"/>
    <mergeCell ref="AE60:AH60"/>
    <mergeCell ref="AI60:AK60"/>
    <mergeCell ref="AE61:AH61"/>
    <mergeCell ref="Y61:AA61"/>
    <mergeCell ref="AB61:AD61"/>
    <mergeCell ref="B57:M57"/>
    <mergeCell ref="N57:Q57"/>
    <mergeCell ref="R57:S57"/>
    <mergeCell ref="T57:X57"/>
    <mergeCell ref="Y57:AA57"/>
    <mergeCell ref="R62:S62"/>
    <mergeCell ref="T62:X62"/>
    <mergeCell ref="B61:M61"/>
    <mergeCell ref="N61:Q61"/>
    <mergeCell ref="R61:S61"/>
    <mergeCell ref="R58:S58"/>
    <mergeCell ref="T58:X58"/>
    <mergeCell ref="B60:M60"/>
    <mergeCell ref="N60:Q60"/>
    <mergeCell ref="R60:S60"/>
    <mergeCell ref="B58:M58"/>
    <mergeCell ref="N58:Q58"/>
    <mergeCell ref="B62:M62"/>
    <mergeCell ref="N62:Q62"/>
    <mergeCell ref="M79:P79"/>
    <mergeCell ref="M80:P80"/>
    <mergeCell ref="N63:Q63"/>
    <mergeCell ref="B76:D76"/>
    <mergeCell ref="AI62:AK62"/>
    <mergeCell ref="AI67:AK67"/>
    <mergeCell ref="AE68:AH68"/>
    <mergeCell ref="AI68:AK68"/>
    <mergeCell ref="AE69:AH69"/>
    <mergeCell ref="AI69:AK69"/>
    <mergeCell ref="AE67:AH67"/>
    <mergeCell ref="AE62:AH62"/>
    <mergeCell ref="AE66:AH66"/>
    <mergeCell ref="I77:L77"/>
    <mergeCell ref="Q77:T77"/>
    <mergeCell ref="Q78:T78"/>
    <mergeCell ref="Q79:T79"/>
    <mergeCell ref="Q80:T80"/>
    <mergeCell ref="E76:H76"/>
    <mergeCell ref="E77:H77"/>
    <mergeCell ref="E78:H78"/>
    <mergeCell ref="B78:D78"/>
    <mergeCell ref="B79:D79"/>
    <mergeCell ref="B80:D80"/>
    <mergeCell ref="Y64:AA64"/>
    <mergeCell ref="AB64:AD64"/>
    <mergeCell ref="B63:M63"/>
    <mergeCell ref="B65:M65"/>
    <mergeCell ref="N65:Q65"/>
    <mergeCell ref="R65:S65"/>
    <mergeCell ref="T65:X65"/>
    <mergeCell ref="Y65:AA65"/>
    <mergeCell ref="AB65:AD65"/>
    <mergeCell ref="Y63:AA63"/>
    <mergeCell ref="AB63:AD63"/>
    <mergeCell ref="R63:S63"/>
    <mergeCell ref="T63:X63"/>
    <mergeCell ref="I76:L76"/>
    <mergeCell ref="Y69:AA69"/>
    <mergeCell ref="Y66:AA66"/>
    <mergeCell ref="AB66:AD66"/>
    <mergeCell ref="B67:M67"/>
    <mergeCell ref="N67:Q67"/>
    <mergeCell ref="R67:S67"/>
    <mergeCell ref="T67:X67"/>
    <mergeCell ref="Y67:AA67"/>
    <mergeCell ref="AB67:AD67"/>
    <mergeCell ref="AB69:AD69"/>
    <mergeCell ref="B68:M68"/>
    <mergeCell ref="N68:Q68"/>
    <mergeCell ref="R68:S68"/>
    <mergeCell ref="T68:X68"/>
    <mergeCell ref="Y68:AA68"/>
    <mergeCell ref="AB68:AD68"/>
    <mergeCell ref="Q2:AK2"/>
    <mergeCell ref="E88:AK88"/>
    <mergeCell ref="E71:AK71"/>
    <mergeCell ref="E72:AK72"/>
    <mergeCell ref="E73:AK73"/>
    <mergeCell ref="E74:AK74"/>
    <mergeCell ref="E75:AK75"/>
    <mergeCell ref="E84:AK84"/>
    <mergeCell ref="E85:AK85"/>
    <mergeCell ref="E86:AK86"/>
    <mergeCell ref="E87:AK87"/>
    <mergeCell ref="P83:T83"/>
    <mergeCell ref="U83:AA83"/>
    <mergeCell ref="I78:L78"/>
    <mergeCell ref="I79:L79"/>
    <mergeCell ref="I80:L80"/>
    <mergeCell ref="U76:X76"/>
    <mergeCell ref="U77:X77"/>
    <mergeCell ref="U78:X78"/>
    <mergeCell ref="U79:X79"/>
    <mergeCell ref="U80:X80"/>
    <mergeCell ref="Y76:AK80"/>
    <mergeCell ref="E79:H79"/>
    <mergeCell ref="E80:H80"/>
  </mergeCells>
  <conditionalFormatting sqref="AJ17 AH17">
    <cfRule type="expression" dxfId="26" priority="1">
      <formula>$AJ17&gt;0</formula>
    </cfRule>
  </conditionalFormatting>
  <conditionalFormatting sqref="AO19:AQ20 AO21 AO23:AO25 AO17:AO18">
    <cfRule type="expression" dxfId="25" priority="2">
      <formula>MATCH(#REF!,IF($AO$17:$AO$21=#REF!,$AO$17:$AQ$21),0)</formula>
    </cfRule>
  </conditionalFormatting>
  <printOptions horizontalCentered="1"/>
  <pageMargins left="0.23622047244094491" right="0.15748031496062992" top="0.43307086614173229" bottom="0.19685039370078741" header="0.23622047244094491" footer="0.23622047244094491"/>
  <pageSetup paperSize="9" scale="52" fitToHeight="3" orientation="portrait" r:id="rId1"/>
  <headerFooter alignWithMargins="0"/>
  <rowBreaks count="1" manualBreakCount="1">
    <brk id="88" min="1" max="3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8" r:id="rId4" name="Button 4">
              <controlPr defaultSize="0" print="0" autoFill="0" autoPict="0" macro="[0]!Развернуть_бумага_заказ_обложка">
                <anchor moveWithCells="1" sizeWithCells="1">
                  <from>
                    <xdr:col>33</xdr:col>
                    <xdr:colOff>85725</xdr:colOff>
                    <xdr:row>52</xdr:row>
                    <xdr:rowOff>38100</xdr:rowOff>
                  </from>
                  <to>
                    <xdr:col>36</xdr:col>
                    <xdr:colOff>247650</xdr:colOff>
                    <xdr:row>52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5" name="Button 5">
              <controlPr defaultSize="0" print="0" autoFill="0" autoPict="0" macro="[0]!Свернуть_бумага_заказ_обложка">
                <anchor moveWithCells="1" sizeWithCells="1">
                  <from>
                    <xdr:col>29</xdr:col>
                    <xdr:colOff>104775</xdr:colOff>
                    <xdr:row>52</xdr:row>
                    <xdr:rowOff>47625</xdr:rowOff>
                  </from>
                  <to>
                    <xdr:col>32</xdr:col>
                    <xdr:colOff>304800</xdr:colOff>
                    <xdr:row>52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FF0000"/>
    <pageSetUpPr fitToPage="1"/>
  </sheetPr>
  <dimension ref="A1:K70"/>
  <sheetViews>
    <sheetView tabSelected="1" topLeftCell="A16" zoomScale="85" zoomScaleNormal="85" workbookViewId="0">
      <selection activeCell="B58" sqref="B58:C58"/>
    </sheetView>
  </sheetViews>
  <sheetFormatPr defaultRowHeight="12.75" x14ac:dyDescent="0.2"/>
  <cols>
    <col min="1" max="1" width="10.140625" style="28" customWidth="1"/>
    <col min="2" max="2" width="18.5703125" style="28" customWidth="1"/>
    <col min="3" max="3" width="59.5703125" style="28" customWidth="1"/>
    <col min="4" max="4" width="15.28515625" style="28" customWidth="1"/>
    <col min="5" max="5" width="16" style="28" customWidth="1"/>
    <col min="6" max="6" width="10.42578125" style="754" customWidth="1"/>
    <col min="7" max="7" width="17.28515625" style="28" customWidth="1"/>
    <col min="8" max="8" width="7.5703125" style="28" customWidth="1"/>
    <col min="9" max="9" width="8.7109375" style="28" customWidth="1"/>
    <col min="10" max="10" width="9.7109375" style="28" customWidth="1"/>
    <col min="11" max="16384" width="9.140625" style="28"/>
  </cols>
  <sheetData>
    <row r="1" spans="1:11" x14ac:dyDescent="0.2">
      <c r="A1" s="1957">
        <f ca="1">NOW()</f>
        <v>44680.419855208333</v>
      </c>
      <c r="B1" s="218"/>
      <c r="C1" s="590" t="s">
        <v>1924</v>
      </c>
      <c r="D1" s="28" t="s">
        <v>131</v>
      </c>
    </row>
    <row r="2" spans="1:11" x14ac:dyDescent="0.2">
      <c r="A2" s="220"/>
      <c r="B2" s="218"/>
      <c r="D2" s="28" t="s">
        <v>132</v>
      </c>
      <c r="I2" s="442"/>
      <c r="J2" s="442"/>
      <c r="K2" s="442"/>
    </row>
    <row r="3" spans="1:11" x14ac:dyDescent="0.2">
      <c r="B3" s="218"/>
      <c r="D3" s="28" t="s">
        <v>161</v>
      </c>
      <c r="I3" s="442"/>
      <c r="J3" s="442">
        <v>24661</v>
      </c>
      <c r="K3" s="442"/>
    </row>
    <row r="4" spans="1:11" ht="18.75" customHeight="1" x14ac:dyDescent="0.2">
      <c r="B4" s="218"/>
      <c r="D4" s="28" t="s">
        <v>354</v>
      </c>
      <c r="I4" s="442"/>
      <c r="J4" s="442"/>
      <c r="K4" s="442"/>
    </row>
    <row r="5" spans="1:11" ht="18.75" customHeight="1" x14ac:dyDescent="0.2">
      <c r="B5" s="218"/>
      <c r="I5" s="442"/>
      <c r="J5" s="442"/>
      <c r="K5" s="442"/>
    </row>
    <row r="6" spans="1:11" ht="18.75" customHeight="1" x14ac:dyDescent="0.2">
      <c r="B6" s="218"/>
    </row>
    <row r="7" spans="1:11" ht="18.75" customHeight="1" x14ac:dyDescent="0.2">
      <c r="B7" s="218"/>
    </row>
    <row r="8" spans="1:11" ht="18.75" customHeight="1" x14ac:dyDescent="0.2">
      <c r="B8" s="218"/>
    </row>
    <row r="9" spans="1:11" ht="15.75" x14ac:dyDescent="0.2">
      <c r="A9" s="19"/>
      <c r="B9" s="221"/>
      <c r="C9" s="1886" t="str">
        <f>Заказ!E2</f>
        <v>ООО "Кировская областная типография"</v>
      </c>
      <c r="D9" s="222"/>
      <c r="E9" s="19"/>
      <c r="F9" s="1153"/>
    </row>
    <row r="10" spans="1:11" ht="24.75" x14ac:dyDescent="0.2">
      <c r="A10" s="19"/>
      <c r="C10" s="1885" t="s">
        <v>162</v>
      </c>
      <c r="D10" s="1887" t="s">
        <v>224</v>
      </c>
      <c r="E10" s="1888" t="str">
        <f>Заказ!P1</f>
        <v>202210367</v>
      </c>
    </row>
    <row r="11" spans="1:11" ht="15.75" x14ac:dyDescent="0.2">
      <c r="A11" s="19"/>
      <c r="B11" s="19"/>
      <c r="C11" s="223"/>
      <c r="D11" s="1887" t="s">
        <v>226</v>
      </c>
      <c r="E11" s="1889">
        <f>Исх!J1</f>
        <v>25000</v>
      </c>
    </row>
    <row r="12" spans="1:11" ht="48" customHeight="1" x14ac:dyDescent="0.2">
      <c r="A12" s="19"/>
      <c r="B12" s="1891" t="s">
        <v>51</v>
      </c>
      <c r="C12" s="1892" t="str">
        <f>Заказ!C6</f>
        <v>Чепецк Инфо, ООО</v>
      </c>
      <c r="D12" s="224" t="s">
        <v>227</v>
      </c>
      <c r="E12" s="1890" t="str">
        <f>Заказ!C12</f>
        <v>А3</v>
      </c>
    </row>
    <row r="13" spans="1:11" ht="14.25" x14ac:dyDescent="0.2">
      <c r="A13" s="19"/>
      <c r="B13" s="19"/>
      <c r="C13" s="19"/>
      <c r="D13" s="227" t="s">
        <v>1276</v>
      </c>
      <c r="E13" s="1890">
        <f>Заказ!C14</f>
        <v>12</v>
      </c>
    </row>
    <row r="14" spans="1:11" ht="19.5" x14ac:dyDescent="0.2">
      <c r="A14" s="19"/>
      <c r="B14" s="1893" t="s">
        <v>309</v>
      </c>
      <c r="C14" s="1894" t="str">
        <f>Заказ!B9</f>
        <v>ГАЗЕТЫ</v>
      </c>
      <c r="D14" s="159"/>
      <c r="E14" s="225"/>
    </row>
    <row r="15" spans="1:11" ht="21.75" customHeight="1" x14ac:dyDescent="0.2">
      <c r="A15" s="19"/>
      <c r="B15" s="19"/>
      <c r="C15" s="1895" t="str">
        <f>Заказ!D9</f>
        <v>ГАЗЕТЫ РУЛОННЫЕ</v>
      </c>
      <c r="D15" s="226"/>
      <c r="E15" s="228"/>
    </row>
    <row r="16" spans="1:11" ht="69.75" customHeight="1" x14ac:dyDescent="0.2">
      <c r="A16" s="19"/>
      <c r="B16" s="1893" t="s">
        <v>225</v>
      </c>
      <c r="C16" s="1896" t="str">
        <f>Заказ!D8</f>
        <v>Про город К-Чепецк № 13 от 02.04.2022</v>
      </c>
      <c r="D16" s="224"/>
      <c r="E16" s="229"/>
    </row>
    <row r="17" spans="1:7" x14ac:dyDescent="0.2">
      <c r="A17" s="19"/>
      <c r="B17" s="68"/>
      <c r="C17" s="158" t="s">
        <v>48</v>
      </c>
      <c r="D17" s="718" t="s">
        <v>52</v>
      </c>
      <c r="E17" s="229" t="s">
        <v>310</v>
      </c>
    </row>
    <row r="18" spans="1:7" x14ac:dyDescent="0.2">
      <c r="A18" s="68"/>
      <c r="B18" s="32" t="s">
        <v>399</v>
      </c>
      <c r="C18" s="719" t="str">
        <f>Заказ!C49</f>
        <v>СityLine</v>
      </c>
      <c r="D18" s="720">
        <f>Заказ!I49</f>
        <v>25000</v>
      </c>
      <c r="E18" s="718" t="str">
        <f>IF(Заказ!E49&gt;0,Заказ!E49,"")</f>
        <v>4+4</v>
      </c>
      <c r="F18" s="1154"/>
      <c r="G18" s="241"/>
    </row>
    <row r="19" spans="1:7" x14ac:dyDescent="0.2">
      <c r="A19" s="19"/>
      <c r="B19" s="158" t="s">
        <v>401</v>
      </c>
      <c r="C19" s="719">
        <f>Заказ!C51</f>
        <v>0</v>
      </c>
      <c r="D19" s="720">
        <f>Заказ!I51</f>
        <v>0</v>
      </c>
      <c r="E19" s="718" t="str">
        <f>IF(Заказ!E51&gt;0,Заказ!E51,"")</f>
        <v/>
      </c>
      <c r="F19" s="1154"/>
      <c r="G19" s="241"/>
    </row>
    <row r="20" spans="1:7" x14ac:dyDescent="0.2">
      <c r="B20" s="718" t="s">
        <v>400</v>
      </c>
      <c r="C20" s="719">
        <f>Заказ!C50</f>
        <v>0</v>
      </c>
      <c r="D20" s="720">
        <f>Заказ!I50</f>
        <v>0</v>
      </c>
      <c r="E20" s="718" t="str">
        <f>IF(Заказ!E50&gt;0,Заказ!E50,"")</f>
        <v/>
      </c>
    </row>
    <row r="21" spans="1:7" ht="13.5" thickBot="1" x14ac:dyDescent="0.25">
      <c r="B21" s="718" t="s">
        <v>402</v>
      </c>
      <c r="C21" s="719">
        <f>Заказ!C52</f>
        <v>0</v>
      </c>
      <c r="D21" s="720">
        <f>Заказ!I52</f>
        <v>0</v>
      </c>
      <c r="E21" s="718" t="str">
        <f>IF(Заказ!E52&gt;0,Заказ!E52,"")</f>
        <v/>
      </c>
    </row>
    <row r="22" spans="1:7" ht="39" thickBot="1" x14ac:dyDescent="0.25">
      <c r="A22" s="221"/>
      <c r="B22" s="230" t="s">
        <v>251</v>
      </c>
      <c r="C22" s="200" t="s">
        <v>228</v>
      </c>
      <c r="D22" s="217" t="s">
        <v>229</v>
      </c>
      <c r="E22" s="217" t="s">
        <v>230</v>
      </c>
      <c r="F22" s="1161" t="s">
        <v>311</v>
      </c>
    </row>
    <row r="23" spans="1:7" x14ac:dyDescent="0.2">
      <c r="A23" s="20"/>
      <c r="B23" s="1166">
        <v>1</v>
      </c>
      <c r="C23" s="208" t="s">
        <v>1193</v>
      </c>
      <c r="D23" s="204"/>
      <c r="E23" s="205">
        <f ca="1">SUM(E24:E27)</f>
        <v>34618.377442724501</v>
      </c>
      <c r="F23" s="1155"/>
      <c r="G23" s="231"/>
    </row>
    <row r="24" spans="1:7" x14ac:dyDescent="0.2">
      <c r="A24" s="20"/>
      <c r="B24" s="1167">
        <v>2</v>
      </c>
      <c r="C24" s="209" t="s">
        <v>920</v>
      </c>
      <c r="D24" s="195"/>
      <c r="E24" s="172">
        <f ca="1">Мат!J1</f>
        <v>23906.126691562502</v>
      </c>
      <c r="F24" s="1155"/>
    </row>
    <row r="25" spans="1:7" x14ac:dyDescent="0.2">
      <c r="A25" s="20"/>
      <c r="B25" s="1167">
        <v>3</v>
      </c>
      <c r="C25" s="167" t="s">
        <v>921</v>
      </c>
      <c r="D25" s="195"/>
      <c r="E25" s="172">
        <f ca="1">Мат!G1</f>
        <v>7519.1007511619991</v>
      </c>
      <c r="F25" s="1155"/>
    </row>
    <row r="26" spans="1:7" x14ac:dyDescent="0.2">
      <c r="A26" s="20"/>
      <c r="B26" s="1167">
        <v>4</v>
      </c>
      <c r="C26" s="167" t="s">
        <v>922</v>
      </c>
      <c r="D26" s="195"/>
      <c r="E26" s="172">
        <f>Мат!H1</f>
        <v>3074.4000000000005</v>
      </c>
      <c r="F26" s="1155"/>
    </row>
    <row r="27" spans="1:7" ht="13.5" thickBot="1" x14ac:dyDescent="0.25">
      <c r="A27" s="20"/>
      <c r="B27" s="1168">
        <v>5</v>
      </c>
      <c r="C27" s="232" t="s">
        <v>923</v>
      </c>
      <c r="D27" s="206"/>
      <c r="E27" s="207">
        <f>Мат!I1</f>
        <v>118.75</v>
      </c>
      <c r="F27" s="1155"/>
    </row>
    <row r="28" spans="1:7" x14ac:dyDescent="0.2">
      <c r="A28" s="20"/>
      <c r="B28" s="1169">
        <v>6</v>
      </c>
      <c r="C28" s="210" t="s">
        <v>371</v>
      </c>
      <c r="D28" s="1946"/>
      <c r="E28" s="211">
        <f>SUM(E29:E32)</f>
        <v>2516.4222719999998</v>
      </c>
      <c r="F28" s="1155"/>
      <c r="G28" s="231"/>
    </row>
    <row r="29" spans="1:7" x14ac:dyDescent="0.2">
      <c r="A29" s="20"/>
      <c r="B29" s="1167">
        <v>7</v>
      </c>
      <c r="C29" s="1941" t="s">
        <v>1357</v>
      </c>
      <c r="D29" s="1943">
        <v>2</v>
      </c>
      <c r="E29" s="2001">
        <v>0</v>
      </c>
      <c r="F29" s="1155"/>
    </row>
    <row r="30" spans="1:7" x14ac:dyDescent="0.2">
      <c r="A30" s="20"/>
      <c r="B30" s="1167">
        <v>8</v>
      </c>
      <c r="C30" s="166" t="s">
        <v>1358</v>
      </c>
      <c r="D30" s="1944">
        <v>4</v>
      </c>
      <c r="E30" s="173">
        <f>Трудозатраты!T111</f>
        <v>2321.7732719999999</v>
      </c>
      <c r="F30" s="1155"/>
    </row>
    <row r="31" spans="1:7" x14ac:dyDescent="0.2">
      <c r="A31" s="20"/>
      <c r="B31" s="1167">
        <v>9</v>
      </c>
      <c r="C31" s="166" t="s">
        <v>1359</v>
      </c>
      <c r="D31" s="1944">
        <v>2.6</v>
      </c>
      <c r="E31" s="173">
        <f>Трудозатраты!T845</f>
        <v>194.649</v>
      </c>
      <c r="F31" s="1155"/>
    </row>
    <row r="32" spans="1:7" ht="13.5" thickBot="1" x14ac:dyDescent="0.25">
      <c r="A32" s="20"/>
      <c r="B32" s="1167">
        <v>10</v>
      </c>
      <c r="C32" s="1942" t="s">
        <v>1360</v>
      </c>
      <c r="D32" s="1945">
        <v>3</v>
      </c>
      <c r="E32" s="2001">
        <v>0</v>
      </c>
      <c r="F32" s="1155"/>
    </row>
    <row r="33" spans="1:10" ht="13.5" thickBot="1" x14ac:dyDescent="0.25">
      <c r="A33" s="233"/>
      <c r="B33" s="234">
        <v>11</v>
      </c>
      <c r="C33" s="169" t="s">
        <v>1380</v>
      </c>
      <c r="D33" s="196"/>
      <c r="E33" s="170">
        <f ca="1">(Сумма_материалов+Сумма_зпл)*1.2+Сумма_прочие_расходы</f>
        <v>44561.759657669405</v>
      </c>
      <c r="F33" s="587"/>
    </row>
    <row r="34" spans="1:10" ht="13.5" thickBot="1" x14ac:dyDescent="0.25">
      <c r="A34" s="233"/>
      <c r="B34" s="1170">
        <v>12</v>
      </c>
      <c r="C34" s="212" t="s">
        <v>1361</v>
      </c>
      <c r="D34" s="1175"/>
      <c r="E34" s="213">
        <f>Трудозатраты!AE846</f>
        <v>9579.0665879999997</v>
      </c>
      <c r="F34" s="1155"/>
    </row>
    <row r="35" spans="1:10" ht="13.5" thickBot="1" x14ac:dyDescent="0.25">
      <c r="A35" s="233"/>
      <c r="B35" s="1532">
        <v>13</v>
      </c>
      <c r="C35" s="1533" t="s">
        <v>928</v>
      </c>
      <c r="D35" s="1534"/>
      <c r="E35" s="1535">
        <f ca="1">Прямые_затраты+Накладные_расходы</f>
        <v>54140.826245669406</v>
      </c>
      <c r="F35" s="1155"/>
    </row>
    <row r="36" spans="1:10" ht="17.25" customHeight="1" thickBot="1" x14ac:dyDescent="0.25">
      <c r="A36" s="233"/>
      <c r="B36" s="1172">
        <v>14</v>
      </c>
      <c r="C36" s="1531" t="s">
        <v>1195</v>
      </c>
      <c r="D36" s="1938">
        <v>-0.155</v>
      </c>
      <c r="E36" s="1536">
        <f ca="1">ABS(Себестоимость)*Рентабельность_процент</f>
        <v>-8391.8280680787575</v>
      </c>
      <c r="F36" s="1156"/>
      <c r="G36" s="236"/>
    </row>
    <row r="37" spans="1:10" x14ac:dyDescent="0.2">
      <c r="A37" s="233"/>
      <c r="B37" s="1172">
        <v>15</v>
      </c>
      <c r="C37" s="1164" t="s">
        <v>1379</v>
      </c>
      <c r="D37" s="1162"/>
      <c r="E37" s="1163">
        <f>E38+E39+E40+E41</f>
        <v>0</v>
      </c>
      <c r="F37" s="1155"/>
    </row>
    <row r="38" spans="1:10" x14ac:dyDescent="0.2">
      <c r="A38" s="233"/>
      <c r="B38" s="1940">
        <v>16</v>
      </c>
      <c r="C38" s="1956" t="s">
        <v>1194</v>
      </c>
      <c r="D38" s="1165"/>
      <c r="E38" s="1998">
        <v>0</v>
      </c>
      <c r="F38" s="1155"/>
      <c r="G38" s="1328"/>
      <c r="H38" s="1328" t="s">
        <v>256</v>
      </c>
      <c r="I38" s="1328" t="s">
        <v>379</v>
      </c>
      <c r="J38" s="1328" t="s">
        <v>257</v>
      </c>
    </row>
    <row r="39" spans="1:10" x14ac:dyDescent="0.2">
      <c r="A39" s="233"/>
      <c r="B39" s="1171">
        <v>17</v>
      </c>
      <c r="C39" s="168" t="s">
        <v>924</v>
      </c>
      <c r="D39" s="1530"/>
      <c r="E39" s="1998">
        <v>0</v>
      </c>
      <c r="F39" s="1155"/>
      <c r="G39" s="1328" t="s">
        <v>400</v>
      </c>
      <c r="H39" s="2016"/>
      <c r="I39" s="2017">
        <f>Тираж</f>
        <v>25000</v>
      </c>
      <c r="J39" s="1328">
        <f>H39*I39</f>
        <v>0</v>
      </c>
    </row>
    <row r="40" spans="1:10" x14ac:dyDescent="0.2">
      <c r="A40" s="233"/>
      <c r="B40" s="1173">
        <v>18</v>
      </c>
      <c r="C40" s="167" t="s">
        <v>925</v>
      </c>
      <c r="D40" s="195"/>
      <c r="E40" s="1999">
        <v>0</v>
      </c>
      <c r="F40" s="1155"/>
      <c r="G40" s="1328" t="s">
        <v>1387</v>
      </c>
      <c r="H40" s="2016"/>
      <c r="I40" s="2017">
        <v>1</v>
      </c>
      <c r="J40" s="1328">
        <f>H40*I40</f>
        <v>0</v>
      </c>
    </row>
    <row r="41" spans="1:10" ht="13.5" thickBot="1" x14ac:dyDescent="0.25">
      <c r="A41" s="233"/>
      <c r="B41" s="1174">
        <v>19</v>
      </c>
      <c r="C41" s="232" t="s">
        <v>926</v>
      </c>
      <c r="D41" s="206"/>
      <c r="E41" s="2000">
        <v>0</v>
      </c>
      <c r="F41" s="1155"/>
      <c r="G41" s="2016"/>
      <c r="H41" s="2016"/>
      <c r="I41" s="2018"/>
      <c r="J41" s="1328">
        <f>H41*I41</f>
        <v>0</v>
      </c>
    </row>
    <row r="42" spans="1:10" ht="15.75" hidden="1" thickBot="1" x14ac:dyDescent="0.25">
      <c r="A42" s="233"/>
      <c r="B42" s="1951"/>
      <c r="C42" s="1952"/>
      <c r="D42" s="1953"/>
      <c r="E42" s="1954"/>
      <c r="F42" s="1158"/>
      <c r="G42" s="590"/>
    </row>
    <row r="43" spans="1:10" ht="15.75" hidden="1" thickBot="1" x14ac:dyDescent="0.25">
      <c r="A43" s="233"/>
      <c r="B43" s="1951"/>
      <c r="C43" s="1952"/>
      <c r="D43" s="1953"/>
      <c r="E43" s="1954"/>
      <c r="F43" s="1158"/>
      <c r="G43" s="590"/>
    </row>
    <row r="44" spans="1:10" ht="15.75" hidden="1" thickBot="1" x14ac:dyDescent="0.25">
      <c r="A44" s="233"/>
      <c r="B44" s="1951"/>
      <c r="C44" s="1952"/>
      <c r="D44" s="1953"/>
      <c r="E44" s="1954"/>
      <c r="F44" s="1158"/>
      <c r="G44" s="590"/>
    </row>
    <row r="45" spans="1:10" ht="15.75" hidden="1" thickBot="1" x14ac:dyDescent="0.25">
      <c r="A45" s="233"/>
      <c r="B45" s="1951"/>
      <c r="C45" s="1952"/>
      <c r="D45" s="1953"/>
      <c r="E45" s="1954"/>
      <c r="F45" s="1158"/>
      <c r="G45" s="590"/>
    </row>
    <row r="46" spans="1:10" ht="15.75" hidden="1" customHeight="1" x14ac:dyDescent="0.2">
      <c r="A46" s="233"/>
      <c r="B46" s="1167"/>
      <c r="C46" s="1997" t="s">
        <v>1362</v>
      </c>
      <c r="D46" s="1962">
        <f ca="1">Стоимость_за_тираж_без_НДС/Тираж</f>
        <v>1.5333332000000002</v>
      </c>
      <c r="E46" s="1963">
        <f ca="1">ROUND(E48-Сумма_НДС,2)</f>
        <v>38333.33</v>
      </c>
      <c r="F46" s="1157"/>
    </row>
    <row r="47" spans="1:10" hidden="1" x14ac:dyDescent="0.2">
      <c r="A47" s="233"/>
      <c r="B47" s="1167"/>
      <c r="C47" s="1997" t="s">
        <v>927</v>
      </c>
      <c r="D47" s="1995">
        <v>0.2</v>
      </c>
      <c r="E47" s="1996">
        <f ca="1">(ROUND(((((Прямые_затраты/1.2)+Накладные_расходы+Рентабельность+Сумма_прочие_расходы)/Тираж)*Тираж+((((Прямые_затраты/1.2)+Накладные_расходы+Рентабельность+Сумма_прочие_расходы)/Тираж)*Тираж)*Ставка_НДС)/Тираж,2)*Тираж)-(ROUND(((((Прямые_затраты/1.2)+Накладные_расходы+Рентабельность+Сумма_прочие_расходы)/Тираж)*Тираж+((((Прямые_затраты/1.2)+Накладные_расходы+Рентабельность+Сумма_прочие_расходы)/Тираж)*Тираж)*Ставка_НДС)/Тираж,2)*Тираж)/1.2</f>
        <v>7666.6666666666642</v>
      </c>
      <c r="F47" s="1155"/>
    </row>
    <row r="48" spans="1:10" ht="15.75" customHeight="1" x14ac:dyDescent="0.2">
      <c r="A48" s="233"/>
      <c r="B48" s="1948">
        <v>20</v>
      </c>
      <c r="C48" s="1947" t="s">
        <v>1363</v>
      </c>
      <c r="D48" s="1950">
        <f ca="1">ROUND((Стоимость_за_тираж_без_НДС+Сумма_НДС)/Тираж,2)</f>
        <v>1.84</v>
      </c>
      <c r="E48" s="1949">
        <f ca="1">ROUND((((((Прямые_затраты-Сумма_прочие_расходы)/1.2)+Накладные_расходы+Рентабельность+Сумма_прочие_расходы)/Тираж)*Тираж+(((((Прямые_затраты-Сумма_прочие_расходы)/1.2)+Накладные_расходы+Рентабельность+Сумма_прочие_расходы)/Тираж)*Тираж)*Ставка_НДС)/Тираж,2)*Тираж</f>
        <v>46000</v>
      </c>
      <c r="F48" s="1155"/>
      <c r="G48" s="218"/>
    </row>
    <row r="49" spans="1:8" ht="13.5" thickBot="1" x14ac:dyDescent="0.25">
      <c r="A49" s="233"/>
      <c r="B49" s="1173">
        <v>21</v>
      </c>
      <c r="C49" s="588" t="s">
        <v>1388</v>
      </c>
      <c r="D49" s="589">
        <f ca="1">E33/E48</f>
        <v>0.96873390560150885</v>
      </c>
      <c r="E49" s="591"/>
      <c r="F49" s="1155"/>
      <c r="G49" s="218"/>
    </row>
    <row r="50" spans="1:8" ht="15.75" hidden="1" thickBot="1" x14ac:dyDescent="0.25">
      <c r="A50" s="233"/>
      <c r="B50" s="1951"/>
      <c r="C50" s="1952"/>
      <c r="D50" s="1953"/>
      <c r="E50" s="1954"/>
      <c r="F50" s="1158"/>
      <c r="G50" s="590" t="s">
        <v>303</v>
      </c>
    </row>
    <row r="51" spans="1:8" ht="13.5" thickBot="1" x14ac:dyDescent="0.25">
      <c r="A51" s="233"/>
      <c r="B51" s="1937">
        <v>22</v>
      </c>
      <c r="C51" s="1939" t="s">
        <v>1196</v>
      </c>
      <c r="D51" s="217"/>
      <c r="E51" s="1955">
        <f ca="1">E48-E33</f>
        <v>1438.240342330595</v>
      </c>
      <c r="F51" s="1159"/>
    </row>
    <row r="52" spans="1:8" ht="13.5" hidden="1" thickBot="1" x14ac:dyDescent="0.25">
      <c r="A52" s="20"/>
      <c r="B52" s="1933">
        <v>28</v>
      </c>
      <c r="C52" s="1934" t="s">
        <v>1197</v>
      </c>
      <c r="D52" s="1935">
        <v>0.01</v>
      </c>
      <c r="E52" s="1936">
        <f ca="1">E51*D52</f>
        <v>14.38240342330595</v>
      </c>
      <c r="F52" s="175"/>
    </row>
    <row r="53" spans="1:8" x14ac:dyDescent="0.2">
      <c r="A53" s="20"/>
      <c r="B53" s="176"/>
      <c r="C53" s="175"/>
      <c r="D53" s="176"/>
      <c r="E53" s="177"/>
      <c r="F53" s="175"/>
    </row>
    <row r="54" spans="1:8" x14ac:dyDescent="0.2">
      <c r="A54" s="19"/>
      <c r="B54" s="237"/>
      <c r="C54" s="19" t="s">
        <v>5</v>
      </c>
      <c r="D54" s="17"/>
      <c r="E54" s="220" t="str">
        <f>Исх!II1</f>
        <v>О.А. Коврова</v>
      </c>
    </row>
    <row r="55" spans="1:8" x14ac:dyDescent="0.2">
      <c r="A55" s="19"/>
      <c r="B55" s="238"/>
      <c r="C55" s="19" t="s">
        <v>1176</v>
      </c>
      <c r="D55" s="17"/>
      <c r="E55" s="220" t="str">
        <f>Исх!II21</f>
        <v>О.А. Коврова</v>
      </c>
    </row>
    <row r="56" spans="1:8" ht="12.75" hidden="1" customHeight="1" x14ac:dyDescent="0.2">
      <c r="A56" s="19"/>
      <c r="B56" s="959" t="str">
        <f ca="1">MID(CELL("filename",A1),SEARCH("[",CELL("filename",A1))+1,SEARCH("]",CELL("filename",A1))-SEARCH("[",CELL("filename",A1))-1)</f>
        <v>10367 Про город КЧ №13 А3 12 4+4 25000.xlsm</v>
      </c>
    </row>
    <row r="57" spans="1:8" ht="12.75" hidden="1" customHeight="1" x14ac:dyDescent="0.2">
      <c r="A57" s="19"/>
      <c r="B57" s="959" t="str">
        <f ca="1">MID(CELL("filename",A1),SEARCH("[",CELL("filename",A1))+1,SEARCH("]",CELL("filename",A1))-SEARCH("[",CELL("filename",A1))-1)</f>
        <v>10367 Про город КЧ №13 А3 12 4+4 25000.xlsm</v>
      </c>
      <c r="C57" s="19"/>
    </row>
    <row r="58" spans="1:8" ht="24.75" customHeight="1" x14ac:dyDescent="0.2">
      <c r="B58" s="2452" t="s">
        <v>1955</v>
      </c>
      <c r="C58" s="2452"/>
    </row>
    <row r="59" spans="1:8" x14ac:dyDescent="0.2">
      <c r="B59" s="2446"/>
      <c r="C59" s="2447"/>
      <c r="D59" s="1160"/>
      <c r="E59" s="1160"/>
      <c r="F59" s="1160"/>
      <c r="G59" s="239"/>
      <c r="H59" s="239"/>
    </row>
    <row r="60" spans="1:8" x14ac:dyDescent="0.2">
      <c r="B60" s="2448"/>
      <c r="C60" s="2449"/>
      <c r="D60" s="1160"/>
      <c r="E60" s="1160"/>
      <c r="F60" s="1160"/>
      <c r="G60" s="239"/>
      <c r="H60" s="239"/>
    </row>
    <row r="61" spans="1:8" x14ac:dyDescent="0.2">
      <c r="B61" s="2448"/>
      <c r="C61" s="2449"/>
      <c r="D61" s="1160"/>
      <c r="E61" s="1160"/>
      <c r="F61" s="1160"/>
      <c r="G61" s="239"/>
      <c r="H61" s="239"/>
    </row>
    <row r="62" spans="1:8" x14ac:dyDescent="0.2">
      <c r="B62" s="2450"/>
      <c r="C62" s="2451"/>
      <c r="D62" s="1160"/>
      <c r="E62" s="1160"/>
      <c r="F62" s="1160"/>
      <c r="G62" s="239"/>
      <c r="H62" s="239"/>
    </row>
    <row r="63" spans="1:8" x14ac:dyDescent="0.2">
      <c r="B63" s="954"/>
      <c r="C63" s="1825"/>
      <c r="D63" s="1826"/>
      <c r="E63" s="1827"/>
      <c r="F63" s="1160"/>
      <c r="G63" s="239"/>
      <c r="H63" s="239"/>
    </row>
    <row r="64" spans="1:8" ht="18" customHeight="1" x14ac:dyDescent="0.2">
      <c r="B64" s="1977" t="s">
        <v>1369</v>
      </c>
      <c r="C64" s="1978" t="str">
        <f>E10</f>
        <v>202210367</v>
      </c>
      <c r="D64" s="1826"/>
      <c r="E64" s="1827"/>
      <c r="F64" s="1160"/>
      <c r="G64" s="239"/>
      <c r="H64" s="239"/>
    </row>
    <row r="65" spans="2:5" ht="42.75" customHeight="1" x14ac:dyDescent="0.2">
      <c r="B65" s="1979" t="s">
        <v>732</v>
      </c>
      <c r="C65" s="1980" t="str">
        <f>C16</f>
        <v>Про город К-Чепецк № 13 от 02.04.2022</v>
      </c>
      <c r="D65" s="1826"/>
    </row>
    <row r="66" spans="2:5" ht="18" customHeight="1" x14ac:dyDescent="0.2">
      <c r="B66" s="1979" t="s">
        <v>439</v>
      </c>
      <c r="C66" s="1981">
        <f>E11</f>
        <v>25000</v>
      </c>
      <c r="D66" s="1826"/>
    </row>
    <row r="67" spans="2:5" ht="18" customHeight="1" x14ac:dyDescent="0.2">
      <c r="B67" s="1979" t="s">
        <v>1370</v>
      </c>
      <c r="C67" s="1982">
        <f ca="1">D48</f>
        <v>1.84</v>
      </c>
      <c r="D67" s="1160"/>
    </row>
    <row r="68" spans="2:5" ht="18" customHeight="1" x14ac:dyDescent="0.2">
      <c r="B68" s="1983" t="s">
        <v>1371</v>
      </c>
      <c r="C68" s="1984">
        <f ca="1">E48</f>
        <v>46000</v>
      </c>
      <c r="D68" s="754"/>
      <c r="E68" s="754"/>
    </row>
    <row r="69" spans="2:5" ht="18" customHeight="1" x14ac:dyDescent="0.2">
      <c r="B69" s="1979" t="s">
        <v>1381</v>
      </c>
      <c r="C69" s="2003" t="s">
        <v>1382</v>
      </c>
    </row>
    <row r="70" spans="2:5" ht="30" customHeight="1" x14ac:dyDescent="0.2">
      <c r="B70" s="1983" t="s">
        <v>1383</v>
      </c>
      <c r="C70" s="2004" t="s">
        <v>1384</v>
      </c>
    </row>
  </sheetData>
  <sheetProtection algorithmName="SHA-512" hashValue="kCQCBlQjFImG5ATURJsaUl7DI8DVuxzgEn5OrK/P6eoJNybYfRowGgonv9KhgttoIdUAcj60Iw1aKfiVMP3ToA==" saltValue="1cCiIQRtM/klT5GS+fNO1w==" spinCount="100000" sheet="1" objects="1" scenarios="1" selectLockedCells="1"/>
  <customSheetViews>
    <customSheetView guid="{DFC1AA5A-BB58-4864-A1E0-C1D77A337997}" showRuler="0" topLeftCell="A19">
      <selection activeCell="F12" sqref="F12"/>
      <pageMargins left="0.78740157480314965" right="0.78740157480314965" top="0.19685039370078741" bottom="0.19685039370078741" header="0.51181102362204722" footer="0.51181102362204722"/>
      <pageSetup paperSize="9" scale="80" orientation="landscape" r:id="rId1"/>
      <headerFooter alignWithMargins="0">
        <oddFooter>&amp;L&amp;D</oddFooter>
      </headerFooter>
    </customSheetView>
  </customSheetViews>
  <mergeCells count="2">
    <mergeCell ref="B59:C62"/>
    <mergeCell ref="B58:C58"/>
  </mergeCells>
  <phoneticPr fontId="0" type="noConversion"/>
  <conditionalFormatting sqref="D36">
    <cfRule type="expression" dxfId="24" priority="2" stopIfTrue="1">
      <formula>$D$36&gt;0</formula>
    </cfRule>
  </conditionalFormatting>
  <conditionalFormatting sqref="D36:E36">
    <cfRule type="expression" dxfId="23" priority="1" stopIfTrue="1">
      <formula>$D$36&gt;=0</formula>
    </cfRule>
    <cfRule type="expression" dxfId="22" priority="3" stopIfTrue="1">
      <formula>$D$36&gt;0</formula>
    </cfRule>
    <cfRule type="expression" dxfId="21" priority="4" stopIfTrue="1">
      <formula>$D$36&lt;0</formula>
    </cfRule>
  </conditionalFormatting>
  <pageMargins left="1.3779527559055118" right="0.78740157480314965" top="0.35433070866141736" bottom="0.17" header="0.27559055118110237" footer="0.27"/>
  <pageSetup paperSize="9" scale="65" orientation="landscape" r:id="rId2"/>
  <headerFooter alignWithMargins="0">
    <oddFooter>&amp;L&amp;D&amp;RРаспечатал:  pto_tehnolog13,  31.03.2022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5" name="Button 1">
              <controlPr defaultSize="0" print="0" autoFill="0" autoPict="0" macro="[0]!getDeals">
                <anchor moveWithCells="1" sizeWithCells="1">
                  <from>
                    <xdr:col>3</xdr:col>
                    <xdr:colOff>200025</xdr:colOff>
                    <xdr:row>57</xdr:row>
                    <xdr:rowOff>133350</xdr:rowOff>
                  </from>
                  <to>
                    <xdr:col>5</xdr:col>
                    <xdr:colOff>323850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6" name="Button 2">
              <controlPr defaultSize="0" print="0" autoFill="0" autoPict="0" macro="[0]!toBitrixDeal">
                <anchor moveWithCells="1" sizeWithCells="1">
                  <from>
                    <xdr:col>3</xdr:col>
                    <xdr:colOff>180975</xdr:colOff>
                    <xdr:row>59</xdr:row>
                    <xdr:rowOff>114300</xdr:rowOff>
                  </from>
                  <to>
                    <xdr:col>5</xdr:col>
                    <xdr:colOff>314325</xdr:colOff>
                    <xdr:row>62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indexed="13"/>
    <pageSetUpPr fitToPage="1"/>
  </sheetPr>
  <dimension ref="A1:O35"/>
  <sheetViews>
    <sheetView topLeftCell="A5" zoomScale="85" zoomScaleNormal="85" zoomScaleSheetLayoutView="75" workbookViewId="0">
      <selection activeCell="A22" sqref="A22"/>
    </sheetView>
  </sheetViews>
  <sheetFormatPr defaultRowHeight="12.75" x14ac:dyDescent="0.2"/>
  <cols>
    <col min="1" max="1" width="12.85546875" customWidth="1"/>
    <col min="2" max="2" width="4.140625" customWidth="1"/>
    <col min="3" max="3" width="18.140625" customWidth="1"/>
    <col min="4" max="4" width="4" style="248" customWidth="1"/>
    <col min="5" max="5" width="52.42578125" customWidth="1"/>
    <col min="6" max="6" width="9.140625" hidden="1" customWidth="1"/>
    <col min="7" max="7" width="6.5703125" customWidth="1"/>
    <col min="8" max="8" width="15.7109375" customWidth="1"/>
    <col min="9" max="9" width="10.85546875" hidden="1" customWidth="1"/>
    <col min="10" max="10" width="15.7109375" customWidth="1"/>
    <col min="11" max="12" width="9.7109375" customWidth="1"/>
    <col min="13" max="14" width="10.28515625" customWidth="1"/>
    <col min="15" max="15" width="13.85546875" customWidth="1"/>
  </cols>
  <sheetData>
    <row r="1" spans="1:15" hidden="1" x14ac:dyDescent="0.2">
      <c r="J1" t="s">
        <v>374</v>
      </c>
    </row>
    <row r="2" spans="1:15" hidden="1" x14ac:dyDescent="0.2">
      <c r="J2" t="s">
        <v>375</v>
      </c>
    </row>
    <row r="3" spans="1:15" hidden="1" x14ac:dyDescent="0.2">
      <c r="J3" t="s">
        <v>376</v>
      </c>
    </row>
    <row r="4" spans="1:15" hidden="1" x14ac:dyDescent="0.2">
      <c r="J4" t="s">
        <v>244</v>
      </c>
    </row>
    <row r="5" spans="1:15" ht="15" x14ac:dyDescent="0.2">
      <c r="B5" s="4"/>
      <c r="C5" s="4"/>
      <c r="E5" s="4"/>
      <c r="F5" s="4"/>
      <c r="K5" s="247" t="s">
        <v>161</v>
      </c>
    </row>
    <row r="7" spans="1:15" hidden="1" x14ac:dyDescent="0.2"/>
    <row r="8" spans="1:15" hidden="1" x14ac:dyDescent="0.2"/>
    <row r="9" spans="1:15" hidden="1" x14ac:dyDescent="0.2"/>
    <row r="10" spans="1:15" hidden="1" x14ac:dyDescent="0.2"/>
    <row r="11" spans="1:15" ht="20.25" x14ac:dyDescent="0.3">
      <c r="E11" s="253" t="s">
        <v>438</v>
      </c>
      <c r="F11" s="254"/>
      <c r="G11" s="782" t="str">
        <f>Заказ!P1</f>
        <v>202210367</v>
      </c>
      <c r="H11" s="254"/>
      <c r="I11" s="34"/>
      <c r="K11" s="10" t="s">
        <v>447</v>
      </c>
      <c r="M11" s="10" t="str">
        <f>Заказ!B9</f>
        <v>ГАЗЕТЫ</v>
      </c>
      <c r="O11" t="str">
        <f>IF((Трудозатраты!H73+Трудозатраты!H110)&gt;0,"CityLine"," ")</f>
        <v>CityLine</v>
      </c>
    </row>
    <row r="12" spans="1:15" ht="21" customHeight="1" x14ac:dyDescent="0.2"/>
    <row r="13" spans="1:15" ht="14.25" x14ac:dyDescent="0.2">
      <c r="A13" t="s">
        <v>125</v>
      </c>
      <c r="C13" t="s">
        <v>4</v>
      </c>
      <c r="E13" s="255" t="s">
        <v>421</v>
      </c>
      <c r="G13" s="243" t="str">
        <f>Заказ!D8</f>
        <v>Про город К-Чепецк № 13 от 02.04.2022</v>
      </c>
      <c r="J13" s="4"/>
      <c r="L13" t="s">
        <v>439</v>
      </c>
      <c r="M13" s="249">
        <f>Заказ!C11</f>
        <v>25000</v>
      </c>
    </row>
    <row r="14" spans="1:15" ht="21" customHeight="1" thickBot="1" x14ac:dyDescent="0.25">
      <c r="A14" s="244"/>
      <c r="B14" s="244"/>
      <c r="C14" s="244"/>
      <c r="D14" s="250"/>
      <c r="E14" s="244"/>
      <c r="F14" s="244"/>
      <c r="G14" s="244"/>
      <c r="H14" s="244"/>
      <c r="I14" s="244"/>
      <c r="J14" s="245"/>
      <c r="K14" s="245"/>
      <c r="L14" s="245"/>
      <c r="M14" s="245"/>
      <c r="N14" s="244"/>
      <c r="O14" s="244"/>
    </row>
    <row r="15" spans="1:15" ht="42.75" customHeight="1" x14ac:dyDescent="0.2">
      <c r="A15" s="2453" t="s">
        <v>72</v>
      </c>
      <c r="B15" s="2455" t="s">
        <v>377</v>
      </c>
      <c r="C15" s="2453" t="s">
        <v>126</v>
      </c>
      <c r="D15" s="2457"/>
      <c r="E15" s="2459" t="s">
        <v>422</v>
      </c>
      <c r="F15" s="387" t="s">
        <v>378</v>
      </c>
      <c r="G15" s="2461" t="s">
        <v>380</v>
      </c>
      <c r="H15" s="2459" t="s">
        <v>202</v>
      </c>
      <c r="I15" s="2459" t="s">
        <v>127</v>
      </c>
      <c r="J15" s="2463" t="s">
        <v>128</v>
      </c>
      <c r="K15" s="2465" t="s">
        <v>379</v>
      </c>
      <c r="L15" s="2466"/>
      <c r="M15" s="2467" t="s">
        <v>175</v>
      </c>
      <c r="N15" s="2468"/>
      <c r="O15" s="2459" t="s">
        <v>440</v>
      </c>
    </row>
    <row r="16" spans="1:15" ht="17.25" customHeight="1" thickBot="1" x14ac:dyDescent="0.25">
      <c r="A16" s="2454"/>
      <c r="B16" s="2456"/>
      <c r="C16" s="2454"/>
      <c r="D16" s="2458"/>
      <c r="E16" s="2460"/>
      <c r="F16" s="143"/>
      <c r="G16" s="2462"/>
      <c r="H16" s="2460"/>
      <c r="I16" s="2460"/>
      <c r="J16" s="2464"/>
      <c r="K16" s="144" t="s">
        <v>381</v>
      </c>
      <c r="L16" s="144" t="s">
        <v>382</v>
      </c>
      <c r="M16" s="144" t="s">
        <v>381</v>
      </c>
      <c r="N16" s="144" t="s">
        <v>382</v>
      </c>
      <c r="O16" s="2460"/>
    </row>
    <row r="17" spans="1:15" x14ac:dyDescent="0.2">
      <c r="A17" s="35"/>
      <c r="B17" s="35"/>
      <c r="C17" s="35"/>
      <c r="D17" s="256"/>
      <c r="E17" s="38"/>
      <c r="F17" s="35"/>
      <c r="G17" s="257"/>
      <c r="H17" s="251"/>
      <c r="I17" s="36"/>
      <c r="J17" s="35"/>
      <c r="K17" s="388"/>
      <c r="L17" s="35"/>
      <c r="M17" s="389"/>
      <c r="N17" s="149"/>
      <c r="O17" s="35"/>
    </row>
    <row r="18" spans="1:15" s="11" customFormat="1" x14ac:dyDescent="0.2">
      <c r="A18" s="99"/>
      <c r="B18" s="99"/>
      <c r="C18" s="99"/>
      <c r="D18" s="258"/>
      <c r="E18" s="259"/>
      <c r="F18" s="99"/>
      <c r="G18" s="102"/>
      <c r="H18" s="260"/>
      <c r="I18" s="261"/>
      <c r="J18" s="99"/>
      <c r="K18" s="970"/>
      <c r="L18" s="99"/>
      <c r="M18" s="390"/>
      <c r="N18" s="262"/>
      <c r="O18" s="99"/>
    </row>
    <row r="19" spans="1:15" s="11" customFormat="1" x14ac:dyDescent="0.2">
      <c r="A19" s="99"/>
      <c r="B19" s="99"/>
      <c r="C19" s="99"/>
      <c r="D19" s="258">
        <v>368</v>
      </c>
      <c r="E19" s="259" t="s">
        <v>1768</v>
      </c>
      <c r="F19" s="99"/>
      <c r="G19" s="2061">
        <v>1</v>
      </c>
      <c r="H19" s="260" t="s">
        <v>1769</v>
      </c>
      <c r="I19" s="261"/>
      <c r="J19" s="99" t="s">
        <v>1767</v>
      </c>
      <c r="K19" s="970">
        <v>300</v>
      </c>
      <c r="L19" s="99"/>
      <c r="M19" s="390">
        <v>0.13749999999999998</v>
      </c>
      <c r="N19" s="262"/>
      <c r="O19" s="262"/>
    </row>
    <row r="20" spans="1:15" s="11" customFormat="1" x14ac:dyDescent="0.2">
      <c r="A20" s="99"/>
      <c r="B20" s="99"/>
      <c r="C20" s="99"/>
      <c r="D20" s="258">
        <v>384</v>
      </c>
      <c r="E20" s="259" t="s">
        <v>216</v>
      </c>
      <c r="F20" s="99"/>
      <c r="G20" s="2188"/>
      <c r="H20" s="260"/>
      <c r="I20" s="261"/>
      <c r="J20" s="99"/>
      <c r="K20" s="970"/>
      <c r="L20" s="99"/>
      <c r="M20" s="390">
        <v>0.13749999999999998</v>
      </c>
      <c r="N20" s="262"/>
      <c r="O20" s="262"/>
    </row>
    <row r="21" spans="1:15" s="11" customFormat="1" x14ac:dyDescent="0.2">
      <c r="A21" s="99"/>
      <c r="B21" s="99"/>
      <c r="C21" s="99"/>
      <c r="D21" s="258">
        <v>385</v>
      </c>
      <c r="E21" s="259" t="s">
        <v>217</v>
      </c>
      <c r="F21" s="99"/>
      <c r="G21" s="2188"/>
      <c r="H21" s="260"/>
      <c r="I21" s="261"/>
      <c r="J21" s="99"/>
      <c r="K21" s="970"/>
      <c r="L21" s="99"/>
      <c r="M21" s="390">
        <v>0.25208333333333333</v>
      </c>
      <c r="N21" s="262"/>
      <c r="O21" s="262"/>
    </row>
    <row r="22" spans="1:15" s="11" customFormat="1" x14ac:dyDescent="0.2">
      <c r="A22" s="99"/>
      <c r="B22" s="99"/>
      <c r="C22" s="99"/>
      <c r="D22" s="258"/>
      <c r="E22" s="259"/>
      <c r="F22" s="99"/>
      <c r="G22" s="2188"/>
      <c r="H22" s="260"/>
      <c r="I22" s="261"/>
      <c r="J22" s="99"/>
      <c r="K22" s="970"/>
      <c r="L22" s="99"/>
      <c r="M22" s="390"/>
      <c r="N22" s="262"/>
      <c r="O22" s="262"/>
    </row>
    <row r="23" spans="1:15" s="11" customFormat="1" x14ac:dyDescent="0.2">
      <c r="A23" s="99"/>
      <c r="B23" s="99"/>
      <c r="C23" s="99"/>
      <c r="D23" s="258"/>
      <c r="E23" s="259"/>
      <c r="F23" s="99"/>
      <c r="G23" s="2057"/>
      <c r="H23" s="260"/>
      <c r="I23" s="261"/>
      <c r="J23" s="99"/>
      <c r="K23" s="970"/>
      <c r="L23" s="99"/>
      <c r="M23" s="390"/>
      <c r="N23" s="262"/>
      <c r="O23" s="262"/>
    </row>
    <row r="24" spans="1:15" s="11" customFormat="1" x14ac:dyDescent="0.2">
      <c r="A24" s="99"/>
      <c r="B24" s="99"/>
      <c r="C24" s="99"/>
      <c r="D24" s="258"/>
      <c r="E24" s="259"/>
      <c r="F24" s="99"/>
      <c r="G24" s="102"/>
      <c r="H24" s="260"/>
      <c r="I24" s="261"/>
      <c r="J24" s="99"/>
      <c r="K24" s="970"/>
      <c r="L24" s="99"/>
      <c r="M24" s="390"/>
      <c r="N24" s="262"/>
      <c r="O24" s="262"/>
    </row>
    <row r="25" spans="1:15" s="11" customFormat="1" x14ac:dyDescent="0.2">
      <c r="A25" s="99"/>
      <c r="B25" s="99"/>
      <c r="C25" s="99"/>
      <c r="D25" s="258"/>
      <c r="E25" s="259"/>
      <c r="F25" s="99"/>
      <c r="G25" s="102"/>
      <c r="H25" s="260"/>
      <c r="I25" s="261"/>
      <c r="J25" s="99"/>
      <c r="K25" s="970"/>
      <c r="L25" s="99"/>
      <c r="M25" s="390"/>
      <c r="N25" s="262"/>
      <c r="O25" s="262"/>
    </row>
    <row r="26" spans="1:15" s="11" customFormat="1" x14ac:dyDescent="0.2">
      <c r="A26" s="99"/>
      <c r="B26" s="99"/>
      <c r="C26" s="99"/>
      <c r="D26" s="258"/>
      <c r="E26" s="259"/>
      <c r="F26" s="99"/>
      <c r="G26" s="102"/>
      <c r="H26" s="260"/>
      <c r="I26" s="261"/>
      <c r="J26" s="99"/>
      <c r="K26" s="970"/>
      <c r="L26" s="99"/>
      <c r="M26" s="390"/>
      <c r="N26" s="262"/>
      <c r="O26" s="262"/>
    </row>
    <row r="27" spans="1:15" s="11" customFormat="1" x14ac:dyDescent="0.2">
      <c r="A27" s="99"/>
      <c r="B27" s="99"/>
      <c r="C27" s="99"/>
      <c r="D27" s="258"/>
      <c r="E27" s="259"/>
      <c r="F27" s="99"/>
      <c r="G27" s="102"/>
      <c r="H27" s="260"/>
      <c r="I27" s="261"/>
      <c r="J27" s="99"/>
      <c r="K27" s="970"/>
      <c r="L27" s="99"/>
      <c r="M27" s="390"/>
      <c r="N27" s="262"/>
      <c r="O27" s="262"/>
    </row>
    <row r="28" spans="1:15" s="11" customFormat="1" x14ac:dyDescent="0.2">
      <c r="A28" s="99"/>
      <c r="B28" s="99"/>
      <c r="C28" s="99"/>
      <c r="D28" s="258"/>
      <c r="E28" s="259"/>
      <c r="F28" s="99"/>
      <c r="G28" s="102"/>
      <c r="H28" s="260"/>
      <c r="I28" s="261"/>
      <c r="J28" s="99"/>
      <c r="K28" s="970"/>
      <c r="L28" s="99"/>
      <c r="M28" s="390"/>
      <c r="N28" s="262"/>
      <c r="O28" s="262"/>
    </row>
    <row r="29" spans="1:15" x14ac:dyDescent="0.2">
      <c r="A29" s="37"/>
      <c r="B29" s="37"/>
      <c r="C29" s="37"/>
      <c r="D29" s="252"/>
      <c r="E29" s="145"/>
      <c r="F29" s="37"/>
      <c r="G29" s="146"/>
      <c r="H29" s="146"/>
      <c r="I29" s="146"/>
      <c r="J29" s="37"/>
      <c r="K29" s="37"/>
      <c r="L29" s="37"/>
      <c r="M29" s="37"/>
      <c r="N29" s="37"/>
      <c r="O29" s="37"/>
    </row>
    <row r="30" spans="1:15" x14ac:dyDescent="0.2">
      <c r="A30" s="37"/>
      <c r="B30" t="s">
        <v>140</v>
      </c>
      <c r="C30" s="37"/>
      <c r="D30" s="252"/>
      <c r="E30" s="246" t="str">
        <f>Заказ!C1</f>
        <v>О.А. Коврова</v>
      </c>
      <c r="F30" s="37"/>
      <c r="G30" t="s">
        <v>235</v>
      </c>
      <c r="H30" s="146"/>
      <c r="I30" s="146"/>
      <c r="J30" s="37" t="str">
        <f>IF((Трудозатраты!H73+Трудозатраты!H110)&gt;0,"С.В.Комышев","Г.И.Щербакова")</f>
        <v>С.В.Комышев</v>
      </c>
      <c r="K30" s="37"/>
      <c r="L30" t="s">
        <v>236</v>
      </c>
      <c r="M30" s="37"/>
      <c r="N30" s="37" t="s">
        <v>237</v>
      </c>
      <c r="O30" s="37"/>
    </row>
    <row r="31" spans="1:15" x14ac:dyDescent="0.2">
      <c r="O31" s="37"/>
    </row>
    <row r="32" spans="1:15" ht="16.5" customHeight="1" x14ac:dyDescent="0.2"/>
    <row r="33" spans="1:15" x14ac:dyDescent="0.2">
      <c r="A33" s="37"/>
      <c r="B33" s="37"/>
      <c r="C33" s="37"/>
      <c r="D33" s="252"/>
      <c r="N33" s="37"/>
      <c r="O33" s="37"/>
    </row>
    <row r="35" spans="1:15" ht="22.5" customHeight="1" x14ac:dyDescent="0.2">
      <c r="N35" s="37"/>
      <c r="O35" s="37"/>
    </row>
  </sheetData>
  <sheetProtection selectLockedCells="1"/>
  <mergeCells count="12">
    <mergeCell ref="O15:O16"/>
    <mergeCell ref="G15:G16"/>
    <mergeCell ref="H15:H16"/>
    <mergeCell ref="I15:I16"/>
    <mergeCell ref="J15:J16"/>
    <mergeCell ref="K15:L15"/>
    <mergeCell ref="M15:N15"/>
    <mergeCell ref="A15:A16"/>
    <mergeCell ref="B15:B16"/>
    <mergeCell ref="D15:D16"/>
    <mergeCell ref="E15:E16"/>
    <mergeCell ref="C15:C16"/>
  </mergeCells>
  <phoneticPr fontId="0" type="noConversion"/>
  <pageMargins left="0.43" right="0.32" top="0.45" bottom="0.5" header="0.38" footer="0.28999999999999998"/>
  <pageSetup paperSize="9" scale="77" fitToHeight="3" orientation="landscape" r:id="rId1"/>
  <headerFooter alignWithMargins="0">
    <oddFooter>&amp;RРаспечатал:  buh_econom,  10.01.2017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00B0F0"/>
    <pageSetUpPr fitToPage="1"/>
  </sheetPr>
  <dimension ref="A1:BD154"/>
  <sheetViews>
    <sheetView zoomScaleNormal="100" zoomScaleSheetLayoutView="100" workbookViewId="0">
      <selection activeCell="Z5" sqref="Z5:AA5"/>
    </sheetView>
  </sheetViews>
  <sheetFormatPr defaultRowHeight="12.75" x14ac:dyDescent="0.2"/>
  <cols>
    <col min="1" max="1" width="0.85546875" style="2063" customWidth="1"/>
    <col min="2" max="2" width="5" style="57" hidden="1" customWidth="1"/>
    <col min="3" max="3" width="3.140625" customWidth="1"/>
    <col min="4" max="6" width="3.7109375" customWidth="1"/>
    <col min="7" max="7" width="4.42578125" customWidth="1"/>
    <col min="8" max="8" width="13" customWidth="1"/>
    <col min="9" max="9" width="3.85546875" hidden="1" customWidth="1"/>
    <col min="10" max="10" width="5" style="57" hidden="1" customWidth="1"/>
    <col min="11" max="11" width="4.28515625" customWidth="1"/>
    <col min="12" max="12" width="4.5703125" customWidth="1"/>
    <col min="13" max="20" width="4.7109375" customWidth="1"/>
    <col min="21" max="22" width="3.5703125" customWidth="1"/>
    <col min="23" max="23" width="4.28515625" customWidth="1"/>
    <col min="24" max="24" width="3.7109375" customWidth="1"/>
    <col min="25" max="25" width="4.140625" customWidth="1"/>
    <col min="26" max="26" width="10" customWidth="1"/>
    <col min="27" max="28" width="5.7109375" customWidth="1"/>
    <col min="29" max="31" width="3.7109375" customWidth="1"/>
    <col min="32" max="32" width="3.85546875" customWidth="1"/>
    <col min="33" max="33" width="5.140625" style="908" customWidth="1"/>
    <col min="37" max="56" width="9.7109375" hidden="1" customWidth="1"/>
  </cols>
  <sheetData>
    <row r="1" spans="1:56" x14ac:dyDescent="0.2">
      <c r="A1" s="2063">
        <v>1</v>
      </c>
      <c r="B1" s="1332"/>
      <c r="C1" s="57"/>
      <c r="D1" s="57"/>
      <c r="E1" s="57"/>
      <c r="F1" s="57"/>
      <c r="G1" s="57"/>
      <c r="H1" s="57"/>
      <c r="I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X1" s="1088" t="str">
        <f>Заказ!E2</f>
        <v>ООО "Кировская областная типография"</v>
      </c>
      <c r="Y1" s="57"/>
      <c r="Z1" s="57"/>
      <c r="AA1" s="57"/>
      <c r="AB1" s="57"/>
      <c r="AC1" s="57"/>
      <c r="AD1" s="57"/>
      <c r="AE1" s="57"/>
      <c r="AF1" s="57"/>
      <c r="AK1" s="1926">
        <f>Z19</f>
        <v>0</v>
      </c>
      <c r="AL1" s="1927">
        <f>Z20</f>
        <v>0</v>
      </c>
      <c r="AM1" s="1927">
        <f>Z21</f>
        <v>0</v>
      </c>
      <c r="AN1" s="1926">
        <f>Z22</f>
        <v>0</v>
      </c>
      <c r="AO1" s="1928">
        <f>Z23</f>
        <v>0</v>
      </c>
      <c r="AP1" s="1928">
        <f>Z47</f>
        <v>0</v>
      </c>
      <c r="AQ1" s="1929">
        <f>Z75</f>
        <v>25000</v>
      </c>
      <c r="AR1" s="1928">
        <f>Z76</f>
        <v>25000</v>
      </c>
      <c r="AS1" s="1930">
        <f>Z77</f>
        <v>25000</v>
      </c>
      <c r="AT1" s="1931"/>
      <c r="AU1" s="1926">
        <f>Z78</f>
        <v>25000</v>
      </c>
      <c r="AV1" s="1927" t="e">
        <f>#REF!</f>
        <v>#REF!</v>
      </c>
      <c r="AW1" s="1927">
        <f>Z87</f>
        <v>16</v>
      </c>
      <c r="AX1" s="1926">
        <f>Z88</f>
        <v>16</v>
      </c>
      <c r="AY1" s="1928">
        <f>Z89</f>
        <v>16</v>
      </c>
      <c r="AZ1" s="1928">
        <f>Z90</f>
        <v>16</v>
      </c>
      <c r="BA1" s="1929" t="e">
        <f>#REF!</f>
        <v>#REF!</v>
      </c>
      <c r="BB1" s="1928" t="e">
        <f>#REF!</f>
        <v>#REF!</v>
      </c>
      <c r="BC1" s="1930" t="e">
        <f>#REF!</f>
        <v>#REF!</v>
      </c>
      <c r="BD1" s="1931"/>
    </row>
    <row r="2" spans="1:56" ht="26.25" x14ac:dyDescent="0.4">
      <c r="A2" s="2063">
        <v>1</v>
      </c>
      <c r="C2" s="57"/>
      <c r="D2" s="1089" t="str">
        <f>Исх!C25</f>
        <v>СityLine</v>
      </c>
      <c r="E2" s="57"/>
      <c r="F2" s="57"/>
      <c r="G2" s="57"/>
      <c r="H2" s="57"/>
      <c r="I2" s="57"/>
      <c r="L2" s="57"/>
      <c r="M2" s="850" t="s">
        <v>438</v>
      </c>
      <c r="N2" s="57"/>
      <c r="O2" s="57"/>
      <c r="P2" s="57"/>
      <c r="S2" s="2472" t="str">
        <f>Кальк!E10</f>
        <v>202210367</v>
      </c>
      <c r="T2" s="2472"/>
      <c r="U2" s="2472"/>
      <c r="V2" s="2472"/>
      <c r="W2" s="2472"/>
      <c r="X2" s="2472"/>
      <c r="Y2" s="2472"/>
      <c r="Z2" s="2472"/>
      <c r="AA2" s="2472"/>
      <c r="AB2" s="2472"/>
      <c r="AC2" s="2472"/>
      <c r="AD2" s="2472"/>
      <c r="AE2" s="2472"/>
      <c r="AF2" s="2472"/>
    </row>
    <row r="3" spans="1:56" ht="17.25" customHeight="1" x14ac:dyDescent="0.2">
      <c r="A3" s="2063">
        <v>1</v>
      </c>
      <c r="C3" s="57"/>
      <c r="D3" s="57"/>
      <c r="E3" s="57"/>
      <c r="F3" s="57"/>
      <c r="G3" s="57"/>
      <c r="H3" s="57"/>
      <c r="I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1897" t="s">
        <v>449</v>
      </c>
      <c r="AA3" s="1897" t="str">
        <f>Заказ!C1</f>
        <v>О.А. Коврова</v>
      </c>
      <c r="AB3" s="57"/>
      <c r="AC3" s="57"/>
      <c r="AD3" s="57"/>
      <c r="AE3" s="57"/>
      <c r="AF3" s="57"/>
    </row>
    <row r="4" spans="1:56" ht="15" customHeight="1" x14ac:dyDescent="0.2">
      <c r="A4" s="2063">
        <v>1</v>
      </c>
      <c r="B4" s="967"/>
      <c r="C4" s="2549" t="s">
        <v>772</v>
      </c>
      <c r="D4" s="2550"/>
      <c r="E4" s="2550"/>
      <c r="F4" s="2551"/>
      <c r="G4" s="2555" t="s">
        <v>381</v>
      </c>
      <c r="H4" s="2555"/>
      <c r="I4" s="2555"/>
      <c r="J4" s="967"/>
      <c r="K4" s="2556" t="str">
        <f>Заказ!F18</f>
        <v>чт</v>
      </c>
      <c r="L4" s="2557"/>
      <c r="M4" s="2557"/>
      <c r="N4" s="2557"/>
      <c r="O4" s="2558"/>
      <c r="U4" s="2549" t="s">
        <v>773</v>
      </c>
      <c r="V4" s="2550"/>
      <c r="W4" s="2550"/>
      <c r="X4" s="2550"/>
      <c r="Y4" s="2551"/>
      <c r="Z4" s="2555" t="s">
        <v>381</v>
      </c>
      <c r="AA4" s="2555"/>
      <c r="AB4" s="2469" t="str">
        <f>Исх!BA42</f>
        <v>1:3:00</v>
      </c>
      <c r="AC4" s="2470"/>
      <c r="AD4" s="2470"/>
      <c r="AE4" s="2470"/>
      <c r="AF4" s="2471"/>
      <c r="AI4" s="966"/>
    </row>
    <row r="5" spans="1:56" ht="15" customHeight="1" x14ac:dyDescent="0.2">
      <c r="A5" s="2063">
        <v>1</v>
      </c>
      <c r="B5" s="965"/>
      <c r="C5" s="2552"/>
      <c r="D5" s="2553"/>
      <c r="E5" s="2553"/>
      <c r="F5" s="2554"/>
      <c r="G5" s="2555" t="s">
        <v>382</v>
      </c>
      <c r="H5" s="2555"/>
      <c r="I5" s="2555"/>
      <c r="J5" s="965"/>
      <c r="K5" s="2543"/>
      <c r="L5" s="2543"/>
      <c r="M5" s="2543"/>
      <c r="N5" s="2543"/>
      <c r="O5" s="2543"/>
      <c r="U5" s="2552"/>
      <c r="V5" s="2553"/>
      <c r="W5" s="2553"/>
      <c r="X5" s="2553"/>
      <c r="Y5" s="2554"/>
      <c r="Z5" s="2555" t="s">
        <v>382</v>
      </c>
      <c r="AA5" s="2555"/>
      <c r="AB5" s="2559"/>
      <c r="AC5" s="2559"/>
      <c r="AD5" s="2559"/>
      <c r="AE5" s="2559"/>
      <c r="AF5" s="2559"/>
      <c r="AI5" s="966"/>
    </row>
    <row r="6" spans="1:56" ht="15" customHeight="1" x14ac:dyDescent="0.2">
      <c r="A6" s="2063">
        <v>1</v>
      </c>
      <c r="C6" s="2540" t="s">
        <v>774</v>
      </c>
      <c r="D6" s="2541"/>
      <c r="E6" s="2541"/>
      <c r="F6" s="2541"/>
      <c r="G6" s="2541"/>
      <c r="H6" s="2541"/>
      <c r="I6" s="2542"/>
      <c r="K6" s="2543"/>
      <c r="L6" s="2543"/>
      <c r="M6" s="2543"/>
      <c r="N6" s="2543"/>
      <c r="O6" s="2543"/>
      <c r="W6" s="57"/>
      <c r="X6" s="57"/>
      <c r="AI6" s="964"/>
      <c r="AJ6" s="964"/>
    </row>
    <row r="7" spans="1:56" ht="4.5" customHeight="1" x14ac:dyDescent="0.2">
      <c r="A7" s="2063">
        <v>1</v>
      </c>
      <c r="C7" s="57"/>
      <c r="D7" s="57"/>
      <c r="E7" s="57"/>
      <c r="F7" s="57"/>
      <c r="G7" s="57"/>
      <c r="H7" s="57"/>
      <c r="I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</row>
    <row r="8" spans="1:56" ht="15" customHeight="1" x14ac:dyDescent="0.25">
      <c r="A8" s="2063">
        <v>1</v>
      </c>
      <c r="B8" s="853"/>
      <c r="C8" s="851" t="s">
        <v>727</v>
      </c>
      <c r="D8" s="852"/>
      <c r="E8" s="852"/>
      <c r="F8" s="852"/>
      <c r="G8" s="852"/>
      <c r="H8" s="852"/>
      <c r="I8" s="852"/>
      <c r="J8" s="853"/>
      <c r="K8" s="2544" t="s">
        <v>728</v>
      </c>
      <c r="L8" s="2544"/>
      <c r="M8" s="2544"/>
      <c r="N8" s="2544"/>
      <c r="O8" s="2544"/>
      <c r="P8" s="2544"/>
      <c r="Q8" s="2544"/>
      <c r="R8" s="2544"/>
      <c r="S8" s="854"/>
      <c r="T8" s="854"/>
      <c r="U8" s="855" t="s">
        <v>729</v>
      </c>
      <c r="V8" s="854"/>
      <c r="W8" s="854"/>
      <c r="X8" s="57"/>
      <c r="Y8" s="57"/>
      <c r="Z8" s="855" t="s">
        <v>730</v>
      </c>
      <c r="AA8" s="856"/>
      <c r="AB8" s="857" t="s">
        <v>731</v>
      </c>
      <c r="AC8" s="856" t="s">
        <v>731</v>
      </c>
      <c r="AD8" s="2545">
        <f>Заказ!F1</f>
        <v>2022</v>
      </c>
      <c r="AE8" s="2545"/>
      <c r="AF8" s="852"/>
    </row>
    <row r="9" spans="1:56" ht="3.75" customHeight="1" x14ac:dyDescent="0.2">
      <c r="A9" s="2063">
        <v>1</v>
      </c>
      <c r="C9" s="57"/>
      <c r="D9" s="57"/>
      <c r="E9" s="57"/>
      <c r="F9" s="57"/>
      <c r="G9" s="57"/>
      <c r="H9" s="57"/>
      <c r="I9" s="57"/>
      <c r="K9" s="57"/>
      <c r="L9" s="57"/>
      <c r="M9" s="851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</row>
    <row r="10" spans="1:56" ht="20.25" customHeight="1" x14ac:dyDescent="0.25">
      <c r="A10" s="2063">
        <v>1</v>
      </c>
      <c r="B10" s="1468"/>
      <c r="C10" s="858" t="s">
        <v>732</v>
      </c>
      <c r="D10" s="859"/>
      <c r="E10" s="57"/>
      <c r="F10" s="57"/>
      <c r="G10" s="2546" t="str">
        <f>Заказ!D8</f>
        <v>Про город К-Чепецк № 13 от 02.04.2022</v>
      </c>
      <c r="H10" s="2546"/>
      <c r="I10" s="2546"/>
      <c r="J10" s="2546"/>
      <c r="K10" s="2546"/>
      <c r="L10" s="2546"/>
      <c r="M10" s="2546"/>
      <c r="N10" s="2546"/>
      <c r="O10" s="2546"/>
      <c r="P10" s="2546"/>
      <c r="Q10" s="2546"/>
      <c r="R10" s="2546"/>
      <c r="S10" s="2546"/>
      <c r="T10" s="2546"/>
      <c r="U10" s="2546"/>
      <c r="V10" s="2546"/>
      <c r="W10" s="2546"/>
      <c r="X10" s="2546"/>
      <c r="Y10" s="2546"/>
      <c r="Z10" s="855" t="s">
        <v>439</v>
      </c>
      <c r="AA10" s="2547">
        <f>Заказ!C11</f>
        <v>25000</v>
      </c>
      <c r="AB10" s="2548"/>
      <c r="AC10" s="2548"/>
      <c r="AD10" s="2548"/>
      <c r="AE10" s="2548"/>
      <c r="AF10" s="57"/>
    </row>
    <row r="11" spans="1:56" ht="3" customHeight="1" x14ac:dyDescent="0.2">
      <c r="A11" s="2063">
        <v>1</v>
      </c>
      <c r="B11" s="862"/>
      <c r="C11" s="860"/>
      <c r="D11" s="860"/>
      <c r="E11" s="860"/>
      <c r="F11" s="860"/>
      <c r="G11" s="860"/>
      <c r="H11" s="861"/>
      <c r="I11" s="861"/>
      <c r="J11" s="862"/>
      <c r="K11" s="860"/>
      <c r="L11" s="860"/>
      <c r="M11" s="860"/>
      <c r="N11" s="860"/>
      <c r="O11" s="860"/>
      <c r="P11" s="860"/>
      <c r="Q11" s="860"/>
      <c r="R11" s="860"/>
      <c r="S11" s="860"/>
      <c r="T11" s="860"/>
      <c r="U11" s="860"/>
      <c r="V11" s="860"/>
      <c r="W11" s="860"/>
      <c r="X11" s="860"/>
      <c r="Y11" s="860"/>
      <c r="Z11" s="860"/>
      <c r="AA11" s="57"/>
      <c r="AB11" s="57"/>
      <c r="AC11" s="57"/>
      <c r="AD11" s="57"/>
      <c r="AE11" s="57"/>
      <c r="AF11" s="57"/>
    </row>
    <row r="12" spans="1:56" ht="15.75" customHeight="1" x14ac:dyDescent="0.2">
      <c r="A12" s="2063">
        <v>1</v>
      </c>
      <c r="B12" s="853"/>
      <c r="C12" s="853"/>
      <c r="D12" s="853"/>
      <c r="E12" s="853"/>
      <c r="F12" s="853"/>
      <c r="G12" s="853"/>
      <c r="H12" s="853"/>
      <c r="I12" s="853"/>
      <c r="J12" s="853"/>
      <c r="K12" s="853"/>
      <c r="L12" s="853"/>
      <c r="M12" s="853"/>
      <c r="N12" s="853"/>
      <c r="O12" s="853"/>
      <c r="P12" s="853"/>
      <c r="Q12" s="853"/>
      <c r="R12" s="853"/>
      <c r="S12" s="853"/>
      <c r="T12" s="853"/>
      <c r="U12" s="853"/>
      <c r="V12" s="853"/>
      <c r="W12" s="853"/>
      <c r="X12" s="853"/>
      <c r="Y12" s="853"/>
      <c r="Z12" s="863" t="s">
        <v>733</v>
      </c>
      <c r="AA12" s="2520" t="str">
        <f>CONCATENATE(TRUNC(SUM(Трудозатраты!I38+Трудозатраты!I42+Трудозатраты!I46+Трудозатраты!I50+Трудозатраты!I54+Трудозатраты!I58+Трудозатраты!I62+Трудозатраты!I66+Трудозатраты!I70+Трудозатраты!I75+Трудозатраты!I79+Трудозатраты!I83+Трудозатраты!I87+Трудозатраты!I91+Трудозатраты!I95+Трудозатраты!I99+Трудозатраты!I103+Трудозатраты!I107),0),":",INT((SUM(Трудозатраты!I38+Трудозатраты!I42+Трудозатраты!I46+Трудозатраты!I50+Трудозатраты!I54+Трудозатраты!I58+Трудозатраты!I62+Трудозатраты!I66+Трудозатраты!I70+Трудозатраты!I75+Трудозатраты!I79+Трудозатраты!I83+Трудозатраты!I87+Трудозатраты!I91+Трудозатраты!I95+Трудозатраты!I99+Трудозатраты!I103+Трудозатраты!I107)-(TRUNC(SUM(Трудозатраты!I38+Трудозатраты!I42+Трудозатраты!I46+Трудозатраты!I50+Трудозатраты!I54+Трудозатраты!I58+Трудозатраты!I62+Трудозатраты!I66+Трудозатраты!I70+Трудозатраты!I75+Трудозатраты!I79+Трудозатраты!I83+Трудозатраты!I87+Трудозатраты!I91+Трудозатраты!I95+Трудозатраты!I99+Трудозатраты!I103+Трудозатраты!I107),0)))*60),":","00")</f>
        <v>2:28:00</v>
      </c>
      <c r="AB12" s="2520"/>
      <c r="AC12" s="2520"/>
      <c r="AD12" s="2520"/>
      <c r="AE12" s="2520"/>
      <c r="AF12" s="853"/>
    </row>
    <row r="13" spans="1:56" x14ac:dyDescent="0.2">
      <c r="A13" s="2063">
        <v>1</v>
      </c>
      <c r="C13" s="57"/>
      <c r="D13" s="57"/>
      <c r="E13" s="57"/>
      <c r="F13" s="57"/>
      <c r="G13" s="57"/>
      <c r="H13" s="57"/>
      <c r="I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</row>
    <row r="14" spans="1:56" ht="13.5" customHeight="1" x14ac:dyDescent="0.25">
      <c r="A14" s="2063">
        <v>1</v>
      </c>
      <c r="B14" s="1468"/>
      <c r="C14" s="2006" t="str">
        <f>S2</f>
        <v>202210367</v>
      </c>
      <c r="D14" s="2005"/>
      <c r="E14" s="2005"/>
      <c r="F14" s="2005"/>
      <c r="G14" s="2005"/>
      <c r="H14" s="2005"/>
      <c r="I14" s="2537" t="s">
        <v>734</v>
      </c>
      <c r="J14" s="2537"/>
      <c r="K14" s="2537"/>
      <c r="L14" s="2537"/>
      <c r="M14" s="2537"/>
      <c r="N14" s="2537"/>
      <c r="O14" s="2537"/>
      <c r="P14" s="2537"/>
      <c r="Q14" s="2537"/>
      <c r="R14" s="2537"/>
      <c r="S14" s="2537"/>
      <c r="T14" s="2537"/>
      <c r="U14" s="2537"/>
      <c r="V14" s="2005"/>
      <c r="W14" s="2005"/>
      <c r="X14" s="2005"/>
      <c r="Y14" s="2005"/>
      <c r="Z14" s="2005"/>
      <c r="AA14" s="2005"/>
      <c r="AB14" s="2005"/>
      <c r="AC14" s="2005"/>
      <c r="AD14" s="2005"/>
      <c r="AE14" s="2005"/>
      <c r="AF14" s="2005"/>
    </row>
    <row r="15" spans="1:56" ht="2.25" customHeight="1" thickBot="1" x14ac:dyDescent="0.25">
      <c r="A15" s="2063">
        <v>1</v>
      </c>
      <c r="B15" s="913"/>
      <c r="C15" s="913"/>
      <c r="D15" s="913"/>
      <c r="E15" s="913"/>
      <c r="F15" s="913"/>
      <c r="G15" s="913"/>
      <c r="H15" s="913"/>
      <c r="I15" s="913"/>
      <c r="J15" s="913"/>
      <c r="K15" s="913"/>
      <c r="L15" s="913"/>
      <c r="M15" s="913"/>
      <c r="N15" s="913"/>
      <c r="O15" s="913"/>
      <c r="P15" s="913"/>
      <c r="Q15" s="913"/>
      <c r="R15" s="913"/>
      <c r="S15" s="913"/>
      <c r="T15" s="913"/>
      <c r="U15" s="913"/>
      <c r="V15" s="913"/>
      <c r="W15" s="913"/>
      <c r="X15" s="913"/>
      <c r="Y15" s="913"/>
      <c r="Z15" s="913"/>
      <c r="AA15" s="913"/>
      <c r="AB15" s="913"/>
      <c r="AC15" s="913"/>
      <c r="AD15" s="913"/>
      <c r="AE15" s="913"/>
      <c r="AF15" s="913"/>
    </row>
    <row r="16" spans="1:56" ht="12.75" customHeight="1" x14ac:dyDescent="0.2">
      <c r="A16" s="2063">
        <v>1</v>
      </c>
      <c r="B16" s="2582" t="s">
        <v>736</v>
      </c>
      <c r="C16" s="2521" t="s">
        <v>735</v>
      </c>
      <c r="D16" s="2522"/>
      <c r="E16" s="2522"/>
      <c r="F16" s="2522"/>
      <c r="G16" s="2522"/>
      <c r="H16" s="2522"/>
      <c r="I16" s="2525" t="s">
        <v>748</v>
      </c>
      <c r="J16" s="2527"/>
      <c r="K16" s="2529" t="s">
        <v>422</v>
      </c>
      <c r="L16" s="2529"/>
      <c r="M16" s="2529"/>
      <c r="N16" s="2529"/>
      <c r="O16" s="2529"/>
      <c r="P16" s="2529"/>
      <c r="Q16" s="2529"/>
      <c r="R16" s="2529"/>
      <c r="S16" s="2529"/>
      <c r="T16" s="2529"/>
      <c r="U16" s="2529"/>
      <c r="V16" s="2529"/>
      <c r="W16" s="2529" t="s">
        <v>737</v>
      </c>
      <c r="X16" s="2529"/>
      <c r="Y16" s="2529"/>
      <c r="Z16" s="2529" t="s">
        <v>379</v>
      </c>
      <c r="AA16" s="2529"/>
      <c r="AB16" s="2529"/>
      <c r="AC16" s="2529"/>
      <c r="AD16" s="2531" t="s">
        <v>738</v>
      </c>
      <c r="AE16" s="2532"/>
      <c r="AF16" s="2533"/>
    </row>
    <row r="17" spans="1:36" ht="27.75" customHeight="1" thickBot="1" x14ac:dyDescent="0.25">
      <c r="A17" s="2063">
        <v>1</v>
      </c>
      <c r="B17" s="2582"/>
      <c r="C17" s="2523"/>
      <c r="D17" s="2524"/>
      <c r="E17" s="2524"/>
      <c r="F17" s="2524"/>
      <c r="G17" s="2524"/>
      <c r="H17" s="2524"/>
      <c r="I17" s="2526"/>
      <c r="J17" s="2528"/>
      <c r="K17" s="2530"/>
      <c r="L17" s="2530"/>
      <c r="M17" s="2530"/>
      <c r="N17" s="2530"/>
      <c r="O17" s="2530"/>
      <c r="P17" s="2530"/>
      <c r="Q17" s="2530"/>
      <c r="R17" s="2530"/>
      <c r="S17" s="2530"/>
      <c r="T17" s="2530"/>
      <c r="U17" s="2530"/>
      <c r="V17" s="2530"/>
      <c r="W17" s="2530"/>
      <c r="X17" s="2530"/>
      <c r="Y17" s="2530"/>
      <c r="Z17" s="1467" t="s">
        <v>381</v>
      </c>
      <c r="AA17" s="2530" t="s">
        <v>382</v>
      </c>
      <c r="AB17" s="2530"/>
      <c r="AC17" s="2530"/>
      <c r="AD17" s="2534"/>
      <c r="AE17" s="2535"/>
      <c r="AF17" s="2536"/>
    </row>
    <row r="18" spans="1:36" ht="12.75" hidden="1" customHeight="1" x14ac:dyDescent="0.2">
      <c r="A18" s="2063">
        <v>0</v>
      </c>
      <c r="B18" s="1477"/>
      <c r="C18" s="865"/>
      <c r="D18" s="37"/>
      <c r="E18" s="37"/>
      <c r="F18" s="37"/>
      <c r="G18" s="37"/>
      <c r="H18" s="37"/>
      <c r="I18" s="37"/>
      <c r="J18" s="866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867"/>
    </row>
    <row r="19" spans="1:36" ht="18" hidden="1" customHeight="1" x14ac:dyDescent="0.2">
      <c r="A19" s="2063">
        <f>IF(Z19&gt;0,1,0)</f>
        <v>0</v>
      </c>
      <c r="B19" s="1478">
        <f>Трудозатраты!A38</f>
        <v>31</v>
      </c>
      <c r="C19" s="2583" t="s">
        <v>1134</v>
      </c>
      <c r="D19" s="869"/>
      <c r="E19" s="869"/>
      <c r="F19" s="869"/>
      <c r="G19" s="869"/>
      <c r="H19" s="914"/>
      <c r="I19" s="2592" t="s">
        <v>1051</v>
      </c>
      <c r="J19" s="1087"/>
      <c r="K19" s="1268" t="str">
        <f>Трудозатраты!B38</f>
        <v>Печать А4 с 1 рулона чернобелая 5 разряд CityLine</v>
      </c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2469" t="str">
        <f>Трудозатраты!F38</f>
        <v>Л.пр.</v>
      </c>
      <c r="X19" s="2470"/>
      <c r="Y19" s="2471"/>
      <c r="Z19" s="1182">
        <f>Трудозатраты!H38</f>
        <v>0</v>
      </c>
      <c r="AA19" s="112"/>
      <c r="AB19" s="129"/>
      <c r="AC19" s="129"/>
      <c r="AD19" s="112"/>
      <c r="AE19" s="129"/>
      <c r="AF19" s="873"/>
    </row>
    <row r="20" spans="1:36" ht="18" hidden="1" customHeight="1" x14ac:dyDescent="0.2">
      <c r="A20" s="2063">
        <v>0</v>
      </c>
      <c r="B20" s="1478">
        <f>Трудозатраты!A66</f>
        <v>59</v>
      </c>
      <c r="C20" s="2584"/>
      <c r="D20" s="869"/>
      <c r="E20" s="869"/>
      <c r="F20" s="869"/>
      <c r="G20" s="869"/>
      <c r="H20" s="914"/>
      <c r="I20" s="2593"/>
      <c r="J20" s="1087"/>
      <c r="K20" s="1268" t="str">
        <f>Трудозатраты!B39</f>
        <v>Печать А4 с 1 рулона чернобелая 4 разряд CityLine</v>
      </c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  <c r="W20" s="2469" t="str">
        <f>Трудозатраты!F39</f>
        <v>Л.пр.</v>
      </c>
      <c r="X20" s="2470"/>
      <c r="Y20" s="2471"/>
      <c r="Z20" s="1182">
        <f>Трудозатраты!H39</f>
        <v>0</v>
      </c>
      <c r="AA20" s="112"/>
      <c r="AB20" s="129"/>
      <c r="AC20" s="129"/>
      <c r="AD20" s="112"/>
      <c r="AE20" s="129"/>
      <c r="AF20" s="873"/>
    </row>
    <row r="21" spans="1:36" ht="18" hidden="1" customHeight="1" x14ac:dyDescent="0.2">
      <c r="A21" s="2063">
        <f t="shared" ref="A21:A83" si="0">IF(Z21&gt;0,1,0)</f>
        <v>0</v>
      </c>
      <c r="B21" s="1478">
        <f>Трудозатраты!A67</f>
        <v>60</v>
      </c>
      <c r="C21" s="2584"/>
      <c r="D21" s="869"/>
      <c r="E21" s="869"/>
      <c r="F21" s="869"/>
      <c r="G21" s="869"/>
      <c r="H21" s="914"/>
      <c r="I21" s="2593"/>
      <c r="J21" s="1087"/>
      <c r="K21" s="1268" t="str">
        <f>Трудозатраты!B40</f>
        <v>Печать А4 с 1 рулона чернобелая 3 разряд CityLine</v>
      </c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2469" t="str">
        <f>Трудозатраты!F40</f>
        <v>Л.пр.</v>
      </c>
      <c r="X21" s="2470"/>
      <c r="Y21" s="2471"/>
      <c r="Z21" s="1182">
        <f>Трудозатраты!H40</f>
        <v>0</v>
      </c>
      <c r="AA21" s="112"/>
      <c r="AB21" s="129"/>
      <c r="AC21" s="129"/>
      <c r="AD21" s="112"/>
      <c r="AE21" s="129"/>
      <c r="AF21" s="873"/>
    </row>
    <row r="22" spans="1:36" s="908" customFormat="1" ht="18" hidden="1" customHeight="1" x14ac:dyDescent="0.2">
      <c r="A22" s="2063">
        <f t="shared" si="0"/>
        <v>0</v>
      </c>
      <c r="B22" s="1478">
        <f>Трудозатраты!A68</f>
        <v>61</v>
      </c>
      <c r="C22" s="2584"/>
      <c r="D22" s="869"/>
      <c r="E22" s="869"/>
      <c r="F22" s="869"/>
      <c r="G22" s="869"/>
      <c r="H22" s="914"/>
      <c r="I22" s="2593"/>
      <c r="J22" s="1087"/>
      <c r="K22" s="1268" t="str">
        <f>Трудозатраты!B41</f>
        <v>Печать А4 с 1 рулона чернобелая 3 разряд CityLine</v>
      </c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2469" t="str">
        <f>Трудозатраты!F41</f>
        <v>Л.пр.</v>
      </c>
      <c r="X22" s="2470"/>
      <c r="Y22" s="2471"/>
      <c r="Z22" s="1182">
        <f>Трудозатраты!H41</f>
        <v>0</v>
      </c>
      <c r="AA22" s="112"/>
      <c r="AB22" s="129"/>
      <c r="AC22" s="129"/>
      <c r="AD22" s="112"/>
      <c r="AE22" s="129"/>
      <c r="AF22" s="873"/>
      <c r="AH22"/>
      <c r="AI22"/>
      <c r="AJ22"/>
    </row>
    <row r="23" spans="1:36" s="908" customFormat="1" ht="18" hidden="1" customHeight="1" x14ac:dyDescent="0.2">
      <c r="A23" s="2063">
        <f t="shared" si="0"/>
        <v>0</v>
      </c>
      <c r="B23" s="1478">
        <f>Трудозатраты!A69</f>
        <v>62</v>
      </c>
      <c r="C23" s="2584"/>
      <c r="D23" s="869"/>
      <c r="E23" s="869"/>
      <c r="F23" s="869"/>
      <c r="G23" s="869"/>
      <c r="H23" s="914"/>
      <c r="I23" s="2593"/>
      <c r="J23" s="1087"/>
      <c r="K23" s="1268" t="str">
        <f>Трудозатраты!B42</f>
        <v>Печать А4 с 2 рулонов чернобелая 5 разряд CityLine</v>
      </c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2469" t="str">
        <f>Трудозатраты!F42</f>
        <v>Л.пр.</v>
      </c>
      <c r="X23" s="2470"/>
      <c r="Y23" s="2471"/>
      <c r="Z23" s="1182">
        <f>Трудозатраты!H42</f>
        <v>0</v>
      </c>
      <c r="AA23" s="112"/>
      <c r="AB23" s="129"/>
      <c r="AC23" s="129"/>
      <c r="AD23" s="112"/>
      <c r="AE23" s="129"/>
      <c r="AF23" s="873"/>
      <c r="AH23"/>
      <c r="AI23"/>
      <c r="AJ23"/>
    </row>
    <row r="24" spans="1:36" s="908" customFormat="1" ht="18" hidden="1" customHeight="1" x14ac:dyDescent="0.2">
      <c r="A24" s="2063">
        <f t="shared" si="0"/>
        <v>0</v>
      </c>
      <c r="B24" s="1478">
        <f>Трудозатраты!A36</f>
        <v>0</v>
      </c>
      <c r="C24" s="2584"/>
      <c r="D24" s="869"/>
      <c r="E24" s="869"/>
      <c r="F24" s="869"/>
      <c r="G24" s="869"/>
      <c r="H24" s="914"/>
      <c r="I24" s="2593"/>
      <c r="J24" s="1087"/>
      <c r="K24" s="1268" t="str">
        <f>Трудозатраты!B43</f>
        <v>Печать А4 с 2 рулонов чернобелая 4 разряд CityLine</v>
      </c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129"/>
      <c r="W24" s="2469" t="str">
        <f>Трудозатраты!F43</f>
        <v>Л.пр.</v>
      </c>
      <c r="X24" s="2470"/>
      <c r="Y24" s="2471"/>
      <c r="Z24" s="1182">
        <f>Трудозатраты!H43</f>
        <v>0</v>
      </c>
      <c r="AA24" s="112"/>
      <c r="AB24" s="129"/>
      <c r="AC24" s="129"/>
      <c r="AD24" s="112"/>
      <c r="AE24" s="129"/>
      <c r="AF24" s="873"/>
      <c r="AH24"/>
      <c r="AI24"/>
      <c r="AJ24"/>
    </row>
    <row r="25" spans="1:36" s="908" customFormat="1" ht="18" hidden="1" customHeight="1" x14ac:dyDescent="0.2">
      <c r="A25" s="2063">
        <f t="shared" si="0"/>
        <v>0</v>
      </c>
      <c r="B25" s="1478">
        <f>Трудозатраты!A37</f>
        <v>0</v>
      </c>
      <c r="C25" s="2584"/>
      <c r="D25" s="869"/>
      <c r="E25" s="869"/>
      <c r="F25" s="869"/>
      <c r="G25" s="869"/>
      <c r="H25" s="914"/>
      <c r="I25" s="2593"/>
      <c r="J25" s="1087"/>
      <c r="K25" s="1268" t="str">
        <f>Трудозатраты!B44</f>
        <v>Печать А4 с 2 рулонов чернобелая 3 разряд CityLine</v>
      </c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2469" t="str">
        <f>Трудозатраты!F44</f>
        <v>Л.пр.</v>
      </c>
      <c r="X25" s="2470"/>
      <c r="Y25" s="2471"/>
      <c r="Z25" s="1182">
        <f>Трудозатраты!H44</f>
        <v>0</v>
      </c>
      <c r="AA25" s="112"/>
      <c r="AB25" s="129"/>
      <c r="AC25" s="129"/>
      <c r="AD25" s="112"/>
      <c r="AE25" s="129"/>
      <c r="AF25" s="873"/>
      <c r="AH25"/>
      <c r="AI25"/>
      <c r="AJ25"/>
    </row>
    <row r="26" spans="1:36" s="908" customFormat="1" ht="18" hidden="1" customHeight="1" x14ac:dyDescent="0.2">
      <c r="A26" s="2063">
        <f t="shared" si="0"/>
        <v>0</v>
      </c>
      <c r="B26" s="1478">
        <f>Трудозатраты!A39</f>
        <v>32</v>
      </c>
      <c r="C26" s="2584"/>
      <c r="D26" s="869"/>
      <c r="E26" s="869"/>
      <c r="F26" s="869"/>
      <c r="G26" s="869"/>
      <c r="H26" s="914"/>
      <c r="I26" s="2593"/>
      <c r="J26" s="1087"/>
      <c r="K26" s="1268" t="str">
        <f>Трудозатраты!B45</f>
        <v>Печать А4 с 2 рулонов чернобелая 3 разряд CityLine</v>
      </c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2469" t="str">
        <f>Трудозатраты!F45</f>
        <v>Л.пр.</v>
      </c>
      <c r="X26" s="2470"/>
      <c r="Y26" s="2471"/>
      <c r="Z26" s="1182">
        <f>Трудозатраты!H45</f>
        <v>0</v>
      </c>
      <c r="AA26" s="112"/>
      <c r="AB26" s="129"/>
      <c r="AC26" s="129"/>
      <c r="AD26" s="112"/>
      <c r="AE26" s="129"/>
      <c r="AF26" s="873"/>
      <c r="AH26"/>
      <c r="AI26"/>
      <c r="AJ26"/>
    </row>
    <row r="27" spans="1:36" s="908" customFormat="1" ht="18" hidden="1" customHeight="1" x14ac:dyDescent="0.2">
      <c r="A27" s="2063">
        <f t="shared" si="0"/>
        <v>0</v>
      </c>
      <c r="B27" s="1478">
        <f>Трудозатраты!A67</f>
        <v>60</v>
      </c>
      <c r="C27" s="2584"/>
      <c r="D27" s="869"/>
      <c r="E27" s="869"/>
      <c r="F27" s="869"/>
      <c r="G27" s="869"/>
      <c r="H27" s="914"/>
      <c r="I27" s="2593"/>
      <c r="J27" s="1087"/>
      <c r="K27" s="1268" t="str">
        <f>Трудозатраты!B46</f>
        <v>Печать А4 с 3-х рулонов чернобелая 5 разряд CityLine</v>
      </c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2469" t="str">
        <f>Трудозатраты!F46</f>
        <v>Л.пр.</v>
      </c>
      <c r="X27" s="2470"/>
      <c r="Y27" s="2471"/>
      <c r="Z27" s="1182">
        <f>Трудозатраты!H46</f>
        <v>0</v>
      </c>
      <c r="AA27" s="112"/>
      <c r="AB27" s="129"/>
      <c r="AC27" s="129"/>
      <c r="AD27" s="112"/>
      <c r="AE27" s="129"/>
      <c r="AF27" s="873"/>
      <c r="AH27"/>
      <c r="AI27"/>
      <c r="AJ27"/>
    </row>
    <row r="28" spans="1:36" s="908" customFormat="1" ht="18" hidden="1" customHeight="1" x14ac:dyDescent="0.2">
      <c r="A28" s="2063">
        <f t="shared" si="0"/>
        <v>0</v>
      </c>
      <c r="B28" s="1478">
        <f>Трудозатраты!A68</f>
        <v>61</v>
      </c>
      <c r="C28" s="2584"/>
      <c r="D28" s="869"/>
      <c r="E28" s="869"/>
      <c r="F28" s="869"/>
      <c r="G28" s="869"/>
      <c r="H28" s="914"/>
      <c r="I28" s="2593"/>
      <c r="J28" s="1087"/>
      <c r="K28" s="1268" t="str">
        <f>Трудозатраты!B47</f>
        <v>Печать А4 с 3-х рулонов чернобелая 4 разряд CityLine</v>
      </c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2469" t="str">
        <f>Трудозатраты!F47</f>
        <v>Л.пр.</v>
      </c>
      <c r="X28" s="2470"/>
      <c r="Y28" s="2471"/>
      <c r="Z28" s="1182">
        <f>Трудозатраты!H47</f>
        <v>0</v>
      </c>
      <c r="AA28" s="112"/>
      <c r="AB28" s="129"/>
      <c r="AC28" s="129"/>
      <c r="AD28" s="112"/>
      <c r="AE28" s="129"/>
      <c r="AF28" s="873"/>
      <c r="AH28"/>
      <c r="AI28"/>
      <c r="AJ28"/>
    </row>
    <row r="29" spans="1:36" s="908" customFormat="1" ht="18" hidden="1" customHeight="1" x14ac:dyDescent="0.2">
      <c r="A29" s="2063">
        <f t="shared" si="0"/>
        <v>0</v>
      </c>
      <c r="B29" s="1478">
        <f>Трудозатраты!A69</f>
        <v>62</v>
      </c>
      <c r="C29" s="2584"/>
      <c r="D29" s="869"/>
      <c r="E29" s="869"/>
      <c r="F29" s="869"/>
      <c r="G29" s="869"/>
      <c r="H29" s="914"/>
      <c r="I29" s="2593"/>
      <c r="J29" s="1087"/>
      <c r="K29" s="1268" t="str">
        <f>Трудозатраты!B48</f>
        <v>Печать А4 с 3-х рулонов чернобелая 3 разряд CityLine</v>
      </c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2469" t="str">
        <f>Трудозатраты!F48</f>
        <v>Л.пр.</v>
      </c>
      <c r="X29" s="2470"/>
      <c r="Y29" s="2471"/>
      <c r="Z29" s="1182">
        <f>Трудозатраты!H48</f>
        <v>0</v>
      </c>
      <c r="AA29" s="112"/>
      <c r="AB29" s="129"/>
      <c r="AC29" s="129"/>
      <c r="AD29" s="112"/>
      <c r="AE29" s="129"/>
      <c r="AF29" s="873"/>
      <c r="AH29"/>
      <c r="AI29"/>
      <c r="AJ29"/>
    </row>
    <row r="30" spans="1:36" s="908" customFormat="1" ht="18" hidden="1" customHeight="1" x14ac:dyDescent="0.2">
      <c r="A30" s="2063">
        <f t="shared" si="0"/>
        <v>0</v>
      </c>
      <c r="B30" s="1478">
        <f>Трудозатраты!A70</f>
        <v>63</v>
      </c>
      <c r="C30" s="2584"/>
      <c r="D30" s="869"/>
      <c r="E30" s="869"/>
      <c r="F30" s="869"/>
      <c r="G30" s="869"/>
      <c r="H30" s="914"/>
      <c r="I30" s="2593"/>
      <c r="J30" s="1087"/>
      <c r="K30" s="1268" t="str">
        <f>Трудозатраты!B49</f>
        <v>Печать А4 с 3-х рулонов чернобелая 3 разряд CityLine</v>
      </c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2469" t="str">
        <f>Трудозатраты!F49</f>
        <v>Л.пр.</v>
      </c>
      <c r="X30" s="2470"/>
      <c r="Y30" s="2471"/>
      <c r="Z30" s="1182">
        <f>Трудозатраты!H49</f>
        <v>0</v>
      </c>
      <c r="AA30" s="112"/>
      <c r="AB30" s="129"/>
      <c r="AC30" s="129"/>
      <c r="AD30" s="112"/>
      <c r="AE30" s="129"/>
      <c r="AF30" s="873"/>
      <c r="AH30"/>
      <c r="AI30"/>
      <c r="AJ30"/>
    </row>
    <row r="31" spans="1:36" s="908" customFormat="1" ht="18" hidden="1" customHeight="1" x14ac:dyDescent="0.2">
      <c r="A31" s="2063">
        <f t="shared" si="0"/>
        <v>0</v>
      </c>
      <c r="B31" s="1478">
        <f>Трудозатраты!A71</f>
        <v>64</v>
      </c>
      <c r="C31" s="2584"/>
      <c r="D31" s="869"/>
      <c r="E31" s="869"/>
      <c r="F31" s="869"/>
      <c r="G31" s="869"/>
      <c r="H31" s="914"/>
      <c r="I31" s="2593"/>
      <c r="J31" s="1087"/>
      <c r="K31" s="1268" t="str">
        <f>Трудозатраты!B50</f>
        <v>Печать А4 с 4-х рулонов чернобелая 5 разряд CityLine</v>
      </c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2469" t="str">
        <f>Трудозатраты!F50</f>
        <v>Л.пр.</v>
      </c>
      <c r="X31" s="2470"/>
      <c r="Y31" s="2471"/>
      <c r="Z31" s="1182">
        <f>Трудозатраты!H50</f>
        <v>0</v>
      </c>
      <c r="AA31" s="112"/>
      <c r="AB31" s="129"/>
      <c r="AC31" s="129"/>
      <c r="AD31" s="112"/>
      <c r="AE31" s="129"/>
      <c r="AF31" s="873"/>
      <c r="AH31"/>
      <c r="AI31"/>
      <c r="AJ31"/>
    </row>
    <row r="32" spans="1:36" s="908" customFormat="1" ht="18" hidden="1" customHeight="1" x14ac:dyDescent="0.2">
      <c r="A32" s="2063">
        <f t="shared" si="0"/>
        <v>0</v>
      </c>
      <c r="B32" s="1478">
        <f>Трудозатраты!A72</f>
        <v>65</v>
      </c>
      <c r="C32" s="2584"/>
      <c r="D32" s="869"/>
      <c r="E32" s="869"/>
      <c r="F32" s="869"/>
      <c r="G32" s="869"/>
      <c r="H32" s="914"/>
      <c r="I32" s="2593"/>
      <c r="J32" s="1087"/>
      <c r="K32" s="1268" t="str">
        <f>Трудозатраты!B51</f>
        <v>Печать А4 с 4-х рулонов чернобелая 4 разряд CityLine</v>
      </c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2469" t="str">
        <f>Трудозатраты!F51</f>
        <v>Л.пр.</v>
      </c>
      <c r="X32" s="2470"/>
      <c r="Y32" s="2471"/>
      <c r="Z32" s="1182">
        <f>Трудозатраты!H51</f>
        <v>0</v>
      </c>
      <c r="AA32" s="112"/>
      <c r="AB32" s="129"/>
      <c r="AC32" s="129"/>
      <c r="AD32" s="112"/>
      <c r="AE32" s="129"/>
      <c r="AF32" s="873"/>
      <c r="AH32"/>
      <c r="AI32"/>
      <c r="AJ32"/>
    </row>
    <row r="33" spans="1:36" s="908" customFormat="1" ht="18" hidden="1" customHeight="1" x14ac:dyDescent="0.2">
      <c r="A33" s="2063">
        <f t="shared" si="0"/>
        <v>0</v>
      </c>
      <c r="B33" s="1478">
        <f>Трудозатраты!A73</f>
        <v>66</v>
      </c>
      <c r="C33" s="2584"/>
      <c r="D33" s="869"/>
      <c r="E33" s="869"/>
      <c r="F33" s="869"/>
      <c r="G33" s="869"/>
      <c r="H33" s="914"/>
      <c r="I33" s="2593"/>
      <c r="J33" s="1087"/>
      <c r="K33" s="1268" t="str">
        <f>Трудозатраты!B52</f>
        <v>Печать А4 с 4-х рулонов чернобелая 3 разряд CityLine</v>
      </c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2469" t="str">
        <f>Трудозатраты!F52</f>
        <v>Л.пр.</v>
      </c>
      <c r="X33" s="2470"/>
      <c r="Y33" s="2471"/>
      <c r="Z33" s="1182">
        <f>Трудозатраты!H52</f>
        <v>0</v>
      </c>
      <c r="AA33" s="112"/>
      <c r="AB33" s="129"/>
      <c r="AC33" s="129"/>
      <c r="AD33" s="112"/>
      <c r="AE33" s="129"/>
      <c r="AF33" s="873"/>
      <c r="AH33"/>
      <c r="AI33"/>
      <c r="AJ33"/>
    </row>
    <row r="34" spans="1:36" s="908" customFormat="1" ht="18" hidden="1" customHeight="1" x14ac:dyDescent="0.2">
      <c r="A34" s="2063">
        <f t="shared" si="0"/>
        <v>0</v>
      </c>
      <c r="B34" s="1478">
        <f>Трудозатраты!A74</f>
        <v>0</v>
      </c>
      <c r="C34" s="2584"/>
      <c r="D34" s="869"/>
      <c r="E34" s="869"/>
      <c r="F34" s="869"/>
      <c r="G34" s="869"/>
      <c r="H34" s="914"/>
      <c r="I34" s="2593"/>
      <c r="J34" s="1087"/>
      <c r="K34" s="1268" t="str">
        <f>Трудозатраты!B53</f>
        <v>Печать А4 с 4-х рулонов чернобелая 3 разряд CityLine</v>
      </c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2469" t="str">
        <f>Трудозатраты!F53</f>
        <v>Л.пр.</v>
      </c>
      <c r="X34" s="2470"/>
      <c r="Y34" s="2471"/>
      <c r="Z34" s="1182">
        <f>Трудозатраты!H53</f>
        <v>0</v>
      </c>
      <c r="AA34" s="112"/>
      <c r="AB34" s="129"/>
      <c r="AC34" s="129"/>
      <c r="AD34" s="112"/>
      <c r="AE34" s="129"/>
      <c r="AF34" s="873"/>
      <c r="AH34"/>
      <c r="AI34"/>
      <c r="AJ34"/>
    </row>
    <row r="35" spans="1:36" s="908" customFormat="1" ht="18" hidden="1" customHeight="1" x14ac:dyDescent="0.2">
      <c r="A35" s="2063">
        <f t="shared" si="0"/>
        <v>0</v>
      </c>
      <c r="B35" s="1478">
        <f>Трудозатраты!A47</f>
        <v>40</v>
      </c>
      <c r="C35" s="2584"/>
      <c r="D35" s="869"/>
      <c r="E35" s="869"/>
      <c r="F35" s="869"/>
      <c r="G35" s="869"/>
      <c r="H35" s="914"/>
      <c r="I35" s="2593"/>
      <c r="J35" s="1087"/>
      <c r="K35" s="1268" t="str">
        <f>Трудозатраты!B54</f>
        <v>Печать А4 с 1 рулона цветная 5 разряд CityLine</v>
      </c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2469" t="str">
        <f>Трудозатраты!F54</f>
        <v>Л.пр.</v>
      </c>
      <c r="X35" s="2470"/>
      <c r="Y35" s="2471"/>
      <c r="Z35" s="1182">
        <f>Трудозатраты!H54</f>
        <v>0</v>
      </c>
      <c r="AA35" s="112"/>
      <c r="AB35" s="129"/>
      <c r="AC35" s="129"/>
      <c r="AD35" s="112"/>
      <c r="AE35" s="129"/>
      <c r="AF35" s="873"/>
      <c r="AH35"/>
      <c r="AI35"/>
      <c r="AJ35"/>
    </row>
    <row r="36" spans="1:36" s="908" customFormat="1" ht="18" hidden="1" customHeight="1" x14ac:dyDescent="0.2">
      <c r="A36" s="2063">
        <f t="shared" si="0"/>
        <v>0</v>
      </c>
      <c r="B36" s="1478">
        <f>Трудозатраты!A48</f>
        <v>41</v>
      </c>
      <c r="C36" s="2584"/>
      <c r="D36" s="869"/>
      <c r="E36" s="869"/>
      <c r="F36" s="869"/>
      <c r="G36" s="869"/>
      <c r="H36" s="914"/>
      <c r="I36" s="2593"/>
      <c r="J36" s="1087"/>
      <c r="K36" s="1268" t="str">
        <f>Трудозатраты!B55</f>
        <v>Печать А4 с 1 рулона цветная 4 разряд CityLine</v>
      </c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2469" t="str">
        <f>Трудозатраты!F55</f>
        <v>Л.пр.</v>
      </c>
      <c r="X36" s="2470"/>
      <c r="Y36" s="2471"/>
      <c r="Z36" s="1182">
        <f>Трудозатраты!H55</f>
        <v>0</v>
      </c>
      <c r="AA36" s="112"/>
      <c r="AB36" s="129"/>
      <c r="AC36" s="129"/>
      <c r="AD36" s="112"/>
      <c r="AE36" s="129"/>
      <c r="AF36" s="873"/>
      <c r="AH36"/>
      <c r="AI36"/>
      <c r="AJ36"/>
    </row>
    <row r="37" spans="1:36" s="908" customFormat="1" ht="18" hidden="1" customHeight="1" x14ac:dyDescent="0.2">
      <c r="A37" s="2063">
        <f t="shared" si="0"/>
        <v>0</v>
      </c>
      <c r="B37" s="1478">
        <f>Трудозатраты!A49</f>
        <v>42</v>
      </c>
      <c r="C37" s="2584"/>
      <c r="D37" s="869"/>
      <c r="E37" s="869"/>
      <c r="F37" s="869"/>
      <c r="G37" s="869"/>
      <c r="H37" s="914"/>
      <c r="I37" s="2593"/>
      <c r="J37" s="1087"/>
      <c r="K37" s="1268" t="str">
        <f>Трудозатраты!B56</f>
        <v>Печать А4 с 1 рулона цветная 3 разряд CityLine</v>
      </c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2469" t="str">
        <f>Трудозатраты!F56</f>
        <v>Л.пр.</v>
      </c>
      <c r="X37" s="2470"/>
      <c r="Y37" s="2471"/>
      <c r="Z37" s="1182">
        <f>Трудозатраты!H56</f>
        <v>0</v>
      </c>
      <c r="AA37" s="112"/>
      <c r="AB37" s="129"/>
      <c r="AC37" s="129"/>
      <c r="AD37" s="112"/>
      <c r="AE37" s="129"/>
      <c r="AF37" s="873"/>
      <c r="AH37"/>
      <c r="AI37"/>
      <c r="AJ37"/>
    </row>
    <row r="38" spans="1:36" s="908" customFormat="1" ht="18" hidden="1" customHeight="1" x14ac:dyDescent="0.2">
      <c r="A38" s="2063">
        <f t="shared" si="0"/>
        <v>0</v>
      </c>
      <c r="B38" s="1478">
        <f>Трудозатраты!A51</f>
        <v>44</v>
      </c>
      <c r="C38" s="2584"/>
      <c r="D38" s="869"/>
      <c r="E38" s="869"/>
      <c r="F38" s="869"/>
      <c r="G38" s="869"/>
      <c r="H38" s="914"/>
      <c r="I38" s="2593"/>
      <c r="J38" s="1087"/>
      <c r="K38" s="1268" t="str">
        <f>Трудозатраты!B57</f>
        <v>Печать А4 с 1 рулона цветная 3 разряд CityLine</v>
      </c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2469" t="str">
        <f>Трудозатраты!F57</f>
        <v>Л.пр.</v>
      </c>
      <c r="X38" s="2470"/>
      <c r="Y38" s="2471"/>
      <c r="Z38" s="1182">
        <f>Трудозатраты!H57</f>
        <v>0</v>
      </c>
      <c r="AA38" s="112"/>
      <c r="AB38" s="129"/>
      <c r="AC38" s="129"/>
      <c r="AD38" s="112"/>
      <c r="AE38" s="129"/>
      <c r="AF38" s="873"/>
      <c r="AH38"/>
      <c r="AI38"/>
      <c r="AJ38"/>
    </row>
    <row r="39" spans="1:36" s="908" customFormat="1" ht="18" hidden="1" customHeight="1" x14ac:dyDescent="0.2">
      <c r="A39" s="2063">
        <f t="shared" si="0"/>
        <v>0</v>
      </c>
      <c r="B39" s="1478">
        <f>Трудозатраты!A79</f>
        <v>71</v>
      </c>
      <c r="C39" s="2584"/>
      <c r="D39" s="869"/>
      <c r="E39" s="869"/>
      <c r="F39" s="869"/>
      <c r="G39" s="869"/>
      <c r="H39" s="914"/>
      <c r="I39" s="2593"/>
      <c r="J39" s="1087"/>
      <c r="K39" s="1268" t="str">
        <f>Трудозатраты!B58</f>
        <v>Печать А4 с 2-х рулонов цветная 5 разряд CityLine</v>
      </c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2469" t="str">
        <f>Трудозатраты!F58</f>
        <v>Л.пр.</v>
      </c>
      <c r="X39" s="2470"/>
      <c r="Y39" s="2471"/>
      <c r="Z39" s="1182">
        <f>Трудозатраты!H58</f>
        <v>0</v>
      </c>
      <c r="AA39" s="112"/>
      <c r="AB39" s="129"/>
      <c r="AC39" s="129"/>
      <c r="AD39" s="112"/>
      <c r="AE39" s="129"/>
      <c r="AF39" s="873"/>
      <c r="AH39"/>
      <c r="AI39"/>
      <c r="AJ39"/>
    </row>
    <row r="40" spans="1:36" s="908" customFormat="1" ht="18" hidden="1" customHeight="1" x14ac:dyDescent="0.2">
      <c r="A40" s="2063">
        <f t="shared" si="0"/>
        <v>0</v>
      </c>
      <c r="B40" s="1478">
        <f>Трудозатраты!A80</f>
        <v>72</v>
      </c>
      <c r="C40" s="2584"/>
      <c r="D40" s="869"/>
      <c r="E40" s="869"/>
      <c r="F40" s="869"/>
      <c r="G40" s="869"/>
      <c r="H40" s="914"/>
      <c r="I40" s="2593"/>
      <c r="J40" s="1087"/>
      <c r="K40" s="1268" t="str">
        <f>Трудозатраты!B59</f>
        <v>Печать А4 с 2-х рулонов цветная 4 разряд CityLine</v>
      </c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2469" t="str">
        <f>Трудозатраты!F59</f>
        <v>Л.пр.</v>
      </c>
      <c r="X40" s="2470"/>
      <c r="Y40" s="2471"/>
      <c r="Z40" s="1182">
        <f>Трудозатраты!H59</f>
        <v>0</v>
      </c>
      <c r="AA40" s="112"/>
      <c r="AB40" s="129"/>
      <c r="AC40" s="129"/>
      <c r="AD40" s="112"/>
      <c r="AE40" s="129"/>
      <c r="AF40" s="873"/>
      <c r="AH40"/>
      <c r="AI40"/>
      <c r="AJ40"/>
    </row>
    <row r="41" spans="1:36" s="908" customFormat="1" ht="18" hidden="1" customHeight="1" x14ac:dyDescent="0.2">
      <c r="A41" s="2063">
        <f t="shared" si="0"/>
        <v>0</v>
      </c>
      <c r="B41" s="1478">
        <f>Трудозатраты!A81</f>
        <v>73</v>
      </c>
      <c r="C41" s="2584"/>
      <c r="D41" s="869"/>
      <c r="E41" s="869"/>
      <c r="F41" s="869"/>
      <c r="G41" s="869"/>
      <c r="H41" s="914"/>
      <c r="I41" s="2593"/>
      <c r="J41" s="1087"/>
      <c r="K41" s="1268" t="str">
        <f>Трудозатраты!B60</f>
        <v>Печать А4 с 2-х рулонов цветная 3 разряд CityLine</v>
      </c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2469" t="str">
        <f>Трудозатраты!F60</f>
        <v>Л.пр.</v>
      </c>
      <c r="X41" s="2470"/>
      <c r="Y41" s="2471"/>
      <c r="Z41" s="1182">
        <f>Трудозатраты!H60</f>
        <v>0</v>
      </c>
      <c r="AA41" s="112"/>
      <c r="AB41" s="129"/>
      <c r="AC41" s="129"/>
      <c r="AD41" s="112"/>
      <c r="AE41" s="129"/>
      <c r="AF41" s="873"/>
      <c r="AH41"/>
      <c r="AI41"/>
      <c r="AJ41"/>
    </row>
    <row r="42" spans="1:36" s="908" customFormat="1" ht="18" hidden="1" customHeight="1" x14ac:dyDescent="0.2">
      <c r="A42" s="2063">
        <f t="shared" si="0"/>
        <v>0</v>
      </c>
      <c r="B42" s="1478">
        <f>Трудозатраты!A82</f>
        <v>74</v>
      </c>
      <c r="C42" s="2584"/>
      <c r="D42" s="869"/>
      <c r="E42" s="869"/>
      <c r="F42" s="869"/>
      <c r="G42" s="869"/>
      <c r="H42" s="914"/>
      <c r="I42" s="2593"/>
      <c r="J42" s="1087"/>
      <c r="K42" s="1268" t="str">
        <f>Трудозатраты!B61</f>
        <v>Печать А4 с 2-х рулонов цветная 3 разряд CityLine</v>
      </c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2469" t="str">
        <f>Трудозатраты!F61</f>
        <v>Л.пр.</v>
      </c>
      <c r="X42" s="2470"/>
      <c r="Y42" s="2471"/>
      <c r="Z42" s="1182">
        <f>Трудозатраты!H61</f>
        <v>0</v>
      </c>
      <c r="AA42" s="112"/>
      <c r="AB42" s="129"/>
      <c r="AC42" s="129"/>
      <c r="AD42" s="112"/>
      <c r="AE42" s="129"/>
      <c r="AF42" s="873"/>
      <c r="AH42"/>
      <c r="AI42"/>
      <c r="AJ42"/>
    </row>
    <row r="43" spans="1:36" s="908" customFormat="1" ht="18" hidden="1" customHeight="1" x14ac:dyDescent="0.2">
      <c r="A43" s="2063">
        <f t="shared" si="0"/>
        <v>0</v>
      </c>
      <c r="B43" s="1478">
        <f>Трудозатраты!A83</f>
        <v>75</v>
      </c>
      <c r="C43" s="2584"/>
      <c r="D43" s="869"/>
      <c r="E43" s="869"/>
      <c r="F43" s="869"/>
      <c r="G43" s="869"/>
      <c r="H43" s="914"/>
      <c r="I43" s="2593"/>
      <c r="J43" s="1087"/>
      <c r="K43" s="1268" t="str">
        <f>Трудозатраты!B62</f>
        <v>Печать А4 с 3-х рулонов цветная 5 разряд CityLine</v>
      </c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2469" t="str">
        <f>Трудозатраты!F62</f>
        <v>Л.пр.</v>
      </c>
      <c r="X43" s="2470"/>
      <c r="Y43" s="2471"/>
      <c r="Z43" s="1182">
        <f>Трудозатраты!H62</f>
        <v>0</v>
      </c>
      <c r="AA43" s="112"/>
      <c r="AB43" s="129"/>
      <c r="AC43" s="129"/>
      <c r="AD43" s="112"/>
      <c r="AE43" s="129"/>
      <c r="AF43" s="873"/>
      <c r="AH43"/>
      <c r="AI43"/>
      <c r="AJ43"/>
    </row>
    <row r="44" spans="1:36" s="908" customFormat="1" ht="18" hidden="1" customHeight="1" x14ac:dyDescent="0.2">
      <c r="A44" s="2063">
        <f t="shared" si="0"/>
        <v>0</v>
      </c>
      <c r="B44" s="1478">
        <f>Трудозатраты!A84</f>
        <v>76</v>
      </c>
      <c r="C44" s="2584"/>
      <c r="D44" s="869"/>
      <c r="E44" s="869"/>
      <c r="F44" s="869"/>
      <c r="G44" s="869"/>
      <c r="H44" s="914"/>
      <c r="I44" s="2593"/>
      <c r="J44" s="1087"/>
      <c r="K44" s="1268" t="str">
        <f>Трудозатраты!B63</f>
        <v>Печать А4 с 3-х рулонов цветная 4 разряд CityLine</v>
      </c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2469" t="str">
        <f>Трудозатраты!F63</f>
        <v>Л.пр.</v>
      </c>
      <c r="X44" s="2470"/>
      <c r="Y44" s="2471"/>
      <c r="Z44" s="1182">
        <f>Трудозатраты!H63</f>
        <v>0</v>
      </c>
      <c r="AA44" s="112"/>
      <c r="AB44" s="129"/>
      <c r="AC44" s="129"/>
      <c r="AD44" s="112"/>
      <c r="AE44" s="129"/>
      <c r="AF44" s="873"/>
      <c r="AH44"/>
      <c r="AI44"/>
      <c r="AJ44"/>
    </row>
    <row r="45" spans="1:36" s="908" customFormat="1" ht="18" hidden="1" customHeight="1" x14ac:dyDescent="0.2">
      <c r="A45" s="2063">
        <f t="shared" si="0"/>
        <v>0</v>
      </c>
      <c r="B45" s="1478">
        <f>Трудозатраты!A85</f>
        <v>77</v>
      </c>
      <c r="C45" s="2584"/>
      <c r="D45" s="869"/>
      <c r="E45" s="869"/>
      <c r="F45" s="869"/>
      <c r="G45" s="869"/>
      <c r="H45" s="914"/>
      <c r="I45" s="2593"/>
      <c r="J45" s="1087"/>
      <c r="K45" s="1268" t="str">
        <f>Трудозатраты!B64</f>
        <v>Печать А4 с 3-х рулонов цветная 3 разряд CityLine</v>
      </c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2469" t="str">
        <f>Трудозатраты!F64</f>
        <v>Л.пр.</v>
      </c>
      <c r="X45" s="2470"/>
      <c r="Y45" s="2471"/>
      <c r="Z45" s="1182">
        <f>Трудозатраты!H64</f>
        <v>0</v>
      </c>
      <c r="AA45" s="112"/>
      <c r="AB45" s="129"/>
      <c r="AC45" s="129"/>
      <c r="AD45" s="112"/>
      <c r="AE45" s="129"/>
      <c r="AF45" s="873"/>
      <c r="AH45"/>
      <c r="AI45"/>
      <c r="AJ45"/>
    </row>
    <row r="46" spans="1:36" s="908" customFormat="1" ht="18" hidden="1" customHeight="1" x14ac:dyDescent="0.2">
      <c r="A46" s="2063">
        <f t="shared" si="0"/>
        <v>0</v>
      </c>
      <c r="B46" s="1478">
        <f>Трудозатраты!A86</f>
        <v>78</v>
      </c>
      <c r="C46" s="2584"/>
      <c r="D46" s="869"/>
      <c r="E46" s="869"/>
      <c r="F46" s="869"/>
      <c r="G46" s="869"/>
      <c r="H46" s="914"/>
      <c r="I46" s="2593"/>
      <c r="J46" s="1087"/>
      <c r="K46" s="1268" t="str">
        <f>Трудозатраты!B65</f>
        <v>Печать А4 с 3-х рулонов цветная 3 разряд CityLine</v>
      </c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2469" t="str">
        <f>Трудозатраты!F65</f>
        <v>Л.пр.</v>
      </c>
      <c r="X46" s="2470"/>
      <c r="Y46" s="2471"/>
      <c r="Z46" s="1182">
        <f>Трудозатраты!H65</f>
        <v>0</v>
      </c>
      <c r="AA46" s="112"/>
      <c r="AB46" s="129"/>
      <c r="AC46" s="129"/>
      <c r="AD46" s="112"/>
      <c r="AE46" s="129"/>
      <c r="AF46" s="873"/>
      <c r="AH46"/>
      <c r="AI46"/>
      <c r="AJ46"/>
    </row>
    <row r="47" spans="1:36" s="908" customFormat="1" ht="18" hidden="1" customHeight="1" x14ac:dyDescent="0.2">
      <c r="A47" s="2063">
        <f t="shared" si="0"/>
        <v>0</v>
      </c>
      <c r="B47" s="1478">
        <f>Трудозатраты!A70</f>
        <v>63</v>
      </c>
      <c r="C47" s="2584"/>
      <c r="D47" s="869"/>
      <c r="E47" s="869"/>
      <c r="F47" s="869"/>
      <c r="G47" s="869"/>
      <c r="H47" s="914"/>
      <c r="I47" s="2593"/>
      <c r="J47" s="1087"/>
      <c r="K47" s="1268" t="str">
        <f>Трудозатраты!B66</f>
        <v>Печать А4 с 4-х рулонов цветная 5 разряд CityLine</v>
      </c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2469" t="str">
        <f>Трудозатраты!F66</f>
        <v>Л.пр.</v>
      </c>
      <c r="X47" s="2470"/>
      <c r="Y47" s="2471"/>
      <c r="Z47" s="1182">
        <f>Трудозатраты!H66</f>
        <v>0</v>
      </c>
      <c r="AA47" s="112"/>
      <c r="AB47" s="129"/>
      <c r="AC47" s="129"/>
      <c r="AD47" s="112"/>
      <c r="AE47" s="129"/>
      <c r="AF47" s="873"/>
      <c r="AH47"/>
      <c r="AI47"/>
      <c r="AJ47"/>
    </row>
    <row r="48" spans="1:36" s="908" customFormat="1" ht="18" hidden="1" customHeight="1" x14ac:dyDescent="0.2">
      <c r="A48" s="2063">
        <f t="shared" si="0"/>
        <v>0</v>
      </c>
      <c r="B48" s="1478">
        <f>Трудозатраты!A60</f>
        <v>53</v>
      </c>
      <c r="C48" s="2584"/>
      <c r="D48" s="869"/>
      <c r="E48" s="869"/>
      <c r="F48" s="869"/>
      <c r="G48" s="869"/>
      <c r="H48" s="914"/>
      <c r="I48" s="2593"/>
      <c r="J48" s="1087"/>
      <c r="K48" s="1268" t="str">
        <f>Трудозатраты!B67</f>
        <v>Печать А4 с 4-х рулонов цветная 4 разряд CityLine</v>
      </c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2469" t="str">
        <f>Трудозатраты!F67</f>
        <v>Л.пр.</v>
      </c>
      <c r="X48" s="2470"/>
      <c r="Y48" s="2471"/>
      <c r="Z48" s="1182">
        <f>Трудозатраты!H67</f>
        <v>0</v>
      </c>
      <c r="AA48" s="112"/>
      <c r="AB48" s="129"/>
      <c r="AC48" s="129"/>
      <c r="AD48" s="112"/>
      <c r="AE48" s="129"/>
      <c r="AF48" s="873"/>
      <c r="AH48"/>
      <c r="AI48"/>
      <c r="AJ48"/>
    </row>
    <row r="49" spans="1:36" s="908" customFormat="1" ht="18" hidden="1" customHeight="1" x14ac:dyDescent="0.2">
      <c r="A49" s="2063">
        <f t="shared" si="0"/>
        <v>0</v>
      </c>
      <c r="B49" s="1478">
        <f>Трудозатраты!A61</f>
        <v>54</v>
      </c>
      <c r="C49" s="2584"/>
      <c r="D49" s="869"/>
      <c r="E49" s="869"/>
      <c r="F49" s="869"/>
      <c r="G49" s="869"/>
      <c r="H49" s="914"/>
      <c r="I49" s="2593"/>
      <c r="J49" s="1087"/>
      <c r="K49" s="1268" t="str">
        <f>Трудозатраты!B68</f>
        <v>Печать А4 с 4-х рулонов цветная 3 разряд CityLine</v>
      </c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2469" t="str">
        <f>Трудозатраты!F68</f>
        <v>Л.пр.</v>
      </c>
      <c r="X49" s="2470"/>
      <c r="Y49" s="2471"/>
      <c r="Z49" s="1182">
        <f>Трудозатраты!H68</f>
        <v>0</v>
      </c>
      <c r="AA49" s="112"/>
      <c r="AB49" s="129"/>
      <c r="AC49" s="129"/>
      <c r="AD49" s="112"/>
      <c r="AE49" s="129"/>
      <c r="AF49" s="873"/>
      <c r="AH49"/>
      <c r="AI49"/>
      <c r="AJ49"/>
    </row>
    <row r="50" spans="1:36" s="908" customFormat="1" ht="18" hidden="1" customHeight="1" x14ac:dyDescent="0.2">
      <c r="A50" s="2063">
        <f t="shared" si="0"/>
        <v>0</v>
      </c>
      <c r="B50" s="1478">
        <f>Трудозатраты!A63</f>
        <v>56</v>
      </c>
      <c r="C50" s="2584"/>
      <c r="D50" s="869"/>
      <c r="E50" s="869"/>
      <c r="F50" s="869"/>
      <c r="G50" s="869"/>
      <c r="H50" s="914"/>
      <c r="I50" s="2593"/>
      <c r="J50" s="1087"/>
      <c r="K50" s="1268" t="str">
        <f>Трудозатраты!B69</f>
        <v>Печать А4 с 4-х рулонов цветная 3 разряд CityLine</v>
      </c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2469" t="str">
        <f>Трудозатраты!F69</f>
        <v>Л.пр.</v>
      </c>
      <c r="X50" s="2470"/>
      <c r="Y50" s="2471"/>
      <c r="Z50" s="1182">
        <f>Трудозатраты!H69</f>
        <v>0</v>
      </c>
      <c r="AA50" s="112"/>
      <c r="AB50" s="129"/>
      <c r="AC50" s="129"/>
      <c r="AD50" s="112"/>
      <c r="AE50" s="129"/>
      <c r="AF50" s="873"/>
      <c r="AH50"/>
      <c r="AI50"/>
      <c r="AJ50"/>
    </row>
    <row r="51" spans="1:36" s="908" customFormat="1" ht="18" hidden="1" customHeight="1" x14ac:dyDescent="0.2">
      <c r="A51" s="2063">
        <f t="shared" si="0"/>
        <v>0</v>
      </c>
      <c r="B51" s="1478">
        <f>Трудозатраты!A91</f>
        <v>83</v>
      </c>
      <c r="C51" s="2584"/>
      <c r="D51" s="869"/>
      <c r="E51" s="869"/>
      <c r="F51" s="869"/>
      <c r="G51" s="869"/>
      <c r="H51" s="914"/>
      <c r="I51" s="2593"/>
      <c r="J51" s="1087"/>
      <c r="K51" s="1268" t="str">
        <f>Трудозатраты!B70</f>
        <v>Приладка 1 формы А4 формат 5 разряд CityLine</v>
      </c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2469" t="str">
        <f>Трудозатраты!F70</f>
        <v>шт</v>
      </c>
      <c r="X51" s="2470"/>
      <c r="Y51" s="2471"/>
      <c r="Z51" s="1182">
        <f>Трудозатраты!H70</f>
        <v>0</v>
      </c>
      <c r="AA51" s="112"/>
      <c r="AB51" s="129"/>
      <c r="AC51" s="129"/>
      <c r="AD51" s="112"/>
      <c r="AE51" s="129"/>
      <c r="AF51" s="873"/>
      <c r="AH51"/>
      <c r="AI51"/>
      <c r="AJ51"/>
    </row>
    <row r="52" spans="1:36" s="908" customFormat="1" ht="18" hidden="1" customHeight="1" x14ac:dyDescent="0.2">
      <c r="A52" s="2063">
        <f t="shared" si="0"/>
        <v>0</v>
      </c>
      <c r="B52" s="1478">
        <f>Трудозатраты!A92</f>
        <v>84</v>
      </c>
      <c r="C52" s="2584"/>
      <c r="D52" s="869"/>
      <c r="E52" s="869"/>
      <c r="F52" s="869"/>
      <c r="G52" s="869"/>
      <c r="H52" s="914"/>
      <c r="I52" s="2593"/>
      <c r="J52" s="1087"/>
      <c r="K52" s="1268" t="str">
        <f>Трудозатраты!B71</f>
        <v>Приладка 1 формы А4 формат 4 разряд CityLine</v>
      </c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2469" t="str">
        <f>Трудозатраты!F71</f>
        <v>шт</v>
      </c>
      <c r="X52" s="2470"/>
      <c r="Y52" s="2471"/>
      <c r="Z52" s="1182">
        <f>Трудозатраты!H71</f>
        <v>0</v>
      </c>
      <c r="AA52" s="112"/>
      <c r="AB52" s="129"/>
      <c r="AC52" s="129"/>
      <c r="AD52" s="112"/>
      <c r="AE52" s="129"/>
      <c r="AF52" s="873"/>
      <c r="AH52"/>
      <c r="AI52"/>
      <c r="AJ52"/>
    </row>
    <row r="53" spans="1:36" s="908" customFormat="1" ht="18" hidden="1" customHeight="1" x14ac:dyDescent="0.2">
      <c r="A53" s="2063">
        <f t="shared" si="0"/>
        <v>0</v>
      </c>
      <c r="B53" s="1478">
        <f>Трудозатраты!A93</f>
        <v>85</v>
      </c>
      <c r="C53" s="2584"/>
      <c r="D53" s="869"/>
      <c r="E53" s="869"/>
      <c r="F53" s="869"/>
      <c r="G53" s="869"/>
      <c r="H53" s="914"/>
      <c r="I53" s="2593"/>
      <c r="J53" s="1087"/>
      <c r="K53" s="1268" t="str">
        <f>Трудозатраты!B72</f>
        <v>Приладка 1 формы А4 формат 3 разряд CityLine</v>
      </c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2469" t="str">
        <f>Трудозатраты!F72</f>
        <v>шт</v>
      </c>
      <c r="X53" s="2470"/>
      <c r="Y53" s="2471"/>
      <c r="Z53" s="1182">
        <f>Трудозатраты!H72</f>
        <v>0</v>
      </c>
      <c r="AA53" s="112"/>
      <c r="AB53" s="129"/>
      <c r="AC53" s="129"/>
      <c r="AD53" s="112"/>
      <c r="AE53" s="129"/>
      <c r="AF53" s="873"/>
      <c r="AH53"/>
      <c r="AI53"/>
      <c r="AJ53"/>
    </row>
    <row r="54" spans="1:36" s="908" customFormat="1" ht="18" hidden="1" customHeight="1" x14ac:dyDescent="0.2">
      <c r="A54" s="2063">
        <f t="shared" si="0"/>
        <v>0</v>
      </c>
      <c r="B54" s="1478">
        <f>Трудозатраты!A94</f>
        <v>86</v>
      </c>
      <c r="C54" s="2584"/>
      <c r="D54" s="869"/>
      <c r="E54" s="869"/>
      <c r="F54" s="869"/>
      <c r="G54" s="869"/>
      <c r="H54" s="914"/>
      <c r="I54" s="2593"/>
      <c r="J54" s="1087"/>
      <c r="K54" s="1268" t="str">
        <f>Трудозатраты!B73</f>
        <v>Приладка 1 формы А4 формат 3 разряд CityLine</v>
      </c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2469" t="str">
        <f>Трудозатраты!F73</f>
        <v>шт</v>
      </c>
      <c r="X54" s="2470"/>
      <c r="Y54" s="2471"/>
      <c r="Z54" s="1182">
        <f>Трудозатраты!H73</f>
        <v>0</v>
      </c>
      <c r="AA54" s="112"/>
      <c r="AB54" s="129"/>
      <c r="AC54" s="129"/>
      <c r="AD54" s="112"/>
      <c r="AE54" s="129"/>
      <c r="AF54" s="873"/>
      <c r="AH54"/>
      <c r="AI54"/>
      <c r="AJ54"/>
    </row>
    <row r="55" spans="1:36" s="908" customFormat="1" ht="18" hidden="1" customHeight="1" x14ac:dyDescent="0.2">
      <c r="A55" s="2063">
        <f t="shared" si="0"/>
        <v>0</v>
      </c>
      <c r="B55" s="1478">
        <f>Трудозатраты!A95</f>
        <v>87</v>
      </c>
      <c r="C55" s="2584"/>
      <c r="D55" s="869"/>
      <c r="E55" s="869"/>
      <c r="F55" s="869"/>
      <c r="G55" s="869"/>
      <c r="H55" s="914"/>
      <c r="I55" s="2593"/>
      <c r="J55" s="1087"/>
      <c r="K55" s="1268" t="str">
        <f>Трудозатраты!B75</f>
        <v>Печать А3  с 1 рулона чернобелая 5 разряд CityLine</v>
      </c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2469" t="str">
        <f>Трудозатраты!F75</f>
        <v>Л.пр.</v>
      </c>
      <c r="X55" s="2470"/>
      <c r="Y55" s="2471"/>
      <c r="Z55" s="1182">
        <f>Трудозатраты!H75</f>
        <v>0</v>
      </c>
      <c r="AA55" s="112"/>
      <c r="AB55" s="129"/>
      <c r="AC55" s="129"/>
      <c r="AD55" s="112"/>
      <c r="AE55" s="129"/>
      <c r="AF55" s="873"/>
      <c r="AH55"/>
      <c r="AI55"/>
      <c r="AJ55"/>
    </row>
    <row r="56" spans="1:36" s="908" customFormat="1" ht="18" hidden="1" customHeight="1" x14ac:dyDescent="0.2">
      <c r="A56" s="2063">
        <f t="shared" si="0"/>
        <v>0</v>
      </c>
      <c r="B56" s="1478">
        <f>Трудозатраты!A80</f>
        <v>72</v>
      </c>
      <c r="C56" s="2584"/>
      <c r="D56" s="869"/>
      <c r="E56" s="869"/>
      <c r="F56" s="869"/>
      <c r="G56" s="869"/>
      <c r="H56" s="914"/>
      <c r="I56" s="2593"/>
      <c r="J56" s="1087"/>
      <c r="K56" s="1268" t="str">
        <f>Трудозатраты!B76</f>
        <v>Печать А3  с 1 рулона чернобелая 4 разряд CityLine</v>
      </c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2469" t="str">
        <f>Трудозатраты!F76</f>
        <v>Л.пр.</v>
      </c>
      <c r="X56" s="2470"/>
      <c r="Y56" s="2471"/>
      <c r="Z56" s="1182">
        <f>Трудозатраты!H76</f>
        <v>0</v>
      </c>
      <c r="AA56" s="112"/>
      <c r="AB56" s="129"/>
      <c r="AC56" s="129"/>
      <c r="AD56" s="112"/>
      <c r="AE56" s="129"/>
      <c r="AF56" s="873"/>
      <c r="AH56"/>
      <c r="AI56"/>
      <c r="AJ56"/>
    </row>
    <row r="57" spans="1:36" s="908" customFormat="1" ht="18" hidden="1" customHeight="1" x14ac:dyDescent="0.2">
      <c r="A57" s="2063">
        <f t="shared" si="0"/>
        <v>0</v>
      </c>
      <c r="B57" s="1478">
        <f>Трудозатраты!A81</f>
        <v>73</v>
      </c>
      <c r="C57" s="2584"/>
      <c r="D57" s="869"/>
      <c r="E57" s="869"/>
      <c r="F57" s="869"/>
      <c r="G57" s="869"/>
      <c r="H57" s="914"/>
      <c r="I57" s="2593"/>
      <c r="J57" s="1087"/>
      <c r="K57" s="1268" t="str">
        <f>Трудозатраты!B77</f>
        <v>Печать А3  с 1 рулона чернобелая 3 разряд CityLine</v>
      </c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2469" t="str">
        <f>Трудозатраты!F77</f>
        <v>Л.пр.</v>
      </c>
      <c r="X57" s="2470"/>
      <c r="Y57" s="2471"/>
      <c r="Z57" s="1182">
        <f>Трудозатраты!H77</f>
        <v>0</v>
      </c>
      <c r="AA57" s="112"/>
      <c r="AB57" s="129"/>
      <c r="AC57" s="129"/>
      <c r="AD57" s="112"/>
      <c r="AE57" s="129"/>
      <c r="AF57" s="873"/>
      <c r="AH57"/>
      <c r="AI57"/>
      <c r="AJ57"/>
    </row>
    <row r="58" spans="1:36" s="908" customFormat="1" ht="18" hidden="1" customHeight="1" x14ac:dyDescent="0.2">
      <c r="A58" s="2063">
        <f t="shared" si="0"/>
        <v>0</v>
      </c>
      <c r="B58" s="1478">
        <f>Трудозатраты!A82</f>
        <v>74</v>
      </c>
      <c r="C58" s="2584"/>
      <c r="D58" s="869"/>
      <c r="E58" s="869"/>
      <c r="F58" s="869"/>
      <c r="G58" s="869"/>
      <c r="H58" s="914"/>
      <c r="I58" s="2593"/>
      <c r="J58" s="1087"/>
      <c r="K58" s="1268" t="str">
        <f>Трудозатраты!B78</f>
        <v>Печать А3  с 1 рулона чернобелая 3 разряд CityLine</v>
      </c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2469" t="str">
        <f>Трудозатраты!F78</f>
        <v>Л.пр.</v>
      </c>
      <c r="X58" s="2470"/>
      <c r="Y58" s="2471"/>
      <c r="Z58" s="1182">
        <f>Трудозатраты!H78</f>
        <v>0</v>
      </c>
      <c r="AA58" s="112"/>
      <c r="AB58" s="129"/>
      <c r="AC58" s="129"/>
      <c r="AD58" s="112"/>
      <c r="AE58" s="129"/>
      <c r="AF58" s="873"/>
      <c r="AH58"/>
      <c r="AI58"/>
      <c r="AJ58"/>
    </row>
    <row r="59" spans="1:36" s="908" customFormat="1" ht="18" hidden="1" customHeight="1" x14ac:dyDescent="0.2">
      <c r="A59" s="2063">
        <f t="shared" si="0"/>
        <v>0</v>
      </c>
      <c r="B59" s="1478">
        <f>Трудозатраты!A55</f>
        <v>48</v>
      </c>
      <c r="C59" s="2584"/>
      <c r="D59" s="869"/>
      <c r="E59" s="869"/>
      <c r="F59" s="869"/>
      <c r="G59" s="869"/>
      <c r="H59" s="914"/>
      <c r="I59" s="2593"/>
      <c r="J59" s="1087"/>
      <c r="K59" s="1268" t="str">
        <f>Трудозатраты!B79</f>
        <v>Печать А3 с 2-х рулонов чернобелая 5 разряд CityLine</v>
      </c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2469" t="str">
        <f>Трудозатраты!F79</f>
        <v>Л.пр.</v>
      </c>
      <c r="X59" s="2470"/>
      <c r="Y59" s="2471"/>
      <c r="Z59" s="1182">
        <f>Трудозатраты!H79</f>
        <v>0</v>
      </c>
      <c r="AA59" s="112"/>
      <c r="AB59" s="129"/>
      <c r="AC59" s="129"/>
      <c r="AD59" s="112"/>
      <c r="AE59" s="129"/>
      <c r="AF59" s="873"/>
      <c r="AH59"/>
      <c r="AI59"/>
      <c r="AJ59"/>
    </row>
    <row r="60" spans="1:36" s="908" customFormat="1" ht="18" hidden="1" customHeight="1" x14ac:dyDescent="0.2">
      <c r="A60" s="2063">
        <f t="shared" si="0"/>
        <v>0</v>
      </c>
      <c r="B60" s="1478">
        <f>Трудозатраты!A56</f>
        <v>49</v>
      </c>
      <c r="C60" s="2584"/>
      <c r="D60" s="869"/>
      <c r="E60" s="869"/>
      <c r="F60" s="869"/>
      <c r="G60" s="869"/>
      <c r="H60" s="914"/>
      <c r="I60" s="2593"/>
      <c r="J60" s="1087"/>
      <c r="K60" s="1268" t="str">
        <f>Трудозатраты!B80</f>
        <v>Печать А3 с 2-х рулонов чернобелая 4 разряд CityLine</v>
      </c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2469" t="str">
        <f>Трудозатраты!F80</f>
        <v>Л.пр.</v>
      </c>
      <c r="X60" s="2470"/>
      <c r="Y60" s="2471"/>
      <c r="Z60" s="1182">
        <f>Трудозатраты!H80</f>
        <v>0</v>
      </c>
      <c r="AA60" s="112"/>
      <c r="AB60" s="129"/>
      <c r="AC60" s="129"/>
      <c r="AD60" s="112"/>
      <c r="AE60" s="129"/>
      <c r="AF60" s="873"/>
      <c r="AH60"/>
      <c r="AI60"/>
      <c r="AJ60"/>
    </row>
    <row r="61" spans="1:36" s="908" customFormat="1" ht="18" hidden="1" customHeight="1" x14ac:dyDescent="0.2">
      <c r="A61" s="2063">
        <f t="shared" si="0"/>
        <v>0</v>
      </c>
      <c r="B61" s="1478">
        <f>Трудозатраты!A57</f>
        <v>50</v>
      </c>
      <c r="C61" s="2584"/>
      <c r="D61" s="869"/>
      <c r="E61" s="869"/>
      <c r="F61" s="869"/>
      <c r="G61" s="869"/>
      <c r="H61" s="914"/>
      <c r="I61" s="2593"/>
      <c r="J61" s="1087"/>
      <c r="K61" s="1268" t="str">
        <f>Трудозатраты!B81</f>
        <v>Печать А3 с 2-х рулонов чернобелая 3 разряд CityLine</v>
      </c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2469" t="str">
        <f>Трудозатраты!F81</f>
        <v>Л.пр.</v>
      </c>
      <c r="X61" s="2470"/>
      <c r="Y61" s="2471"/>
      <c r="Z61" s="1182">
        <f>Трудозатраты!H81</f>
        <v>0</v>
      </c>
      <c r="AA61" s="112"/>
      <c r="AB61" s="129"/>
      <c r="AC61" s="129"/>
      <c r="AD61" s="112"/>
      <c r="AE61" s="129"/>
      <c r="AF61" s="873"/>
      <c r="AH61"/>
      <c r="AI61"/>
      <c r="AJ61"/>
    </row>
    <row r="62" spans="1:36" s="908" customFormat="1" ht="18" hidden="1" customHeight="1" x14ac:dyDescent="0.2">
      <c r="A62" s="2063">
        <f t="shared" si="0"/>
        <v>0</v>
      </c>
      <c r="B62" s="1478">
        <f>Трудозатраты!A59</f>
        <v>52</v>
      </c>
      <c r="C62" s="2584"/>
      <c r="D62" s="869"/>
      <c r="E62" s="869"/>
      <c r="F62" s="869"/>
      <c r="G62" s="869"/>
      <c r="H62" s="914"/>
      <c r="I62" s="2593"/>
      <c r="J62" s="1087"/>
      <c r="K62" s="1268" t="str">
        <f>Трудозатраты!B82</f>
        <v>Печать А3 с 2-х рулонов чернобелая 3 разряд CityLine</v>
      </c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2469" t="str">
        <f>Трудозатраты!F82</f>
        <v>Л.пр.</v>
      </c>
      <c r="X62" s="2470"/>
      <c r="Y62" s="2471"/>
      <c r="Z62" s="1182">
        <f>Трудозатраты!H82</f>
        <v>0</v>
      </c>
      <c r="AA62" s="112"/>
      <c r="AB62" s="129"/>
      <c r="AC62" s="129"/>
      <c r="AD62" s="112"/>
      <c r="AE62" s="129"/>
      <c r="AF62" s="873"/>
      <c r="AH62"/>
      <c r="AI62"/>
      <c r="AJ62"/>
    </row>
    <row r="63" spans="1:36" s="908" customFormat="1" ht="18" hidden="1" customHeight="1" x14ac:dyDescent="0.2">
      <c r="A63" s="2063">
        <f t="shared" si="0"/>
        <v>0</v>
      </c>
      <c r="B63" s="1478">
        <f>Трудозатраты!A87</f>
        <v>79</v>
      </c>
      <c r="C63" s="2584"/>
      <c r="D63" s="869"/>
      <c r="E63" s="869"/>
      <c r="F63" s="869"/>
      <c r="G63" s="869"/>
      <c r="H63" s="914"/>
      <c r="I63" s="2593"/>
      <c r="J63" s="1087"/>
      <c r="K63" s="1268" t="str">
        <f>Трудозатраты!B83</f>
        <v>Печать А3 с 3-х рулонов чернобелая 5 разряд CityLine</v>
      </c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2469" t="str">
        <f>Трудозатраты!F83</f>
        <v>Л.пр.</v>
      </c>
      <c r="X63" s="2470"/>
      <c r="Y63" s="2471"/>
      <c r="Z63" s="1182">
        <f>Трудозатраты!H83</f>
        <v>0</v>
      </c>
      <c r="AA63" s="112"/>
      <c r="AB63" s="129"/>
      <c r="AC63" s="129"/>
      <c r="AD63" s="112"/>
      <c r="AE63" s="129"/>
      <c r="AF63" s="873"/>
      <c r="AH63"/>
      <c r="AI63"/>
      <c r="AJ63"/>
    </row>
    <row r="64" spans="1:36" s="908" customFormat="1" ht="18" hidden="1" customHeight="1" x14ac:dyDescent="0.2">
      <c r="A64" s="2063">
        <f t="shared" si="0"/>
        <v>0</v>
      </c>
      <c r="B64" s="1478">
        <f>Трудозатраты!A88</f>
        <v>80</v>
      </c>
      <c r="C64" s="2584"/>
      <c r="D64" s="869"/>
      <c r="E64" s="869"/>
      <c r="F64" s="869"/>
      <c r="G64" s="869"/>
      <c r="H64" s="914"/>
      <c r="I64" s="2593"/>
      <c r="J64" s="1087"/>
      <c r="K64" s="1268" t="str">
        <f>Трудозатраты!B84</f>
        <v>Печать А3 с 3-х рулонов чернобелая 4 разряд CityLine</v>
      </c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2469" t="str">
        <f>Трудозатраты!F84</f>
        <v>Л.пр.</v>
      </c>
      <c r="X64" s="2470"/>
      <c r="Y64" s="2471"/>
      <c r="Z64" s="1182">
        <f>Трудозатраты!H84</f>
        <v>0</v>
      </c>
      <c r="AA64" s="112"/>
      <c r="AB64" s="129"/>
      <c r="AC64" s="129"/>
      <c r="AD64" s="112"/>
      <c r="AE64" s="129"/>
      <c r="AF64" s="873"/>
      <c r="AH64"/>
      <c r="AI64"/>
      <c r="AJ64"/>
    </row>
    <row r="65" spans="1:36" s="908" customFormat="1" ht="18" hidden="1" customHeight="1" x14ac:dyDescent="0.2">
      <c r="A65" s="2063">
        <f t="shared" si="0"/>
        <v>0</v>
      </c>
      <c r="B65" s="1478">
        <f>Трудозатраты!A89</f>
        <v>81</v>
      </c>
      <c r="C65" s="2584"/>
      <c r="D65" s="869"/>
      <c r="E65" s="869"/>
      <c r="F65" s="869"/>
      <c r="G65" s="869"/>
      <c r="H65" s="914"/>
      <c r="I65" s="2593"/>
      <c r="J65" s="1087"/>
      <c r="K65" s="1268" t="str">
        <f>Трудозатраты!B85</f>
        <v>Печать А3 с 3-х рулонов чернобелая 3 разряд CityLine</v>
      </c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2469" t="str">
        <f>Трудозатраты!F85</f>
        <v>Л.пр.</v>
      </c>
      <c r="X65" s="2470"/>
      <c r="Y65" s="2471"/>
      <c r="Z65" s="1182">
        <f>Трудозатраты!H85</f>
        <v>0</v>
      </c>
      <c r="AA65" s="112"/>
      <c r="AB65" s="129"/>
      <c r="AC65" s="129"/>
      <c r="AD65" s="112"/>
      <c r="AE65" s="129"/>
      <c r="AF65" s="873"/>
      <c r="AH65"/>
      <c r="AI65"/>
      <c r="AJ65"/>
    </row>
    <row r="66" spans="1:36" s="908" customFormat="1" ht="18" hidden="1" customHeight="1" x14ac:dyDescent="0.2">
      <c r="A66" s="2063">
        <f t="shared" si="0"/>
        <v>0</v>
      </c>
      <c r="B66" s="1478">
        <f>Трудозатраты!A90</f>
        <v>82</v>
      </c>
      <c r="C66" s="2584"/>
      <c r="D66" s="869"/>
      <c r="E66" s="869"/>
      <c r="F66" s="869"/>
      <c r="G66" s="869"/>
      <c r="H66" s="914"/>
      <c r="I66" s="2593"/>
      <c r="J66" s="1087"/>
      <c r="K66" s="1268" t="str">
        <f>Трудозатраты!B86</f>
        <v>Печать А3 с 3-х рулонов чернобелая 3 разряд CityLine</v>
      </c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2469" t="str">
        <f>Трудозатраты!F86</f>
        <v>Л.пр.</v>
      </c>
      <c r="X66" s="2470"/>
      <c r="Y66" s="2471"/>
      <c r="Z66" s="1182">
        <f>Трудозатраты!H86</f>
        <v>0</v>
      </c>
      <c r="AA66" s="112"/>
      <c r="AB66" s="129"/>
      <c r="AC66" s="129"/>
      <c r="AD66" s="112"/>
      <c r="AE66" s="129"/>
      <c r="AF66" s="873"/>
      <c r="AH66"/>
      <c r="AI66"/>
      <c r="AJ66"/>
    </row>
    <row r="67" spans="1:36" s="908" customFormat="1" ht="18" hidden="1" customHeight="1" x14ac:dyDescent="0.2">
      <c r="A67" s="2063">
        <f t="shared" si="0"/>
        <v>0</v>
      </c>
      <c r="B67" s="1478">
        <f>Трудозатраты!A91</f>
        <v>83</v>
      </c>
      <c r="C67" s="2584"/>
      <c r="D67" s="869"/>
      <c r="E67" s="869"/>
      <c r="F67" s="869"/>
      <c r="G67" s="869"/>
      <c r="H67" s="914"/>
      <c r="I67" s="2593"/>
      <c r="J67" s="1087"/>
      <c r="K67" s="1268" t="str">
        <f>Трудозатраты!B87</f>
        <v>Печать А3 с 4-х рулонов чернобелая 5 разряд CityLine</v>
      </c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2469" t="str">
        <f>Трудозатраты!F87</f>
        <v>Л.пр.</v>
      </c>
      <c r="X67" s="2470"/>
      <c r="Y67" s="2471"/>
      <c r="Z67" s="1182">
        <f>Трудозатраты!H87</f>
        <v>0</v>
      </c>
      <c r="AA67" s="112"/>
      <c r="AB67" s="129"/>
      <c r="AC67" s="129"/>
      <c r="AD67" s="112"/>
      <c r="AE67" s="129"/>
      <c r="AF67" s="873"/>
      <c r="AH67"/>
      <c r="AI67"/>
      <c r="AJ67"/>
    </row>
    <row r="68" spans="1:36" s="908" customFormat="1" ht="18" hidden="1" customHeight="1" x14ac:dyDescent="0.2">
      <c r="A68" s="2063">
        <f t="shared" si="0"/>
        <v>0</v>
      </c>
      <c r="B68" s="1478">
        <f>Трудозатраты!A92</f>
        <v>84</v>
      </c>
      <c r="C68" s="2584"/>
      <c r="D68" s="869"/>
      <c r="E68" s="869"/>
      <c r="F68" s="869"/>
      <c r="G68" s="869"/>
      <c r="H68" s="914"/>
      <c r="I68" s="2593"/>
      <c r="J68" s="1087"/>
      <c r="K68" s="1268" t="str">
        <f>Трудозатраты!B88</f>
        <v>Печать А3 с 4-х рулонов чернобелая 4 разряд CityLine</v>
      </c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2469" t="str">
        <f>Трудозатраты!F88</f>
        <v>Л.пр.</v>
      </c>
      <c r="X68" s="2470"/>
      <c r="Y68" s="2471"/>
      <c r="Z68" s="1182">
        <f>Трудозатраты!H88</f>
        <v>0</v>
      </c>
      <c r="AA68" s="112"/>
      <c r="AB68" s="129"/>
      <c r="AC68" s="129"/>
      <c r="AD68" s="112"/>
      <c r="AE68" s="129"/>
      <c r="AF68" s="873"/>
      <c r="AH68"/>
      <c r="AI68"/>
      <c r="AJ68"/>
    </row>
    <row r="69" spans="1:36" s="908" customFormat="1" ht="18" hidden="1" customHeight="1" x14ac:dyDescent="0.2">
      <c r="A69" s="2063">
        <f t="shared" si="0"/>
        <v>0</v>
      </c>
      <c r="B69" s="1478">
        <f>Трудозатраты!A93</f>
        <v>85</v>
      </c>
      <c r="C69" s="2584"/>
      <c r="D69" s="869"/>
      <c r="E69" s="869"/>
      <c r="F69" s="869"/>
      <c r="G69" s="869"/>
      <c r="H69" s="914"/>
      <c r="I69" s="2593"/>
      <c r="J69" s="1087"/>
      <c r="K69" s="1268" t="str">
        <f>Трудозатраты!B89</f>
        <v>Печать А3 с 4-х рулонов чернобелая 3 разряд CityLine</v>
      </c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2469" t="str">
        <f>Трудозатраты!F89</f>
        <v>Л.пр.</v>
      </c>
      <c r="X69" s="2470"/>
      <c r="Y69" s="2471"/>
      <c r="Z69" s="1182">
        <f>Трудозатраты!H89</f>
        <v>0</v>
      </c>
      <c r="AA69" s="112"/>
      <c r="AB69" s="129"/>
      <c r="AC69" s="129"/>
      <c r="AD69" s="112"/>
      <c r="AE69" s="129"/>
      <c r="AF69" s="873"/>
      <c r="AH69"/>
      <c r="AI69"/>
      <c r="AJ69"/>
    </row>
    <row r="70" spans="1:36" s="908" customFormat="1" ht="18" hidden="1" customHeight="1" x14ac:dyDescent="0.2">
      <c r="A70" s="2063">
        <f t="shared" si="0"/>
        <v>0</v>
      </c>
      <c r="B70" s="1478">
        <f>Трудозатраты!A94</f>
        <v>86</v>
      </c>
      <c r="C70" s="2584"/>
      <c r="D70" s="869"/>
      <c r="E70" s="869"/>
      <c r="F70" s="869"/>
      <c r="G70" s="869"/>
      <c r="H70" s="914"/>
      <c r="I70" s="2593"/>
      <c r="J70" s="1087"/>
      <c r="K70" s="1268" t="str">
        <f>Трудозатраты!B90</f>
        <v>Печать А3 с 4-х рулонов чернобелая 3 разряд CityLine</v>
      </c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2469" t="str">
        <f>Трудозатраты!F90</f>
        <v>Л.пр.</v>
      </c>
      <c r="X70" s="2470"/>
      <c r="Y70" s="2471"/>
      <c r="Z70" s="1182">
        <f>Трудозатраты!H90</f>
        <v>0</v>
      </c>
      <c r="AA70" s="112"/>
      <c r="AB70" s="129"/>
      <c r="AC70" s="129"/>
      <c r="AD70" s="112"/>
      <c r="AE70" s="129"/>
      <c r="AF70" s="873"/>
      <c r="AH70"/>
      <c r="AI70"/>
      <c r="AJ70"/>
    </row>
    <row r="71" spans="1:36" s="908" customFormat="1" ht="18" hidden="1" customHeight="1" x14ac:dyDescent="0.2">
      <c r="A71" s="2063">
        <f t="shared" si="0"/>
        <v>0</v>
      </c>
      <c r="B71" s="1479"/>
      <c r="C71" s="2584"/>
      <c r="D71" s="869"/>
      <c r="E71" s="869"/>
      <c r="F71" s="869"/>
      <c r="G71" s="869"/>
      <c r="H71" s="914"/>
      <c r="I71" s="2593"/>
      <c r="J71" s="1087"/>
      <c r="K71" s="1268" t="str">
        <f>Трудозатраты!B91</f>
        <v>Печать А3 с 1 рулона цветная 5 разряд CityLine</v>
      </c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2469" t="str">
        <f>Трудозатраты!F91</f>
        <v>Л.пр.</v>
      </c>
      <c r="X71" s="2470"/>
      <c r="Y71" s="2471"/>
      <c r="Z71" s="1182">
        <f>Трудозатраты!H91</f>
        <v>0</v>
      </c>
      <c r="AA71" s="112"/>
      <c r="AB71" s="129"/>
      <c r="AC71" s="129"/>
      <c r="AD71" s="112"/>
      <c r="AE71" s="129"/>
      <c r="AF71" s="873"/>
      <c r="AH71"/>
      <c r="AI71"/>
      <c r="AJ71"/>
    </row>
    <row r="72" spans="1:36" s="908" customFormat="1" ht="18" hidden="1" customHeight="1" x14ac:dyDescent="0.2">
      <c r="A72" s="2063">
        <f t="shared" si="0"/>
        <v>0</v>
      </c>
      <c r="B72" s="1478">
        <f>Трудозатраты!A96</f>
        <v>88</v>
      </c>
      <c r="C72" s="2584"/>
      <c r="D72" s="869"/>
      <c r="E72" s="869"/>
      <c r="F72" s="869"/>
      <c r="G72" s="869"/>
      <c r="H72" s="914"/>
      <c r="I72" s="2593"/>
      <c r="J72" s="1087"/>
      <c r="K72" s="1268" t="str">
        <f>Трудозатраты!B92</f>
        <v>Печать А3 с 1 рулона цветная 4 разряд CityLine</v>
      </c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2469" t="str">
        <f>Трудозатраты!F92</f>
        <v>Л.пр.</v>
      </c>
      <c r="X72" s="2470"/>
      <c r="Y72" s="2471"/>
      <c r="Z72" s="1182">
        <f>Трудозатраты!H92</f>
        <v>0</v>
      </c>
      <c r="AA72" s="112"/>
      <c r="AB72" s="129"/>
      <c r="AC72" s="129"/>
      <c r="AD72" s="112"/>
      <c r="AE72" s="129"/>
      <c r="AF72" s="873"/>
      <c r="AH72"/>
      <c r="AI72"/>
      <c r="AJ72"/>
    </row>
    <row r="73" spans="1:36" s="908" customFormat="1" ht="18" hidden="1" customHeight="1" x14ac:dyDescent="0.2">
      <c r="A73" s="2063">
        <f t="shared" si="0"/>
        <v>0</v>
      </c>
      <c r="B73" s="1478">
        <f>Трудозатраты!A97</f>
        <v>89</v>
      </c>
      <c r="C73" s="2584"/>
      <c r="D73" s="869"/>
      <c r="E73" s="869"/>
      <c r="F73" s="869"/>
      <c r="G73" s="869"/>
      <c r="H73" s="914"/>
      <c r="I73" s="2593"/>
      <c r="J73" s="1087"/>
      <c r="K73" s="1268" t="str">
        <f>Трудозатраты!B93</f>
        <v>Печать А3 с 1 рулона цветная 3 разряд CityLine</v>
      </c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2469" t="str">
        <f>Трудозатраты!F93</f>
        <v>Л.пр.</v>
      </c>
      <c r="X73" s="2470"/>
      <c r="Y73" s="2471"/>
      <c r="Z73" s="1182">
        <f>Трудозатраты!H93</f>
        <v>0</v>
      </c>
      <c r="AA73" s="112"/>
      <c r="AB73" s="129"/>
      <c r="AC73" s="129"/>
      <c r="AD73" s="112"/>
      <c r="AE73" s="129"/>
      <c r="AF73" s="873"/>
      <c r="AH73"/>
      <c r="AI73"/>
      <c r="AJ73"/>
    </row>
    <row r="74" spans="1:36" s="908" customFormat="1" ht="18" hidden="1" customHeight="1" x14ac:dyDescent="0.2">
      <c r="A74" s="2063">
        <f t="shared" si="0"/>
        <v>0</v>
      </c>
      <c r="B74" s="1478">
        <f>Трудозатраты!A98</f>
        <v>90</v>
      </c>
      <c r="C74" s="2584"/>
      <c r="D74" s="869"/>
      <c r="E74" s="869"/>
      <c r="F74" s="869"/>
      <c r="G74" s="869"/>
      <c r="H74" s="914"/>
      <c r="I74" s="2593"/>
      <c r="J74" s="1087"/>
      <c r="K74" s="1268" t="str">
        <f>Трудозатраты!B94</f>
        <v>Печать А3 с 1 рулона цветная 3 разряд CityLine</v>
      </c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2469" t="str">
        <f>Трудозатраты!F94</f>
        <v>Л.пр.</v>
      </c>
      <c r="X74" s="2470"/>
      <c r="Y74" s="2471"/>
      <c r="Z74" s="1182">
        <f>Трудозатраты!H94</f>
        <v>0</v>
      </c>
      <c r="AA74" s="112"/>
      <c r="AB74" s="129"/>
      <c r="AC74" s="129"/>
      <c r="AD74" s="112"/>
      <c r="AE74" s="129"/>
      <c r="AF74" s="873"/>
      <c r="AH74"/>
      <c r="AI74"/>
      <c r="AJ74"/>
    </row>
    <row r="75" spans="1:36" s="908" customFormat="1" ht="18" customHeight="1" x14ac:dyDescent="0.2">
      <c r="A75" s="2063">
        <f t="shared" si="0"/>
        <v>1</v>
      </c>
      <c r="B75" s="1478">
        <f>Трудозатраты!A71</f>
        <v>64</v>
      </c>
      <c r="C75" s="2584"/>
      <c r="D75" s="869"/>
      <c r="E75" s="869"/>
      <c r="F75" s="869"/>
      <c r="G75" s="869"/>
      <c r="H75" s="914"/>
      <c r="I75" s="2593"/>
      <c r="J75" s="1087"/>
      <c r="K75" s="1268" t="str">
        <f>Трудозатраты!B95</f>
        <v>Печать А3 с 2-х рулонов цветная 5 разряд CityLine</v>
      </c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2469" t="str">
        <f>Трудозатраты!F95</f>
        <v>Л.пр.</v>
      </c>
      <c r="X75" s="2470"/>
      <c r="Y75" s="2471"/>
      <c r="Z75" s="1182">
        <f>Трудозатраты!H95</f>
        <v>25000</v>
      </c>
      <c r="AA75" s="112"/>
      <c r="AB75" s="129"/>
      <c r="AC75" s="129"/>
      <c r="AD75" s="112"/>
      <c r="AE75" s="129"/>
      <c r="AF75" s="873"/>
      <c r="AH75"/>
      <c r="AI75"/>
      <c r="AJ75"/>
    </row>
    <row r="76" spans="1:36" s="908" customFormat="1" ht="18" customHeight="1" x14ac:dyDescent="0.2">
      <c r="A76" s="2063">
        <f t="shared" si="0"/>
        <v>1</v>
      </c>
      <c r="B76" s="1478">
        <f>Трудозатраты!A72</f>
        <v>65</v>
      </c>
      <c r="C76" s="2584"/>
      <c r="D76" s="869"/>
      <c r="E76" s="869"/>
      <c r="F76" s="869"/>
      <c r="G76" s="869"/>
      <c r="H76" s="914"/>
      <c r="I76" s="2593"/>
      <c r="J76" s="1087"/>
      <c r="K76" s="1268" t="str">
        <f>Трудозатраты!B96</f>
        <v>Печать А3 с 2-х рулонов цветная 4 разряд CityLine</v>
      </c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2469" t="str">
        <f>Трудозатраты!F96</f>
        <v>Л.пр.</v>
      </c>
      <c r="X76" s="2470"/>
      <c r="Y76" s="2471"/>
      <c r="Z76" s="1182">
        <f>Трудозатраты!H96</f>
        <v>25000</v>
      </c>
      <c r="AA76" s="112"/>
      <c r="AB76" s="129"/>
      <c r="AC76" s="129"/>
      <c r="AD76" s="112"/>
      <c r="AE76" s="129"/>
      <c r="AF76" s="873"/>
      <c r="AH76"/>
      <c r="AI76"/>
      <c r="AJ76"/>
    </row>
    <row r="77" spans="1:36" s="908" customFormat="1" ht="18" customHeight="1" x14ac:dyDescent="0.2">
      <c r="A77" s="2063">
        <f t="shared" si="0"/>
        <v>1</v>
      </c>
      <c r="B77" s="1478">
        <f>Трудозатраты!A73</f>
        <v>66</v>
      </c>
      <c r="C77" s="2584"/>
      <c r="D77" s="869"/>
      <c r="E77" s="869"/>
      <c r="F77" s="869"/>
      <c r="G77" s="869"/>
      <c r="H77" s="914"/>
      <c r="I77" s="2593"/>
      <c r="J77" s="1087"/>
      <c r="K77" s="1268" t="str">
        <f>Трудозатраты!B97</f>
        <v>Печать А3 с 2-х рулонов цветная 3 разряд CityLine</v>
      </c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2469" t="str">
        <f>Трудозатраты!F97</f>
        <v>Л.пр.</v>
      </c>
      <c r="X77" s="2470"/>
      <c r="Y77" s="2471"/>
      <c r="Z77" s="1182">
        <f>Трудозатраты!H97</f>
        <v>25000</v>
      </c>
      <c r="AA77" s="112"/>
      <c r="AB77" s="129"/>
      <c r="AC77" s="129"/>
      <c r="AD77" s="112"/>
      <c r="AE77" s="129"/>
      <c r="AF77" s="873"/>
      <c r="AH77"/>
      <c r="AI77"/>
      <c r="AJ77"/>
    </row>
    <row r="78" spans="1:36" s="908" customFormat="1" ht="18" customHeight="1" x14ac:dyDescent="0.2">
      <c r="A78" s="2063">
        <f t="shared" si="0"/>
        <v>1</v>
      </c>
      <c r="B78" s="1478">
        <f>Трудозатраты!A75</f>
        <v>67</v>
      </c>
      <c r="C78" s="2584"/>
      <c r="D78" s="869"/>
      <c r="E78" s="869"/>
      <c r="F78" s="869"/>
      <c r="G78" s="869"/>
      <c r="H78" s="914"/>
      <c r="I78" s="2593"/>
      <c r="J78" s="1087"/>
      <c r="K78" s="1268" t="str">
        <f>Трудозатраты!B98</f>
        <v>Печать А3 с 2-х рулонов цветная 3 разряд CityLine</v>
      </c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2469" t="str">
        <f>Трудозатраты!F98</f>
        <v>Л.пр.</v>
      </c>
      <c r="X78" s="2470"/>
      <c r="Y78" s="2471"/>
      <c r="Z78" s="1182">
        <f>Трудозатраты!H98</f>
        <v>25000</v>
      </c>
      <c r="AA78" s="112"/>
      <c r="AB78" s="129"/>
      <c r="AC78" s="129"/>
      <c r="AD78" s="112"/>
      <c r="AE78" s="129"/>
      <c r="AF78" s="873"/>
      <c r="AH78"/>
      <c r="AI78"/>
      <c r="AJ78"/>
    </row>
    <row r="79" spans="1:36" s="908" customFormat="1" ht="18" hidden="1" customHeight="1" x14ac:dyDescent="0.2">
      <c r="A79" s="2063">
        <f t="shared" si="0"/>
        <v>0</v>
      </c>
      <c r="B79" s="1478">
        <f>Трудозатраты!A96</f>
        <v>88</v>
      </c>
      <c r="C79" s="2584"/>
      <c r="D79" s="869"/>
      <c r="E79" s="869"/>
      <c r="F79" s="869"/>
      <c r="G79" s="869"/>
      <c r="H79" s="914"/>
      <c r="I79" s="2593"/>
      <c r="J79" s="1087"/>
      <c r="K79" s="1268" t="str">
        <f>Трудозатраты!B99</f>
        <v>Печать А3 с 3-х рулонов цветная 5 разряд CityLine</v>
      </c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2469" t="str">
        <f>Трудозатраты!F99</f>
        <v>Л.пр.</v>
      </c>
      <c r="X79" s="2470"/>
      <c r="Y79" s="2471"/>
      <c r="Z79" s="1182">
        <f>Трудозатраты!H99</f>
        <v>0</v>
      </c>
      <c r="AA79" s="112"/>
      <c r="AB79" s="129"/>
      <c r="AC79" s="129"/>
      <c r="AD79" s="112"/>
      <c r="AE79" s="129"/>
      <c r="AF79" s="873"/>
      <c r="AH79"/>
      <c r="AI79"/>
      <c r="AJ79"/>
    </row>
    <row r="80" spans="1:36" s="908" customFormat="1" ht="18" hidden="1" customHeight="1" x14ac:dyDescent="0.2">
      <c r="A80" s="2063">
        <f t="shared" si="0"/>
        <v>0</v>
      </c>
      <c r="B80" s="1478">
        <f>Трудозатраты!A97</f>
        <v>89</v>
      </c>
      <c r="C80" s="2584"/>
      <c r="D80" s="869"/>
      <c r="E80" s="869"/>
      <c r="F80" s="869"/>
      <c r="G80" s="869"/>
      <c r="H80" s="914"/>
      <c r="I80" s="2593"/>
      <c r="J80" s="1087"/>
      <c r="K80" s="1268" t="str">
        <f>Трудозатраты!B100</f>
        <v>Печать А3 с 3-х рулонов цветная 4 разряд CityLine</v>
      </c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2469" t="str">
        <f>Трудозатраты!F100</f>
        <v>Л.пр.</v>
      </c>
      <c r="X80" s="2470"/>
      <c r="Y80" s="2471"/>
      <c r="Z80" s="1182">
        <f>Трудозатраты!H100</f>
        <v>0</v>
      </c>
      <c r="AA80" s="112"/>
      <c r="AB80" s="129"/>
      <c r="AC80" s="129"/>
      <c r="AD80" s="112"/>
      <c r="AE80" s="129"/>
      <c r="AF80" s="873"/>
      <c r="AH80"/>
      <c r="AI80"/>
      <c r="AJ80"/>
    </row>
    <row r="81" spans="1:36" s="908" customFormat="1" ht="18" hidden="1" customHeight="1" x14ac:dyDescent="0.2">
      <c r="A81" s="2063">
        <f t="shared" si="0"/>
        <v>0</v>
      </c>
      <c r="B81" s="1478">
        <f>Трудозатраты!A98</f>
        <v>90</v>
      </c>
      <c r="C81" s="2584"/>
      <c r="D81" s="869"/>
      <c r="E81" s="869"/>
      <c r="F81" s="869"/>
      <c r="G81" s="869"/>
      <c r="H81" s="914"/>
      <c r="I81" s="2593"/>
      <c r="J81" s="1087"/>
      <c r="K81" s="1268" t="str">
        <f>Трудозатраты!B101</f>
        <v>Печать А3 с 3-х рулонов цветная 3 разряд CityLine</v>
      </c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2469" t="str">
        <f>Трудозатраты!F101</f>
        <v>Л.пр.</v>
      </c>
      <c r="X81" s="2470"/>
      <c r="Y81" s="2471"/>
      <c r="Z81" s="1182">
        <f>Трудозатраты!H101</f>
        <v>0</v>
      </c>
      <c r="AA81" s="112"/>
      <c r="AB81" s="129"/>
      <c r="AC81" s="129"/>
      <c r="AD81" s="112"/>
      <c r="AE81" s="129"/>
      <c r="AF81" s="873"/>
      <c r="AH81"/>
      <c r="AI81"/>
      <c r="AJ81"/>
    </row>
    <row r="82" spans="1:36" s="908" customFormat="1" ht="18" hidden="1" customHeight="1" x14ac:dyDescent="0.2">
      <c r="A82" s="2063">
        <f t="shared" si="0"/>
        <v>0</v>
      </c>
      <c r="B82" s="1478">
        <f>Трудозатраты!A99</f>
        <v>91</v>
      </c>
      <c r="C82" s="2584"/>
      <c r="D82" s="869"/>
      <c r="E82" s="869"/>
      <c r="F82" s="869"/>
      <c r="G82" s="869"/>
      <c r="H82" s="914"/>
      <c r="I82" s="2593"/>
      <c r="J82" s="1087"/>
      <c r="K82" s="1268" t="str">
        <f>Трудозатраты!B102</f>
        <v>Печать А3 с 3-х рулонов цветная 3 разряд CityLine</v>
      </c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2469" t="str">
        <f>Трудозатраты!F102</f>
        <v>Л.пр.</v>
      </c>
      <c r="X82" s="2470"/>
      <c r="Y82" s="2471"/>
      <c r="Z82" s="1182">
        <f>Трудозатраты!H102</f>
        <v>0</v>
      </c>
      <c r="AA82" s="112"/>
      <c r="AB82" s="129"/>
      <c r="AC82" s="129"/>
      <c r="AD82" s="112"/>
      <c r="AE82" s="129"/>
      <c r="AF82" s="873"/>
      <c r="AH82"/>
      <c r="AI82"/>
      <c r="AJ82"/>
    </row>
    <row r="83" spans="1:36" s="908" customFormat="1" ht="18" hidden="1" customHeight="1" x14ac:dyDescent="0.2">
      <c r="A83" s="2063">
        <f t="shared" si="0"/>
        <v>0</v>
      </c>
      <c r="B83" s="1478">
        <f>Трудозатраты!A100</f>
        <v>92</v>
      </c>
      <c r="C83" s="2584"/>
      <c r="D83" s="869"/>
      <c r="E83" s="869"/>
      <c r="F83" s="869"/>
      <c r="G83" s="869"/>
      <c r="H83" s="914"/>
      <c r="I83" s="2593"/>
      <c r="J83" s="1087"/>
      <c r="K83" s="1268" t="str">
        <f>Трудозатраты!B103</f>
        <v>Печать А3 с 4-х рулонов цветная 5 разряд CityLine</v>
      </c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2469" t="str">
        <f>Трудозатраты!F103</f>
        <v>Л.пр.</v>
      </c>
      <c r="X83" s="2470"/>
      <c r="Y83" s="2471"/>
      <c r="Z83" s="1182">
        <f>Трудозатраты!H103</f>
        <v>0</v>
      </c>
      <c r="AA83" s="112"/>
      <c r="AB83" s="129"/>
      <c r="AC83" s="129"/>
      <c r="AD83" s="112"/>
      <c r="AE83" s="129"/>
      <c r="AF83" s="873"/>
      <c r="AH83"/>
      <c r="AI83"/>
      <c r="AJ83"/>
    </row>
    <row r="84" spans="1:36" s="908" customFormat="1" ht="18" hidden="1" customHeight="1" x14ac:dyDescent="0.2">
      <c r="A84" s="2063">
        <f t="shared" ref="A84:A90" si="1">IF(Z84&gt;0,1,0)</f>
        <v>0</v>
      </c>
      <c r="B84" s="1478">
        <f>Трудозатраты!A101</f>
        <v>93</v>
      </c>
      <c r="C84" s="2584"/>
      <c r="D84" s="869"/>
      <c r="E84" s="869"/>
      <c r="F84" s="869"/>
      <c r="G84" s="869"/>
      <c r="H84" s="914"/>
      <c r="I84" s="2593"/>
      <c r="J84" s="1087"/>
      <c r="K84" s="1268" t="str">
        <f>Трудозатраты!B104</f>
        <v>Печать А3 с 4-х рулонов цветная 4 разряд CityLine</v>
      </c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2469" t="str">
        <f>Трудозатраты!F104</f>
        <v>Л.пр.</v>
      </c>
      <c r="X84" s="2470"/>
      <c r="Y84" s="2471"/>
      <c r="Z84" s="1182">
        <f>Трудозатраты!H104</f>
        <v>0</v>
      </c>
      <c r="AA84" s="112"/>
      <c r="AB84" s="129"/>
      <c r="AC84" s="129"/>
      <c r="AD84" s="112"/>
      <c r="AE84" s="129"/>
      <c r="AF84" s="873"/>
      <c r="AH84"/>
      <c r="AI84"/>
      <c r="AJ84"/>
    </row>
    <row r="85" spans="1:36" s="908" customFormat="1" ht="18" hidden="1" customHeight="1" x14ac:dyDescent="0.2">
      <c r="A85" s="2063">
        <f t="shared" si="1"/>
        <v>0</v>
      </c>
      <c r="B85" s="1479"/>
      <c r="C85" s="2584"/>
      <c r="D85" s="869"/>
      <c r="E85" s="869"/>
      <c r="F85" s="869"/>
      <c r="G85" s="869"/>
      <c r="H85" s="914"/>
      <c r="I85" s="2593"/>
      <c r="J85" s="1087"/>
      <c r="K85" s="1268" t="str">
        <f>Трудозатраты!B105</f>
        <v>Печать А3 с 4-х рулонов цветная 3 разряд CityLine</v>
      </c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2469" t="str">
        <f>Трудозатраты!F105</f>
        <v>Л.пр.</v>
      </c>
      <c r="X85" s="2470"/>
      <c r="Y85" s="2471"/>
      <c r="Z85" s="1182">
        <f>Трудозатраты!H105</f>
        <v>0</v>
      </c>
      <c r="AA85" s="112"/>
      <c r="AB85" s="129"/>
      <c r="AC85" s="129"/>
      <c r="AD85" s="112"/>
      <c r="AE85" s="129"/>
      <c r="AF85" s="873"/>
      <c r="AH85"/>
      <c r="AI85"/>
      <c r="AJ85"/>
    </row>
    <row r="86" spans="1:36" s="908" customFormat="1" ht="18" hidden="1" customHeight="1" x14ac:dyDescent="0.2">
      <c r="A86" s="2063">
        <f t="shared" si="1"/>
        <v>0</v>
      </c>
      <c r="B86" s="1478">
        <f>Трудозатраты!A103</f>
        <v>95</v>
      </c>
      <c r="C86" s="2584"/>
      <c r="D86" s="869"/>
      <c r="E86" s="869"/>
      <c r="F86" s="869"/>
      <c r="G86" s="869"/>
      <c r="H86" s="914"/>
      <c r="I86" s="2593"/>
      <c r="J86" s="1087"/>
      <c r="K86" s="1268" t="str">
        <f>Трудозатраты!B106</f>
        <v>Печать А3 с 4-х рулонов цветная 3 разряд CityLine</v>
      </c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2469" t="str">
        <f>Трудозатраты!F106</f>
        <v>Л.пр.</v>
      </c>
      <c r="X86" s="2470"/>
      <c r="Y86" s="2471"/>
      <c r="Z86" s="1182">
        <f>Трудозатраты!H106</f>
        <v>0</v>
      </c>
      <c r="AA86" s="112"/>
      <c r="AB86" s="129"/>
      <c r="AC86" s="129"/>
      <c r="AD86" s="112"/>
      <c r="AE86" s="129"/>
      <c r="AF86" s="873"/>
      <c r="AH86"/>
      <c r="AI86"/>
      <c r="AJ86"/>
    </row>
    <row r="87" spans="1:36" s="908" customFormat="1" ht="18" customHeight="1" x14ac:dyDescent="0.2">
      <c r="A87" s="2063">
        <f t="shared" si="1"/>
        <v>1</v>
      </c>
      <c r="B87" s="1478">
        <f>Трудозатраты!A104</f>
        <v>96</v>
      </c>
      <c r="C87" s="2584"/>
      <c r="D87" s="869"/>
      <c r="E87" s="869"/>
      <c r="F87" s="869"/>
      <c r="G87" s="869"/>
      <c r="H87" s="914"/>
      <c r="I87" s="2593"/>
      <c r="J87" s="1087"/>
      <c r="K87" s="1268" t="str">
        <f>Трудозатраты!B107</f>
        <v>Приладка 1 формы А3 формат 5 разряд CityLine</v>
      </c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2469" t="str">
        <f>Трудозатраты!F107</f>
        <v>шт</v>
      </c>
      <c r="X87" s="2470"/>
      <c r="Y87" s="2471"/>
      <c r="Z87" s="1182">
        <f>Трудозатраты!H107</f>
        <v>16</v>
      </c>
      <c r="AA87" s="112"/>
      <c r="AB87" s="129"/>
      <c r="AC87" s="129"/>
      <c r="AD87" s="112"/>
      <c r="AE87" s="129"/>
      <c r="AF87" s="873"/>
      <c r="AH87"/>
      <c r="AI87"/>
      <c r="AJ87"/>
    </row>
    <row r="88" spans="1:36" s="908" customFormat="1" ht="18" customHeight="1" x14ac:dyDescent="0.2">
      <c r="A88" s="2063">
        <f t="shared" si="1"/>
        <v>1</v>
      </c>
      <c r="B88" s="1478">
        <f>Трудозатраты!A105</f>
        <v>97</v>
      </c>
      <c r="C88" s="2584"/>
      <c r="D88" s="869"/>
      <c r="E88" s="869"/>
      <c r="F88" s="869"/>
      <c r="G88" s="869"/>
      <c r="H88" s="914"/>
      <c r="I88" s="2593"/>
      <c r="J88" s="1087"/>
      <c r="K88" s="1268" t="str">
        <f>Трудозатраты!B108</f>
        <v>Приладка 1 формы А3 формат 4 разряд CityLine</v>
      </c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2469" t="str">
        <f>Трудозатраты!F108</f>
        <v>шт</v>
      </c>
      <c r="X88" s="2470"/>
      <c r="Y88" s="2471"/>
      <c r="Z88" s="1182">
        <f>Трудозатраты!H108</f>
        <v>16</v>
      </c>
      <c r="AA88" s="112"/>
      <c r="AB88" s="129"/>
      <c r="AC88" s="129"/>
      <c r="AD88" s="112"/>
      <c r="AE88" s="129"/>
      <c r="AF88" s="873"/>
      <c r="AH88"/>
      <c r="AI88"/>
      <c r="AJ88"/>
    </row>
    <row r="89" spans="1:36" s="908" customFormat="1" ht="18" customHeight="1" x14ac:dyDescent="0.2">
      <c r="A89" s="2063">
        <f t="shared" si="1"/>
        <v>1</v>
      </c>
      <c r="B89" s="1478">
        <f>Трудозатраты!A106</f>
        <v>98</v>
      </c>
      <c r="C89" s="2584"/>
      <c r="D89" s="869"/>
      <c r="E89" s="869"/>
      <c r="F89" s="869"/>
      <c r="G89" s="869"/>
      <c r="H89" s="914"/>
      <c r="I89" s="2593"/>
      <c r="J89" s="1087"/>
      <c r="K89" s="1268" t="str">
        <f>Трудозатраты!B109</f>
        <v>Приладка 1 формы А3 формат 3 разряд CityLine</v>
      </c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2469" t="str">
        <f>Трудозатраты!F109</f>
        <v>шт</v>
      </c>
      <c r="X89" s="2470"/>
      <c r="Y89" s="2471"/>
      <c r="Z89" s="1182">
        <f>Трудозатраты!H109</f>
        <v>16</v>
      </c>
      <c r="AA89" s="112"/>
      <c r="AB89" s="129"/>
      <c r="AC89" s="129"/>
      <c r="AD89" s="112"/>
      <c r="AE89" s="129"/>
      <c r="AF89" s="873"/>
      <c r="AH89"/>
      <c r="AI89"/>
      <c r="AJ89"/>
    </row>
    <row r="90" spans="1:36" s="908" customFormat="1" ht="18" customHeight="1" x14ac:dyDescent="0.2">
      <c r="A90" s="2063">
        <f t="shared" si="1"/>
        <v>1</v>
      </c>
      <c r="B90" s="1478">
        <f>Трудозатраты!A107</f>
        <v>99</v>
      </c>
      <c r="C90" s="2584"/>
      <c r="D90" s="869"/>
      <c r="E90" s="869"/>
      <c r="F90" s="869"/>
      <c r="G90" s="869"/>
      <c r="H90" s="914"/>
      <c r="I90" s="2593"/>
      <c r="J90" s="1087"/>
      <c r="K90" s="1268" t="str">
        <f>Трудозатраты!B110</f>
        <v>Приладка 1 формы А3 формат 3 разряд CityLine</v>
      </c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2469" t="str">
        <f>Трудозатраты!F110</f>
        <v>шт</v>
      </c>
      <c r="X90" s="2470"/>
      <c r="Y90" s="2471"/>
      <c r="Z90" s="1182">
        <f>Трудозатраты!H110</f>
        <v>16</v>
      </c>
      <c r="AA90" s="112"/>
      <c r="AB90" s="129"/>
      <c r="AC90" s="129"/>
      <c r="AD90" s="112"/>
      <c r="AE90" s="129"/>
      <c r="AF90" s="873"/>
      <c r="AH90"/>
      <c r="AI90"/>
      <c r="AJ90"/>
    </row>
    <row r="91" spans="1:36" s="908" customFormat="1" ht="18" customHeight="1" x14ac:dyDescent="0.2">
      <c r="A91" s="2063">
        <v>1</v>
      </c>
      <c r="B91" s="1480"/>
      <c r="C91" s="868"/>
      <c r="D91" s="869"/>
      <c r="E91" s="869"/>
      <c r="F91" s="869"/>
      <c r="G91" s="869"/>
      <c r="H91" s="914"/>
      <c r="I91" s="870"/>
      <c r="J91" s="871"/>
      <c r="K91" s="1268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13"/>
      <c r="W91" s="112"/>
      <c r="X91" s="129"/>
      <c r="Y91" s="113"/>
      <c r="Z91" s="1466"/>
      <c r="AA91" s="112"/>
      <c r="AB91" s="129"/>
      <c r="AC91" s="129"/>
      <c r="AD91" s="112"/>
      <c r="AE91" s="129"/>
      <c r="AF91" s="873"/>
      <c r="AH91"/>
      <c r="AI91"/>
      <c r="AJ91"/>
    </row>
    <row r="92" spans="1:36" s="908" customFormat="1" ht="18" customHeight="1" thickBot="1" x14ac:dyDescent="0.25">
      <c r="A92" s="2063">
        <v>1</v>
      </c>
      <c r="B92" s="1479">
        <f>Трудозатраты!A827</f>
        <v>368</v>
      </c>
      <c r="C92" s="916"/>
      <c r="D92" s="874"/>
      <c r="E92" s="874"/>
      <c r="F92" s="874"/>
      <c r="G92" s="874"/>
      <c r="H92" s="917"/>
      <c r="I92" s="875"/>
      <c r="J92" s="1086"/>
      <c r="K92" s="1269" t="str">
        <f>Трудозатраты!B827</f>
        <v>Упаковка газет кругом в бумагу 1 разряд TP-601D</v>
      </c>
      <c r="L92" s="1137"/>
      <c r="M92" s="1137"/>
      <c r="N92" s="1137"/>
      <c r="O92" s="1137"/>
      <c r="P92" s="1137"/>
      <c r="Q92" s="1137"/>
      <c r="R92" s="1137"/>
      <c r="S92" s="1137"/>
      <c r="T92" s="1137"/>
      <c r="U92" s="1137"/>
      <c r="V92" s="1137"/>
      <c r="W92" s="2516" t="str">
        <f>Трудозатраты!F827</f>
        <v>пач</v>
      </c>
      <c r="X92" s="2517"/>
      <c r="Y92" s="2518"/>
      <c r="Z92" s="1091">
        <f>Трудозатраты!H827</f>
        <v>125</v>
      </c>
      <c r="AA92" s="877"/>
      <c r="AB92" s="878"/>
      <c r="AC92" s="878"/>
      <c r="AD92" s="877"/>
      <c r="AE92" s="878"/>
      <c r="AF92" s="879"/>
      <c r="AH92"/>
      <c r="AI92"/>
      <c r="AJ92"/>
    </row>
    <row r="93" spans="1:36" s="908" customFormat="1" ht="5.25" customHeight="1" thickBot="1" x14ac:dyDescent="0.25">
      <c r="A93" s="2063">
        <v>1</v>
      </c>
      <c r="B93" s="12"/>
      <c r="C93" s="880"/>
      <c r="D93" s="880"/>
      <c r="E93" s="880"/>
      <c r="F93" s="880"/>
      <c r="G93" s="880"/>
      <c r="H93" s="880"/>
      <c r="I93" s="880"/>
      <c r="J93" s="887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888"/>
      <c r="X93" s="2"/>
      <c r="Y93" s="2"/>
      <c r="Z93" s="1"/>
      <c r="AA93" s="2"/>
      <c r="AB93" s="2"/>
      <c r="AC93" s="2"/>
      <c r="AD93" s="2"/>
      <c r="AE93" s="2"/>
      <c r="AF93" s="2"/>
      <c r="AH93"/>
      <c r="AI93"/>
      <c r="AJ93"/>
    </row>
    <row r="94" spans="1:36" s="908" customFormat="1" ht="27" customHeight="1" thickBot="1" x14ac:dyDescent="0.25">
      <c r="A94" s="2063">
        <v>1</v>
      </c>
      <c r="B94" s="1470"/>
      <c r="C94" s="2581" t="s">
        <v>1119</v>
      </c>
      <c r="D94" s="2504"/>
      <c r="E94" s="2504"/>
      <c r="F94" s="2504"/>
      <c r="G94" s="2504"/>
      <c r="H94" s="2504"/>
      <c r="I94" s="2504"/>
      <c r="J94" s="2504"/>
      <c r="K94" s="2504"/>
      <c r="L94" s="2504"/>
      <c r="M94" s="2560"/>
      <c r="N94" s="2566" t="s">
        <v>1120</v>
      </c>
      <c r="O94" s="2566"/>
      <c r="P94" s="2503" t="s">
        <v>1154</v>
      </c>
      <c r="Q94" s="2504"/>
      <c r="R94" s="2504"/>
      <c r="S94" s="2504"/>
      <c r="T94" s="2503" t="s">
        <v>1155</v>
      </c>
      <c r="U94" s="2504"/>
      <c r="V94" s="2504"/>
      <c r="W94" s="2504"/>
      <c r="X94" s="2560"/>
      <c r="Y94" s="2503" t="s">
        <v>1156</v>
      </c>
      <c r="Z94" s="2504"/>
      <c r="AA94" s="2504"/>
      <c r="AB94" s="2503" t="s">
        <v>1156</v>
      </c>
      <c r="AC94" s="2504"/>
      <c r="AD94" s="2504"/>
      <c r="AE94" s="2504"/>
      <c r="AF94" s="2505"/>
      <c r="AH94"/>
      <c r="AI94"/>
      <c r="AJ94"/>
    </row>
    <row r="95" spans="1:36" s="908" customFormat="1" ht="16.5" customHeight="1" x14ac:dyDescent="0.2">
      <c r="A95" s="2063">
        <v>1</v>
      </c>
      <c r="B95" s="1471"/>
      <c r="C95" s="2579" t="s">
        <v>1113</v>
      </c>
      <c r="D95" s="2580"/>
      <c r="E95" s="2580"/>
      <c r="F95" s="2580"/>
      <c r="G95" s="2580"/>
      <c r="H95" s="2580"/>
      <c r="I95" s="2580"/>
      <c r="J95" s="2580"/>
      <c r="K95" s="2580"/>
      <c r="L95" s="2580"/>
      <c r="M95" s="2580"/>
      <c r="N95" s="1458"/>
      <c r="O95" s="1458"/>
      <c r="P95" s="1458"/>
      <c r="Q95" s="1458"/>
      <c r="R95" s="1458"/>
      <c r="S95" s="1458"/>
      <c r="T95" s="1458"/>
      <c r="U95" s="1458"/>
      <c r="V95" s="1458"/>
      <c r="W95" s="1459"/>
      <c r="X95" s="1458"/>
      <c r="Y95" s="1458"/>
      <c r="Z95" s="1460"/>
      <c r="AA95" s="1458"/>
      <c r="AB95" s="1458"/>
      <c r="AC95" s="1458"/>
      <c r="AD95" s="1458"/>
      <c r="AE95" s="1458"/>
      <c r="AF95" s="1461"/>
      <c r="AH95"/>
      <c r="AI95"/>
      <c r="AJ95"/>
    </row>
    <row r="96" spans="1:36" s="908" customFormat="1" ht="16.5" customHeight="1" x14ac:dyDescent="0.2">
      <c r="A96" s="2063">
        <v>1</v>
      </c>
      <c r="B96" s="1472"/>
      <c r="C96" s="2574" t="s">
        <v>1135</v>
      </c>
      <c r="D96" s="2575"/>
      <c r="E96" s="2575"/>
      <c r="F96" s="2575"/>
      <c r="G96" s="2575"/>
      <c r="H96" s="2575"/>
      <c r="I96" s="2575"/>
      <c r="J96" s="2575"/>
      <c r="K96" s="2575"/>
      <c r="L96" s="2575"/>
      <c r="M96" s="2576"/>
      <c r="N96" s="2567" t="s">
        <v>1121</v>
      </c>
      <c r="O96" s="2567"/>
      <c r="P96" s="1469"/>
      <c r="Q96" s="1469"/>
      <c r="R96" s="1469"/>
      <c r="S96" s="1469"/>
      <c r="T96" s="1480"/>
      <c r="U96" s="1469"/>
      <c r="V96" s="1469"/>
      <c r="W96" s="1469"/>
      <c r="X96" s="1486"/>
      <c r="Y96" s="1480"/>
      <c r="Z96" s="1469"/>
      <c r="AA96" s="1486"/>
      <c r="AB96" s="1469"/>
      <c r="AC96" s="1469"/>
      <c r="AD96" s="1469"/>
      <c r="AE96" s="1469"/>
      <c r="AF96" s="1481"/>
      <c r="AH96"/>
      <c r="AI96"/>
      <c r="AJ96"/>
    </row>
    <row r="97" spans="1:36" s="908" customFormat="1" ht="16.5" customHeight="1" x14ac:dyDescent="0.2">
      <c r="A97" s="2063">
        <v>1</v>
      </c>
      <c r="B97" s="1469"/>
      <c r="C97" s="2574" t="s">
        <v>1137</v>
      </c>
      <c r="D97" s="2575"/>
      <c r="E97" s="2575"/>
      <c r="F97" s="2575"/>
      <c r="G97" s="2575"/>
      <c r="H97" s="2575"/>
      <c r="I97" s="2575"/>
      <c r="J97" s="2575"/>
      <c r="K97" s="2575"/>
      <c r="L97" s="2575"/>
      <c r="M97" s="2576"/>
      <c r="N97" s="2565" t="s">
        <v>1121</v>
      </c>
      <c r="O97" s="2565"/>
      <c r="P97" s="1469"/>
      <c r="Q97" s="1469"/>
      <c r="R97" s="1469"/>
      <c r="S97" s="1469"/>
      <c r="T97" s="1480"/>
      <c r="U97" s="1469"/>
      <c r="V97" s="1469"/>
      <c r="W97" s="1469"/>
      <c r="X97" s="1486"/>
      <c r="Y97" s="1480"/>
      <c r="Z97" s="1469"/>
      <c r="AA97" s="1486"/>
      <c r="AB97" s="1469"/>
      <c r="AC97" s="1469"/>
      <c r="AD97" s="1469"/>
      <c r="AE97" s="1469"/>
      <c r="AF97" s="1481"/>
      <c r="AH97"/>
      <c r="AI97"/>
      <c r="AJ97"/>
    </row>
    <row r="98" spans="1:36" s="908" customFormat="1" ht="16.5" customHeight="1" x14ac:dyDescent="0.2">
      <c r="A98" s="2063">
        <v>1</v>
      </c>
      <c r="B98" s="1469"/>
      <c r="C98" s="2577" t="s">
        <v>1114</v>
      </c>
      <c r="D98" s="2578"/>
      <c r="E98" s="2578"/>
      <c r="F98" s="2578"/>
      <c r="G98" s="2578"/>
      <c r="H98" s="2578"/>
      <c r="I98" s="2578"/>
      <c r="J98" s="2578"/>
      <c r="K98" s="2578"/>
      <c r="L98" s="2578"/>
      <c r="M98" s="2578"/>
      <c r="N98" s="1462"/>
      <c r="O98" s="1462"/>
      <c r="P98" s="1462"/>
      <c r="Q98" s="1462"/>
      <c r="R98" s="1462"/>
      <c r="S98" s="1462"/>
      <c r="T98" s="1462"/>
      <c r="U98" s="1462"/>
      <c r="V98" s="1462"/>
      <c r="W98" s="1463"/>
      <c r="X98" s="1462"/>
      <c r="Y98" s="1462"/>
      <c r="Z98" s="1464"/>
      <c r="AA98" s="1462"/>
      <c r="AB98" s="1462"/>
      <c r="AC98" s="1462"/>
      <c r="AD98" s="1462"/>
      <c r="AE98" s="1462"/>
      <c r="AF98" s="1465"/>
      <c r="AH98"/>
      <c r="AI98"/>
      <c r="AJ98"/>
    </row>
    <row r="99" spans="1:36" s="908" customFormat="1" ht="16.5" customHeight="1" x14ac:dyDescent="0.2">
      <c r="A99" s="2063">
        <v>1</v>
      </c>
      <c r="B99" s="1469"/>
      <c r="C99" s="2568" t="s">
        <v>1136</v>
      </c>
      <c r="D99" s="2569"/>
      <c r="E99" s="2569"/>
      <c r="F99" s="2569"/>
      <c r="G99" s="2569"/>
      <c r="H99" s="2569"/>
      <c r="I99" s="2569"/>
      <c r="J99" s="2569"/>
      <c r="K99" s="2569"/>
      <c r="L99" s="2569"/>
      <c r="M99" s="2570"/>
      <c r="N99" s="2565" t="s">
        <v>1122</v>
      </c>
      <c r="O99" s="2565"/>
      <c r="P99" s="1469"/>
      <c r="Q99" s="1469"/>
      <c r="R99" s="1469"/>
      <c r="S99" s="1469"/>
      <c r="T99" s="1480"/>
      <c r="U99" s="1469"/>
      <c r="V99" s="1469"/>
      <c r="W99" s="1469"/>
      <c r="X99" s="1486"/>
      <c r="Y99" s="1480"/>
      <c r="Z99" s="1469"/>
      <c r="AA99" s="1486"/>
      <c r="AB99" s="1469"/>
      <c r="AC99" s="1469"/>
      <c r="AD99" s="1469"/>
      <c r="AE99" s="1469"/>
      <c r="AF99" s="1481"/>
      <c r="AH99"/>
      <c r="AI99"/>
      <c r="AJ99"/>
    </row>
    <row r="100" spans="1:36" s="908" customFormat="1" ht="16.5" customHeight="1" x14ac:dyDescent="0.2">
      <c r="A100" s="2063">
        <v>1</v>
      </c>
      <c r="B100" s="1469"/>
      <c r="C100" s="2571" t="s">
        <v>1138</v>
      </c>
      <c r="D100" s="2572"/>
      <c r="E100" s="2572"/>
      <c r="F100" s="2572"/>
      <c r="G100" s="2572"/>
      <c r="H100" s="2572"/>
      <c r="I100" s="2572"/>
      <c r="J100" s="2572"/>
      <c r="K100" s="2572"/>
      <c r="L100" s="2572"/>
      <c r="M100" s="2573"/>
      <c r="N100" s="2565" t="s">
        <v>1123</v>
      </c>
      <c r="O100" s="2565"/>
      <c r="P100" s="1469"/>
      <c r="Q100" s="1469"/>
      <c r="R100" s="1469"/>
      <c r="S100" s="1469"/>
      <c r="T100" s="1480"/>
      <c r="U100" s="1469"/>
      <c r="V100" s="1469"/>
      <c r="W100" s="1469"/>
      <c r="X100" s="1486"/>
      <c r="Y100" s="1480"/>
      <c r="Z100" s="1469"/>
      <c r="AA100" s="1486"/>
      <c r="AB100" s="1469"/>
      <c r="AC100" s="1469"/>
      <c r="AD100" s="1469"/>
      <c r="AE100" s="1469"/>
      <c r="AF100" s="1481"/>
      <c r="AH100"/>
      <c r="AI100"/>
      <c r="AJ100"/>
    </row>
    <row r="101" spans="1:36" s="908" customFormat="1" ht="16.5" customHeight="1" x14ac:dyDescent="0.2">
      <c r="A101" s="2063">
        <v>1</v>
      </c>
      <c r="B101" s="1469"/>
      <c r="C101" s="2571" t="s">
        <v>1139</v>
      </c>
      <c r="D101" s="2572"/>
      <c r="E101" s="2572"/>
      <c r="F101" s="2572"/>
      <c r="G101" s="2572"/>
      <c r="H101" s="2572"/>
      <c r="I101" s="2572"/>
      <c r="J101" s="2572"/>
      <c r="K101" s="2572"/>
      <c r="L101" s="2572"/>
      <c r="M101" s="2573"/>
      <c r="N101" s="2565" t="s">
        <v>1124</v>
      </c>
      <c r="O101" s="2565"/>
      <c r="P101" s="1469"/>
      <c r="Q101" s="1469"/>
      <c r="R101" s="1469"/>
      <c r="S101" s="1469"/>
      <c r="T101" s="1480"/>
      <c r="U101" s="1469"/>
      <c r="V101" s="1469"/>
      <c r="W101" s="1469"/>
      <c r="X101" s="1486"/>
      <c r="Y101" s="1480"/>
      <c r="Z101" s="1469"/>
      <c r="AA101" s="1486"/>
      <c r="AB101" s="1469"/>
      <c r="AC101" s="1469"/>
      <c r="AD101" s="1469"/>
      <c r="AE101" s="1469"/>
      <c r="AF101" s="1481"/>
      <c r="AH101"/>
      <c r="AI101"/>
      <c r="AJ101"/>
    </row>
    <row r="102" spans="1:36" s="908" customFormat="1" ht="16.5" customHeight="1" x14ac:dyDescent="0.2">
      <c r="A102" s="2063">
        <v>1</v>
      </c>
      <c r="B102" s="1469"/>
      <c r="C102" s="2568" t="s">
        <v>1140</v>
      </c>
      <c r="D102" s="2569"/>
      <c r="E102" s="2569"/>
      <c r="F102" s="2569"/>
      <c r="G102" s="2569"/>
      <c r="H102" s="2569"/>
      <c r="I102" s="2569"/>
      <c r="J102" s="2569"/>
      <c r="K102" s="2569"/>
      <c r="L102" s="2569"/>
      <c r="M102" s="2570"/>
      <c r="N102" s="2565" t="s">
        <v>1124</v>
      </c>
      <c r="O102" s="2565"/>
      <c r="P102" s="1469"/>
      <c r="Q102" s="1469"/>
      <c r="R102" s="1469"/>
      <c r="S102" s="1469"/>
      <c r="T102" s="1480"/>
      <c r="U102" s="1469"/>
      <c r="V102" s="1469"/>
      <c r="W102" s="1469"/>
      <c r="X102" s="1486"/>
      <c r="Y102" s="1480"/>
      <c r="Z102" s="1469"/>
      <c r="AA102" s="1486"/>
      <c r="AB102" s="1469"/>
      <c r="AC102" s="1469"/>
      <c r="AD102" s="1469"/>
      <c r="AE102" s="1469"/>
      <c r="AF102" s="1481"/>
      <c r="AH102"/>
      <c r="AI102"/>
      <c r="AJ102"/>
    </row>
    <row r="103" spans="1:36" s="908" customFormat="1" ht="16.5" customHeight="1" x14ac:dyDescent="0.2">
      <c r="A103" s="2063">
        <v>1</v>
      </c>
      <c r="B103" s="1469"/>
      <c r="C103" s="2568" t="s">
        <v>1141</v>
      </c>
      <c r="D103" s="2569"/>
      <c r="E103" s="2569"/>
      <c r="F103" s="2569"/>
      <c r="G103" s="2569"/>
      <c r="H103" s="2569"/>
      <c r="I103" s="2569"/>
      <c r="J103" s="2569"/>
      <c r="K103" s="2569"/>
      <c r="L103" s="2569"/>
      <c r="M103" s="2570"/>
      <c r="N103" s="2565" t="s">
        <v>1122</v>
      </c>
      <c r="O103" s="2565"/>
      <c r="P103" s="1469"/>
      <c r="Q103" s="1469"/>
      <c r="R103" s="1469"/>
      <c r="S103" s="1469"/>
      <c r="T103" s="1480"/>
      <c r="U103" s="1469"/>
      <c r="V103" s="1469"/>
      <c r="W103" s="1469"/>
      <c r="X103" s="1486"/>
      <c r="Y103" s="1480"/>
      <c r="Z103" s="1469"/>
      <c r="AA103" s="1486"/>
      <c r="AB103" s="1469"/>
      <c r="AC103" s="1469"/>
      <c r="AD103" s="1469"/>
      <c r="AE103" s="1469"/>
      <c r="AF103" s="1481"/>
      <c r="AH103"/>
      <c r="AI103"/>
      <c r="AJ103"/>
    </row>
    <row r="104" spans="1:36" s="908" customFormat="1" ht="16.5" customHeight="1" x14ac:dyDescent="0.2">
      <c r="A104" s="2063">
        <v>1</v>
      </c>
      <c r="B104" s="1469"/>
      <c r="C104" s="2571" t="s">
        <v>1144</v>
      </c>
      <c r="D104" s="2572"/>
      <c r="E104" s="2572"/>
      <c r="F104" s="2572"/>
      <c r="G104" s="2572"/>
      <c r="H104" s="2572"/>
      <c r="I104" s="2572"/>
      <c r="J104" s="2572"/>
      <c r="K104" s="2572"/>
      <c r="L104" s="2572"/>
      <c r="M104" s="2573"/>
      <c r="N104" s="2565" t="s">
        <v>1124</v>
      </c>
      <c r="O104" s="2565"/>
      <c r="P104" s="1469"/>
      <c r="Q104" s="1469"/>
      <c r="R104" s="1469"/>
      <c r="S104" s="1469"/>
      <c r="T104" s="1480"/>
      <c r="U104" s="1469"/>
      <c r="V104" s="1469"/>
      <c r="W104" s="1469"/>
      <c r="X104" s="1486"/>
      <c r="Y104" s="1480"/>
      <c r="Z104" s="1469"/>
      <c r="AA104" s="1486"/>
      <c r="AB104" s="1469"/>
      <c r="AC104" s="1469"/>
      <c r="AD104" s="1469"/>
      <c r="AE104" s="1469"/>
      <c r="AF104" s="1481"/>
      <c r="AH104"/>
      <c r="AI104"/>
      <c r="AJ104"/>
    </row>
    <row r="105" spans="1:36" s="908" customFormat="1" ht="16.5" customHeight="1" x14ac:dyDescent="0.2">
      <c r="A105" s="2063">
        <v>1</v>
      </c>
      <c r="B105" s="1469"/>
      <c r="C105" s="2585" t="s">
        <v>1115</v>
      </c>
      <c r="D105" s="2586"/>
      <c r="E105" s="2586"/>
      <c r="F105" s="2586"/>
      <c r="G105" s="2586"/>
      <c r="H105" s="2586"/>
      <c r="I105" s="2586"/>
      <c r="J105" s="2586"/>
      <c r="K105" s="2586"/>
      <c r="L105" s="2586"/>
      <c r="M105" s="2586"/>
      <c r="N105" s="1462"/>
      <c r="O105" s="1462"/>
      <c r="P105" s="1462"/>
      <c r="Q105" s="1462"/>
      <c r="R105" s="1462"/>
      <c r="S105" s="1462"/>
      <c r="T105" s="1462"/>
      <c r="U105" s="1462"/>
      <c r="V105" s="1462"/>
      <c r="W105" s="1463"/>
      <c r="X105" s="1462"/>
      <c r="Y105" s="1462"/>
      <c r="Z105" s="1464"/>
      <c r="AA105" s="1462"/>
      <c r="AB105" s="1462"/>
      <c r="AC105" s="1462"/>
      <c r="AD105" s="1462"/>
      <c r="AE105" s="1462"/>
      <c r="AF105" s="1465"/>
      <c r="AH105"/>
      <c r="AI105"/>
      <c r="AJ105"/>
    </row>
    <row r="106" spans="1:36" s="908" customFormat="1" ht="16.5" customHeight="1" x14ac:dyDescent="0.2">
      <c r="A106" s="2063">
        <v>1</v>
      </c>
      <c r="B106" s="1469"/>
      <c r="C106" s="2568" t="s">
        <v>1142</v>
      </c>
      <c r="D106" s="2569"/>
      <c r="E106" s="2569"/>
      <c r="F106" s="2569"/>
      <c r="G106" s="2569"/>
      <c r="H106" s="2569"/>
      <c r="I106" s="2569"/>
      <c r="J106" s="2569"/>
      <c r="K106" s="2569"/>
      <c r="L106" s="2569"/>
      <c r="M106" s="2570"/>
      <c r="N106" s="2565" t="s">
        <v>1121</v>
      </c>
      <c r="O106" s="2565"/>
      <c r="P106" s="1469"/>
      <c r="Q106" s="1469"/>
      <c r="R106" s="1469"/>
      <c r="S106" s="1469"/>
      <c r="T106" s="1480"/>
      <c r="U106" s="1469"/>
      <c r="V106" s="1469"/>
      <c r="W106" s="1469"/>
      <c r="X106" s="1486"/>
      <c r="Y106" s="1480"/>
      <c r="Z106" s="1469"/>
      <c r="AA106" s="1486"/>
      <c r="AB106" s="1469"/>
      <c r="AC106" s="1469"/>
      <c r="AD106" s="1469"/>
      <c r="AE106" s="1469"/>
      <c r="AF106" s="1481"/>
      <c r="AH106"/>
      <c r="AI106"/>
      <c r="AJ106"/>
    </row>
    <row r="107" spans="1:36" s="908" customFormat="1" ht="16.5" customHeight="1" x14ac:dyDescent="0.2">
      <c r="A107" s="2063">
        <v>1</v>
      </c>
      <c r="B107" s="1469"/>
      <c r="C107" s="2571" t="s">
        <v>1157</v>
      </c>
      <c r="D107" s="2572"/>
      <c r="E107" s="2572"/>
      <c r="F107" s="2572"/>
      <c r="G107" s="2572"/>
      <c r="H107" s="2572"/>
      <c r="I107" s="2572"/>
      <c r="J107" s="2572"/>
      <c r="K107" s="2572"/>
      <c r="L107" s="2572"/>
      <c r="M107" s="2573"/>
      <c r="N107" s="2565" t="s">
        <v>1124</v>
      </c>
      <c r="O107" s="2565"/>
      <c r="P107" s="1469"/>
      <c r="Q107" s="1469"/>
      <c r="R107" s="1469"/>
      <c r="S107" s="1469"/>
      <c r="T107" s="1480"/>
      <c r="U107" s="1469"/>
      <c r="V107" s="1469"/>
      <c r="W107" s="1469"/>
      <c r="X107" s="1486"/>
      <c r="Y107" s="1480"/>
      <c r="Z107" s="1469"/>
      <c r="AA107" s="1486"/>
      <c r="AB107" s="1469"/>
      <c r="AC107" s="1469"/>
      <c r="AD107" s="1469"/>
      <c r="AE107" s="1469"/>
      <c r="AF107" s="1481"/>
      <c r="AH107"/>
      <c r="AI107"/>
      <c r="AJ107"/>
    </row>
    <row r="108" spans="1:36" s="908" customFormat="1" ht="16.5" customHeight="1" x14ac:dyDescent="0.2">
      <c r="A108" s="2063">
        <v>1</v>
      </c>
      <c r="B108" s="1469"/>
      <c r="C108" s="2568" t="s">
        <v>1143</v>
      </c>
      <c r="D108" s="2569"/>
      <c r="E108" s="2569"/>
      <c r="F108" s="2569"/>
      <c r="G108" s="2569"/>
      <c r="H108" s="2569"/>
      <c r="I108" s="2569"/>
      <c r="J108" s="2569"/>
      <c r="K108" s="2569"/>
      <c r="L108" s="2569"/>
      <c r="M108" s="2570"/>
      <c r="N108" s="2565" t="s">
        <v>1122</v>
      </c>
      <c r="O108" s="2565"/>
      <c r="P108" s="1469"/>
      <c r="Q108" s="1469"/>
      <c r="R108" s="1469"/>
      <c r="S108" s="1469"/>
      <c r="T108" s="1480"/>
      <c r="U108" s="1469"/>
      <c r="V108" s="1469"/>
      <c r="W108" s="1469"/>
      <c r="X108" s="1486"/>
      <c r="Y108" s="1480"/>
      <c r="Z108" s="1469"/>
      <c r="AA108" s="1486"/>
      <c r="AB108" s="1469"/>
      <c r="AC108" s="1469"/>
      <c r="AD108" s="1469"/>
      <c r="AE108" s="1469"/>
      <c r="AF108" s="1481"/>
      <c r="AH108"/>
      <c r="AI108"/>
      <c r="AJ108"/>
    </row>
    <row r="109" spans="1:36" s="908" customFormat="1" ht="16.5" customHeight="1" x14ac:dyDescent="0.2">
      <c r="A109" s="2063">
        <v>1</v>
      </c>
      <c r="B109" s="1469"/>
      <c r="C109" s="2590" t="s">
        <v>1116</v>
      </c>
      <c r="D109" s="2591"/>
      <c r="E109" s="2591"/>
      <c r="F109" s="2591"/>
      <c r="G109" s="2591"/>
      <c r="H109" s="2591"/>
      <c r="I109" s="2591"/>
      <c r="J109" s="2591"/>
      <c r="K109" s="2591"/>
      <c r="L109" s="2591"/>
      <c r="M109" s="2591"/>
      <c r="N109" s="1462"/>
      <c r="O109" s="1462"/>
      <c r="P109" s="1462"/>
      <c r="Q109" s="1462"/>
      <c r="R109" s="1462"/>
      <c r="S109" s="1462"/>
      <c r="T109" s="1462"/>
      <c r="U109" s="1462"/>
      <c r="V109" s="1462"/>
      <c r="W109" s="1463"/>
      <c r="X109" s="1462"/>
      <c r="Y109" s="1462"/>
      <c r="Z109" s="1464"/>
      <c r="AA109" s="1462"/>
      <c r="AB109" s="1462"/>
      <c r="AC109" s="1462"/>
      <c r="AD109" s="1462"/>
      <c r="AE109" s="1462"/>
      <c r="AF109" s="1465"/>
      <c r="AH109"/>
      <c r="AI109"/>
      <c r="AJ109"/>
    </row>
    <row r="110" spans="1:36" s="908" customFormat="1" ht="16.5" customHeight="1" x14ac:dyDescent="0.2">
      <c r="A110" s="2063">
        <v>1</v>
      </c>
      <c r="B110" s="1469"/>
      <c r="C110" s="2568" t="s">
        <v>1145</v>
      </c>
      <c r="D110" s="2569"/>
      <c r="E110" s="2569"/>
      <c r="F110" s="2569"/>
      <c r="G110" s="2569"/>
      <c r="H110" s="2569"/>
      <c r="I110" s="2569"/>
      <c r="J110" s="2569"/>
      <c r="K110" s="2569"/>
      <c r="L110" s="2569"/>
      <c r="M110" s="2570"/>
      <c r="N110" s="2565" t="s">
        <v>1124</v>
      </c>
      <c r="O110" s="2565"/>
      <c r="P110" s="1469"/>
      <c r="Q110" s="1469"/>
      <c r="R110" s="1469"/>
      <c r="S110" s="1469"/>
      <c r="T110" s="1480"/>
      <c r="U110" s="1469"/>
      <c r="V110" s="1469"/>
      <c r="W110" s="1469"/>
      <c r="X110" s="1486"/>
      <c r="Y110" s="1480"/>
      <c r="Z110" s="1469"/>
      <c r="AA110" s="1486"/>
      <c r="AB110" s="1469"/>
      <c r="AC110" s="1469"/>
      <c r="AD110" s="1469"/>
      <c r="AE110" s="1469"/>
      <c r="AF110" s="1481"/>
      <c r="AH110"/>
      <c r="AI110"/>
      <c r="AJ110"/>
    </row>
    <row r="111" spans="1:36" s="908" customFormat="1" ht="16.5" customHeight="1" x14ac:dyDescent="0.2">
      <c r="A111" s="2063">
        <v>1</v>
      </c>
      <c r="B111" s="1469"/>
      <c r="C111" s="2568" t="s">
        <v>1149</v>
      </c>
      <c r="D111" s="2569"/>
      <c r="E111" s="2569"/>
      <c r="F111" s="2569"/>
      <c r="G111" s="2569"/>
      <c r="H111" s="2569"/>
      <c r="I111" s="2569"/>
      <c r="J111" s="2569"/>
      <c r="K111" s="2569"/>
      <c r="L111" s="2569"/>
      <c r="M111" s="2570"/>
      <c r="N111" s="2565" t="s">
        <v>1125</v>
      </c>
      <c r="O111" s="2565"/>
      <c r="P111" s="1469"/>
      <c r="Q111" s="1469"/>
      <c r="R111" s="1469"/>
      <c r="S111" s="1469"/>
      <c r="T111" s="1480"/>
      <c r="U111" s="1469"/>
      <c r="V111" s="1469"/>
      <c r="W111" s="1469"/>
      <c r="X111" s="1486"/>
      <c r="Y111" s="1480"/>
      <c r="Z111" s="1469"/>
      <c r="AA111" s="1486"/>
      <c r="AB111" s="1469"/>
      <c r="AC111" s="1469"/>
      <c r="AD111" s="1469"/>
      <c r="AE111" s="1469"/>
      <c r="AF111" s="1481"/>
      <c r="AH111"/>
      <c r="AI111"/>
      <c r="AJ111"/>
    </row>
    <row r="112" spans="1:36" s="908" customFormat="1" ht="16.5" customHeight="1" x14ac:dyDescent="0.2">
      <c r="A112" s="2063">
        <v>1</v>
      </c>
      <c r="B112" s="1469"/>
      <c r="C112" s="2590" t="s">
        <v>1117</v>
      </c>
      <c r="D112" s="2591"/>
      <c r="E112" s="2591"/>
      <c r="F112" s="2591"/>
      <c r="G112" s="2591"/>
      <c r="H112" s="2591"/>
      <c r="I112" s="2591"/>
      <c r="J112" s="2591"/>
      <c r="K112" s="2591"/>
      <c r="L112" s="2591"/>
      <c r="M112" s="2591"/>
      <c r="N112" s="1462"/>
      <c r="O112" s="1462"/>
      <c r="P112" s="1462"/>
      <c r="Q112" s="1462"/>
      <c r="R112" s="1462"/>
      <c r="S112" s="1462"/>
      <c r="T112" s="1462"/>
      <c r="U112" s="1462"/>
      <c r="V112" s="1462"/>
      <c r="W112" s="1463"/>
      <c r="X112" s="1462"/>
      <c r="Y112" s="1462"/>
      <c r="Z112" s="1464"/>
      <c r="AA112" s="1462"/>
      <c r="AB112" s="1462"/>
      <c r="AC112" s="1462"/>
      <c r="AD112" s="1462"/>
      <c r="AE112" s="1462"/>
      <c r="AF112" s="1465"/>
      <c r="AH112"/>
      <c r="AI112"/>
      <c r="AJ112"/>
    </row>
    <row r="113" spans="1:36" s="908" customFormat="1" ht="16.5" customHeight="1" x14ac:dyDescent="0.2">
      <c r="A113" s="2063">
        <v>1</v>
      </c>
      <c r="B113" s="1469"/>
      <c r="C113" s="2568" t="s">
        <v>1145</v>
      </c>
      <c r="D113" s="2569"/>
      <c r="E113" s="2569"/>
      <c r="F113" s="2569"/>
      <c r="G113" s="2569"/>
      <c r="H113" s="2569"/>
      <c r="I113" s="2569"/>
      <c r="J113" s="2569"/>
      <c r="K113" s="2569"/>
      <c r="L113" s="2569"/>
      <c r="M113" s="2570"/>
      <c r="N113" s="2565" t="s">
        <v>1124</v>
      </c>
      <c r="O113" s="2565"/>
      <c r="P113" s="1469"/>
      <c r="Q113" s="1469"/>
      <c r="R113" s="1469"/>
      <c r="S113" s="1469"/>
      <c r="T113" s="1480"/>
      <c r="U113" s="1469"/>
      <c r="V113" s="1469"/>
      <c r="W113" s="1469"/>
      <c r="X113" s="1486"/>
      <c r="Y113" s="1480"/>
      <c r="Z113" s="1469"/>
      <c r="AA113" s="1486"/>
      <c r="AB113" s="1469"/>
      <c r="AC113" s="1469"/>
      <c r="AD113" s="1469"/>
      <c r="AE113" s="1469"/>
      <c r="AF113" s="1481"/>
      <c r="AH113"/>
      <c r="AI113"/>
      <c r="AJ113"/>
    </row>
    <row r="114" spans="1:36" s="908" customFormat="1" ht="16.5" customHeight="1" x14ac:dyDescent="0.2">
      <c r="A114" s="2063">
        <v>1</v>
      </c>
      <c r="B114" s="1469"/>
      <c r="C114" s="2571" t="s">
        <v>1146</v>
      </c>
      <c r="D114" s="2572"/>
      <c r="E114" s="2572"/>
      <c r="F114" s="2572"/>
      <c r="G114" s="2572"/>
      <c r="H114" s="2572"/>
      <c r="I114" s="2572"/>
      <c r="J114" s="2572"/>
      <c r="K114" s="2572"/>
      <c r="L114" s="2572"/>
      <c r="M114" s="2573"/>
      <c r="N114" s="2565" t="s">
        <v>1122</v>
      </c>
      <c r="O114" s="2565"/>
      <c r="P114" s="1469"/>
      <c r="Q114" s="1469"/>
      <c r="R114" s="1469"/>
      <c r="S114" s="1469"/>
      <c r="T114" s="1480"/>
      <c r="U114" s="1469"/>
      <c r="V114" s="1469"/>
      <c r="W114" s="1469"/>
      <c r="X114" s="1486"/>
      <c r="Y114" s="1480"/>
      <c r="Z114" s="1469"/>
      <c r="AA114" s="1486"/>
      <c r="AB114" s="1469"/>
      <c r="AC114" s="1469"/>
      <c r="AD114" s="1469"/>
      <c r="AE114" s="1469"/>
      <c r="AF114" s="1481"/>
      <c r="AH114"/>
      <c r="AI114"/>
      <c r="AJ114"/>
    </row>
    <row r="115" spans="1:36" s="908" customFormat="1" ht="16.5" customHeight="1" x14ac:dyDescent="0.2">
      <c r="A115" s="2063">
        <v>1</v>
      </c>
      <c r="B115" s="1469"/>
      <c r="C115" s="2590" t="s">
        <v>1150</v>
      </c>
      <c r="D115" s="2591"/>
      <c r="E115" s="2591"/>
      <c r="F115" s="2591"/>
      <c r="G115" s="2591"/>
      <c r="H115" s="2591"/>
      <c r="I115" s="2591"/>
      <c r="J115" s="2591"/>
      <c r="K115" s="2591"/>
      <c r="L115" s="2591"/>
      <c r="M115" s="2591"/>
      <c r="N115" s="1462"/>
      <c r="O115" s="1462"/>
      <c r="P115" s="1462"/>
      <c r="Q115" s="1462"/>
      <c r="R115" s="1462"/>
      <c r="S115" s="1462"/>
      <c r="T115" s="1462"/>
      <c r="U115" s="1462"/>
      <c r="V115" s="1462"/>
      <c r="W115" s="1463"/>
      <c r="X115" s="1462"/>
      <c r="Y115" s="1462"/>
      <c r="Z115" s="1464"/>
      <c r="AA115" s="1462"/>
      <c r="AB115" s="1462"/>
      <c r="AC115" s="1462"/>
      <c r="AD115" s="1462"/>
      <c r="AE115" s="1462"/>
      <c r="AF115" s="1465"/>
      <c r="AH115"/>
      <c r="AI115"/>
      <c r="AJ115"/>
    </row>
    <row r="116" spans="1:36" s="908" customFormat="1" ht="16.5" customHeight="1" x14ac:dyDescent="0.2">
      <c r="A116" s="2063">
        <v>1</v>
      </c>
      <c r="B116" s="1469"/>
      <c r="C116" s="2571" t="s">
        <v>1147</v>
      </c>
      <c r="D116" s="2572"/>
      <c r="E116" s="2572"/>
      <c r="F116" s="2572"/>
      <c r="G116" s="2572"/>
      <c r="H116" s="2572"/>
      <c r="I116" s="2572"/>
      <c r="J116" s="2572"/>
      <c r="K116" s="2572"/>
      <c r="L116" s="2572"/>
      <c r="M116" s="2573"/>
      <c r="N116" s="2565" t="s">
        <v>1125</v>
      </c>
      <c r="O116" s="2565"/>
      <c r="P116" s="1469"/>
      <c r="Q116" s="1469"/>
      <c r="R116" s="1469"/>
      <c r="S116" s="1469"/>
      <c r="T116" s="1480"/>
      <c r="U116" s="1469"/>
      <c r="V116" s="1469"/>
      <c r="W116" s="1469"/>
      <c r="X116" s="1486"/>
      <c r="Y116" s="1480"/>
      <c r="Z116" s="1469"/>
      <c r="AA116" s="1486"/>
      <c r="AB116" s="1469"/>
      <c r="AC116" s="1469"/>
      <c r="AD116" s="1469"/>
      <c r="AE116" s="1469"/>
      <c r="AF116" s="1481"/>
      <c r="AH116"/>
      <c r="AI116"/>
      <c r="AJ116"/>
    </row>
    <row r="117" spans="1:36" s="908" customFormat="1" ht="16.5" customHeight="1" x14ac:dyDescent="0.2">
      <c r="A117" s="2063">
        <v>1</v>
      </c>
      <c r="B117" s="1469"/>
      <c r="C117" s="2571" t="s">
        <v>1146</v>
      </c>
      <c r="D117" s="2572"/>
      <c r="E117" s="2572"/>
      <c r="F117" s="2572"/>
      <c r="G117" s="2572"/>
      <c r="H117" s="2572"/>
      <c r="I117" s="2572"/>
      <c r="J117" s="2572"/>
      <c r="K117" s="2572"/>
      <c r="L117" s="2572"/>
      <c r="M117" s="2573"/>
      <c r="N117" s="2565" t="s">
        <v>1122</v>
      </c>
      <c r="O117" s="2565"/>
      <c r="P117" s="1469"/>
      <c r="Q117" s="1469"/>
      <c r="R117" s="1469"/>
      <c r="S117" s="1469"/>
      <c r="T117" s="1480"/>
      <c r="U117" s="1469"/>
      <c r="V117" s="1469"/>
      <c r="W117" s="1469"/>
      <c r="X117" s="1486"/>
      <c r="Y117" s="1480"/>
      <c r="Z117" s="1469"/>
      <c r="AA117" s="1486"/>
      <c r="AB117" s="1469"/>
      <c r="AC117" s="1469"/>
      <c r="AD117" s="1469"/>
      <c r="AE117" s="1469"/>
      <c r="AF117" s="1481"/>
      <c r="AH117"/>
      <c r="AI117"/>
      <c r="AJ117"/>
    </row>
    <row r="118" spans="1:36" s="908" customFormat="1" ht="16.5" customHeight="1" x14ac:dyDescent="0.2">
      <c r="A118" s="2063">
        <v>1</v>
      </c>
      <c r="B118" s="1469"/>
      <c r="C118" s="2585" t="s">
        <v>1118</v>
      </c>
      <c r="D118" s="2586"/>
      <c r="E118" s="2586"/>
      <c r="F118" s="2586"/>
      <c r="G118" s="2586"/>
      <c r="H118" s="2586"/>
      <c r="I118" s="2586"/>
      <c r="J118" s="2586"/>
      <c r="K118" s="2586"/>
      <c r="L118" s="2586"/>
      <c r="M118" s="2586"/>
      <c r="N118" s="1462"/>
      <c r="O118" s="1462"/>
      <c r="P118" s="1462"/>
      <c r="Q118" s="1462"/>
      <c r="R118" s="1462"/>
      <c r="S118" s="1462"/>
      <c r="T118" s="1462"/>
      <c r="U118" s="1462"/>
      <c r="V118" s="1462"/>
      <c r="W118" s="1463"/>
      <c r="X118" s="1462"/>
      <c r="Y118" s="1462"/>
      <c r="Z118" s="1464"/>
      <c r="AA118" s="1462"/>
      <c r="AB118" s="1462"/>
      <c r="AC118" s="1462"/>
      <c r="AD118" s="1462"/>
      <c r="AE118" s="1462"/>
      <c r="AF118" s="1465"/>
      <c r="AH118"/>
      <c r="AI118"/>
      <c r="AJ118"/>
    </row>
    <row r="119" spans="1:36" s="908" customFormat="1" ht="24" customHeight="1" thickBot="1" x14ac:dyDescent="0.25">
      <c r="A119" s="2063">
        <v>1</v>
      </c>
      <c r="B119" s="1473"/>
      <c r="C119" s="2571" t="s">
        <v>1148</v>
      </c>
      <c r="D119" s="2572"/>
      <c r="E119" s="2572"/>
      <c r="F119" s="2572"/>
      <c r="G119" s="2572"/>
      <c r="H119" s="2572"/>
      <c r="I119" s="2572"/>
      <c r="J119" s="2572"/>
      <c r="K119" s="2572"/>
      <c r="L119" s="2572"/>
      <c r="M119" s="2573"/>
      <c r="N119" s="2565" t="s">
        <v>1123</v>
      </c>
      <c r="O119" s="2565"/>
      <c r="P119" s="1469"/>
      <c r="Q119" s="1469"/>
      <c r="R119" s="1469"/>
      <c r="S119" s="1469"/>
      <c r="T119" s="1480"/>
      <c r="U119" s="1469"/>
      <c r="V119" s="1469"/>
      <c r="W119" s="1469"/>
      <c r="X119" s="1469"/>
      <c r="Y119" s="1480"/>
      <c r="Z119" s="1469"/>
      <c r="AA119" s="1469"/>
      <c r="AB119" s="1480"/>
      <c r="AC119" s="1469"/>
      <c r="AD119" s="1469"/>
      <c r="AE119" s="1469"/>
      <c r="AF119" s="1481"/>
      <c r="AH119"/>
      <c r="AI119"/>
      <c r="AJ119"/>
    </row>
    <row r="120" spans="1:36" s="908" customFormat="1" ht="21" customHeight="1" thickBot="1" x14ac:dyDescent="0.25">
      <c r="A120" s="2063">
        <v>1</v>
      </c>
      <c r="B120" s="1473"/>
      <c r="C120" s="2587" t="s">
        <v>1159</v>
      </c>
      <c r="D120" s="2588"/>
      <c r="E120" s="2588"/>
      <c r="F120" s="2588"/>
      <c r="G120" s="2588"/>
      <c r="H120" s="2588"/>
      <c r="I120" s="2588"/>
      <c r="J120" s="2588"/>
      <c r="K120" s="2588"/>
      <c r="L120" s="2588"/>
      <c r="M120" s="2589"/>
      <c r="N120" s="2594"/>
      <c r="O120" s="2594"/>
      <c r="P120" s="1484"/>
      <c r="Q120" s="1484"/>
      <c r="R120" s="1484"/>
      <c r="S120" s="1484"/>
      <c r="T120" s="1487"/>
      <c r="U120" s="1484"/>
      <c r="V120" s="1484"/>
      <c r="W120" s="1484"/>
      <c r="X120" s="1484"/>
      <c r="Y120" s="1487"/>
      <c r="Z120" s="1484"/>
      <c r="AA120" s="1484"/>
      <c r="AB120" s="1487"/>
      <c r="AC120" s="1484"/>
      <c r="AD120" s="1484"/>
      <c r="AE120" s="1484"/>
      <c r="AF120" s="1485"/>
      <c r="AH120"/>
      <c r="AI120"/>
      <c r="AJ120"/>
    </row>
    <row r="121" spans="1:36" s="908" customFormat="1" ht="4.5" customHeight="1" x14ac:dyDescent="0.2">
      <c r="A121" s="2063">
        <v>1</v>
      </c>
      <c r="B121" s="12"/>
      <c r="C121" s="880"/>
      <c r="D121" s="880"/>
      <c r="E121" s="880"/>
      <c r="F121" s="880"/>
      <c r="G121" s="880"/>
      <c r="H121" s="880"/>
      <c r="I121" s="880"/>
      <c r="J121" s="887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888"/>
      <c r="X121" s="2"/>
      <c r="Y121" s="2"/>
      <c r="Z121" s="1"/>
      <c r="AA121" s="2"/>
      <c r="AB121" s="2"/>
      <c r="AC121" s="2"/>
      <c r="AD121" s="2"/>
      <c r="AE121" s="2"/>
      <c r="AF121" s="2"/>
      <c r="AH121"/>
      <c r="AI121"/>
      <c r="AJ121"/>
    </row>
    <row r="122" spans="1:36" s="908" customFormat="1" ht="23.25" customHeight="1" thickBot="1" x14ac:dyDescent="0.3">
      <c r="A122" s="2063">
        <v>1</v>
      </c>
      <c r="B122" s="1468"/>
      <c r="C122" s="2499" t="s">
        <v>740</v>
      </c>
      <c r="D122" s="2499"/>
      <c r="E122" s="2499"/>
      <c r="F122" s="2499"/>
      <c r="G122" s="2499"/>
      <c r="H122" s="2499"/>
      <c r="I122" s="2499"/>
      <c r="J122" s="2499"/>
      <c r="K122" s="2499"/>
      <c r="L122" s="2499"/>
      <c r="M122" s="2499"/>
      <c r="N122" s="2499"/>
      <c r="O122" s="2499"/>
      <c r="P122" s="2499"/>
      <c r="Q122" s="2499"/>
      <c r="R122" s="2499"/>
      <c r="S122" s="2499"/>
      <c r="T122" s="2499"/>
      <c r="U122" s="2499"/>
      <c r="V122" s="2499"/>
      <c r="W122" s="2499"/>
      <c r="X122" s="2499"/>
      <c r="Y122" s="2499"/>
      <c r="Z122" s="2499"/>
      <c r="AA122" s="2499"/>
      <c r="AB122" s="2499"/>
      <c r="AC122" s="2499"/>
      <c r="AD122" s="2499"/>
      <c r="AE122" s="2499"/>
      <c r="AF122" s="2499"/>
      <c r="AH122"/>
      <c r="AI122"/>
      <c r="AJ122"/>
    </row>
    <row r="123" spans="1:36" s="21" customFormat="1" ht="25.5" customHeight="1" thickBot="1" x14ac:dyDescent="0.25">
      <c r="A123" s="2063">
        <f ca="1">IF(SUM($A$124:$A$135)&gt;0,1,0)</f>
        <v>1</v>
      </c>
      <c r="B123" s="1474"/>
      <c r="C123" s="2512" t="s">
        <v>944</v>
      </c>
      <c r="D123" s="2513"/>
      <c r="E123" s="2513"/>
      <c r="F123" s="2513"/>
      <c r="G123" s="2538" t="s">
        <v>66</v>
      </c>
      <c r="H123" s="2538"/>
      <c r="I123" s="2538"/>
      <c r="J123" s="1264"/>
      <c r="K123" s="2561" t="s">
        <v>65</v>
      </c>
      <c r="L123" s="2562"/>
      <c r="M123" s="2563"/>
      <c r="N123" s="1265" t="s">
        <v>58</v>
      </c>
      <c r="O123" s="2476" t="s">
        <v>961</v>
      </c>
      <c r="P123" s="2477"/>
      <c r="Q123" s="2476" t="s">
        <v>962</v>
      </c>
      <c r="R123" s="2509"/>
      <c r="S123" s="2509"/>
      <c r="T123" s="2477"/>
      <c r="U123" s="2481" t="s">
        <v>963</v>
      </c>
      <c r="V123" s="2482"/>
      <c r="W123" s="2482"/>
      <c r="X123" s="2482"/>
      <c r="Y123" s="2482"/>
      <c r="Z123" s="2482"/>
      <c r="AA123" s="2481" t="s">
        <v>964</v>
      </c>
      <c r="AB123" s="2483"/>
      <c r="AC123" s="2503" t="s">
        <v>965</v>
      </c>
      <c r="AD123" s="2504"/>
      <c r="AE123" s="2504"/>
      <c r="AF123" s="2505"/>
      <c r="AG123" s="1183"/>
    </row>
    <row r="124" spans="1:36" ht="18" customHeight="1" x14ac:dyDescent="0.2">
      <c r="A124" s="2063">
        <f t="shared" ref="A124:A135" ca="1" si="2">IF(AND($C124="газетная",$AC124&gt;0,SUM($Z$19:$Z$90)&gt;0),1,0)+IF(AND($C124="офсетная",$AC124&gt;0,SUM($Z$19:$Z$90)&gt;0),1,0)++IF(AND($C124="писчая",$AC124&gt;0,SUM($Z$19:$Z$90)&gt;0),1,0)</f>
        <v>1</v>
      </c>
      <c r="B124" s="1475" t="e">
        <f>Заказ!#REF!</f>
        <v>#REF!</v>
      </c>
      <c r="C124" s="2510" t="str">
        <f t="shared" ref="C124:C135" si="3">IF(ISERR(FIND("газетная",$J124)),IF(ISERR(FIND("офсетная",$J124)),IF(ISERR(FIND("писчая",$J124)),0,"писчая"),"офсетная"),"газетная")</f>
        <v>газетная</v>
      </c>
      <c r="D124" s="2511"/>
      <c r="E124" s="2511"/>
      <c r="F124" s="2511"/>
      <c r="G124" s="2539" t="str">
        <f>Заказ!E35</f>
        <v>66X57,8</v>
      </c>
      <c r="H124" s="2539"/>
      <c r="I124" s="2539"/>
      <c r="J124" s="1248" t="str">
        <f>Заказ!B35</f>
        <v>газетная                              все форматы</v>
      </c>
      <c r="K124" s="2564">
        <f>Заказ!D35</f>
        <v>42</v>
      </c>
      <c r="L124" s="2564"/>
      <c r="M124" s="2564"/>
      <c r="N124" s="1263">
        <f>Заказ!F35</f>
        <v>8</v>
      </c>
      <c r="O124" s="2478">
        <f>Исх!KQ30</f>
        <v>25000</v>
      </c>
      <c r="P124" s="2478"/>
      <c r="Q124" s="2478">
        <f ca="1">Исх!LG30</f>
        <v>4375</v>
      </c>
      <c r="R124" s="2478"/>
      <c r="S124" s="2478"/>
      <c r="T124" s="2478"/>
      <c r="U124" s="2479">
        <f ca="1">O124+Q124</f>
        <v>29375</v>
      </c>
      <c r="V124" s="2480"/>
      <c r="W124" s="2480"/>
      <c r="X124" s="2480"/>
      <c r="Y124" s="2484"/>
      <c r="Z124" s="2485"/>
      <c r="AA124" s="2484"/>
      <c r="AB124" s="2486"/>
      <c r="AC124" s="2506">
        <f ca="1">Заказ!K35</f>
        <v>470.65095000000002</v>
      </c>
      <c r="AD124" s="2507"/>
      <c r="AE124" s="2507"/>
      <c r="AF124" s="2508"/>
      <c r="AH124" s="1183"/>
    </row>
    <row r="125" spans="1:36" ht="18" customHeight="1" x14ac:dyDescent="0.2">
      <c r="A125" s="2063">
        <f t="shared" ca="1" si="2"/>
        <v>1</v>
      </c>
      <c r="B125" s="1219" t="e">
        <f>Заказ!#REF!</f>
        <v>#REF!</v>
      </c>
      <c r="C125" s="2514" t="str">
        <f t="shared" si="3"/>
        <v>газетная</v>
      </c>
      <c r="D125" s="2515"/>
      <c r="E125" s="2515"/>
      <c r="F125" s="2515"/>
      <c r="G125" s="2519" t="str">
        <f>Заказ!E36</f>
        <v>33X57,8</v>
      </c>
      <c r="H125" s="2519"/>
      <c r="I125" s="2519"/>
      <c r="J125" s="1214" t="str">
        <f>Заказ!B36</f>
        <v>газетная.                             все форматы</v>
      </c>
      <c r="K125" s="2495">
        <f>Заказ!D36</f>
        <v>42</v>
      </c>
      <c r="L125" s="2495"/>
      <c r="M125" s="2495"/>
      <c r="N125" s="1262">
        <f>Заказ!F36</f>
        <v>4</v>
      </c>
      <c r="O125" s="2478">
        <f>Исх!KQ31</f>
        <v>25000</v>
      </c>
      <c r="P125" s="2478"/>
      <c r="Q125" s="2478">
        <f ca="1">Исх!LG31</f>
        <v>4375</v>
      </c>
      <c r="R125" s="2478"/>
      <c r="S125" s="2478"/>
      <c r="T125" s="2478"/>
      <c r="U125" s="2479">
        <f t="shared" ref="U125:U135" ca="1" si="4">O125+Q125</f>
        <v>29375</v>
      </c>
      <c r="V125" s="2480"/>
      <c r="W125" s="2480"/>
      <c r="X125" s="2480"/>
      <c r="Y125" s="2487"/>
      <c r="Z125" s="2488"/>
      <c r="AA125" s="2487"/>
      <c r="AB125" s="2489"/>
      <c r="AC125" s="2473">
        <f ca="1">Заказ!K36</f>
        <v>235.32547500000001</v>
      </c>
      <c r="AD125" s="2474"/>
      <c r="AE125" s="2474"/>
      <c r="AF125" s="2475"/>
      <c r="AH125" s="1183"/>
    </row>
    <row r="126" spans="1:36" ht="18" hidden="1" customHeight="1" x14ac:dyDescent="0.2">
      <c r="A126" s="2063">
        <f t="shared" si="2"/>
        <v>0</v>
      </c>
      <c r="B126" s="1219" t="e">
        <f>Заказ!#REF!</f>
        <v>#REF!</v>
      </c>
      <c r="C126" s="2514">
        <f t="shared" si="3"/>
        <v>0</v>
      </c>
      <c r="D126" s="2515"/>
      <c r="E126" s="2515"/>
      <c r="F126" s="2515"/>
      <c r="G126" s="2519" t="str">
        <f>Заказ!E37</f>
        <v>X</v>
      </c>
      <c r="H126" s="2519"/>
      <c r="I126" s="2519"/>
      <c r="J126" s="1214" t="str">
        <f>Заказ!B37</f>
        <v xml:space="preserve"> </v>
      </c>
      <c r="K126" s="2495">
        <f>Заказ!D37</f>
        <v>0</v>
      </c>
      <c r="L126" s="2495"/>
      <c r="M126" s="2495"/>
      <c r="N126" s="1262">
        <f>Заказ!F37</f>
        <v>0</v>
      </c>
      <c r="O126" s="2478">
        <f>Исх!KQ32</f>
        <v>25000</v>
      </c>
      <c r="P126" s="2478"/>
      <c r="Q126" s="2478">
        <f ca="1">Исх!LG32</f>
        <v>4375</v>
      </c>
      <c r="R126" s="2478"/>
      <c r="S126" s="2478"/>
      <c r="T126" s="2478"/>
      <c r="U126" s="2479">
        <f t="shared" ca="1" si="4"/>
        <v>29375</v>
      </c>
      <c r="V126" s="2480"/>
      <c r="W126" s="2480"/>
      <c r="X126" s="2480"/>
      <c r="Y126" s="2487"/>
      <c r="Z126" s="2488"/>
      <c r="AA126" s="2487"/>
      <c r="AB126" s="2489"/>
      <c r="AC126" s="2473">
        <f>Заказ!K37</f>
        <v>0</v>
      </c>
      <c r="AD126" s="2474"/>
      <c r="AE126" s="2474"/>
      <c r="AF126" s="2475"/>
      <c r="AH126" s="1183"/>
    </row>
    <row r="127" spans="1:36" ht="18" hidden="1" customHeight="1" x14ac:dyDescent="0.2">
      <c r="A127" s="2063">
        <f t="shared" si="2"/>
        <v>0</v>
      </c>
      <c r="B127" s="1219" t="e">
        <f>Заказ!#REF!</f>
        <v>#REF!</v>
      </c>
      <c r="C127" s="2514">
        <f t="shared" si="3"/>
        <v>0</v>
      </c>
      <c r="D127" s="2515"/>
      <c r="E127" s="2515"/>
      <c r="F127" s="2515"/>
      <c r="G127" s="2519" t="str">
        <f>Заказ!E38</f>
        <v>X</v>
      </c>
      <c r="H127" s="2519"/>
      <c r="I127" s="2519"/>
      <c r="J127" s="1214" t="str">
        <f>Заказ!B38</f>
        <v xml:space="preserve"> </v>
      </c>
      <c r="K127" s="2495">
        <f>Заказ!D38</f>
        <v>0</v>
      </c>
      <c r="L127" s="2495"/>
      <c r="M127" s="2495"/>
      <c r="N127" s="1262">
        <f>Заказ!F38</f>
        <v>0</v>
      </c>
      <c r="O127" s="2478">
        <f>Исх!KQ33</f>
        <v>25000</v>
      </c>
      <c r="P127" s="2478"/>
      <c r="Q127" s="2478">
        <f ca="1">Исх!LG33</f>
        <v>4375</v>
      </c>
      <c r="R127" s="2478"/>
      <c r="S127" s="2478"/>
      <c r="T127" s="2478"/>
      <c r="U127" s="2479">
        <f t="shared" ca="1" si="4"/>
        <v>29375</v>
      </c>
      <c r="V127" s="2480"/>
      <c r="W127" s="2480"/>
      <c r="X127" s="2480"/>
      <c r="Y127" s="2487"/>
      <c r="Z127" s="2488"/>
      <c r="AA127" s="2487"/>
      <c r="AB127" s="2489"/>
      <c r="AC127" s="2473">
        <f>Заказ!K38</f>
        <v>0</v>
      </c>
      <c r="AD127" s="2474"/>
      <c r="AE127" s="2474"/>
      <c r="AF127" s="2475"/>
      <c r="AH127" s="1183"/>
    </row>
    <row r="128" spans="1:36" ht="18" hidden="1" customHeight="1" x14ac:dyDescent="0.2">
      <c r="A128" s="2063">
        <f t="shared" si="2"/>
        <v>0</v>
      </c>
      <c r="B128" s="1219" t="e">
        <f>Заказ!#REF!</f>
        <v>#REF!</v>
      </c>
      <c r="C128" s="2514">
        <f t="shared" si="3"/>
        <v>0</v>
      </c>
      <c r="D128" s="2515"/>
      <c r="E128" s="2515"/>
      <c r="F128" s="2515"/>
      <c r="G128" s="2519" t="str">
        <f>Заказ!E39</f>
        <v>X</v>
      </c>
      <c r="H128" s="2519"/>
      <c r="I128" s="2519"/>
      <c r="J128" s="1214" t="str">
        <f>Заказ!B39</f>
        <v xml:space="preserve"> </v>
      </c>
      <c r="K128" s="2495">
        <f>Заказ!D39</f>
        <v>0</v>
      </c>
      <c r="L128" s="2495"/>
      <c r="M128" s="2495"/>
      <c r="N128" s="1262">
        <f>Заказ!F39</f>
        <v>0</v>
      </c>
      <c r="O128" s="2478">
        <f>Исх!KQ34</f>
        <v>25000</v>
      </c>
      <c r="P128" s="2478"/>
      <c r="Q128" s="2478">
        <f ca="1">Исх!LG34</f>
        <v>4375</v>
      </c>
      <c r="R128" s="2478"/>
      <c r="S128" s="2478"/>
      <c r="T128" s="2478"/>
      <c r="U128" s="2479">
        <f t="shared" ca="1" si="4"/>
        <v>29375</v>
      </c>
      <c r="V128" s="2480"/>
      <c r="W128" s="2480"/>
      <c r="X128" s="2480"/>
      <c r="Y128" s="2487"/>
      <c r="Z128" s="2488"/>
      <c r="AA128" s="2487"/>
      <c r="AB128" s="2489"/>
      <c r="AC128" s="2473">
        <f>Заказ!K39</f>
        <v>0</v>
      </c>
      <c r="AD128" s="2474"/>
      <c r="AE128" s="2474"/>
      <c r="AF128" s="2475"/>
      <c r="AH128" s="1183"/>
    </row>
    <row r="129" spans="1:36" ht="18" hidden="1" customHeight="1" x14ac:dyDescent="0.2">
      <c r="A129" s="2063">
        <f t="shared" si="2"/>
        <v>0</v>
      </c>
      <c r="B129" s="1219" t="e">
        <f>Заказ!#REF!</f>
        <v>#REF!</v>
      </c>
      <c r="C129" s="2514">
        <f t="shared" si="3"/>
        <v>0</v>
      </c>
      <c r="D129" s="2515"/>
      <c r="E129" s="2515"/>
      <c r="F129" s="2515"/>
      <c r="G129" s="2519" t="str">
        <f>Заказ!E40</f>
        <v>X</v>
      </c>
      <c r="H129" s="2519"/>
      <c r="I129" s="2519"/>
      <c r="J129" s="1214" t="str">
        <f>Заказ!B40</f>
        <v xml:space="preserve"> </v>
      </c>
      <c r="K129" s="2495">
        <f>Заказ!D40</f>
        <v>0</v>
      </c>
      <c r="L129" s="2495"/>
      <c r="M129" s="2495"/>
      <c r="N129" s="1262">
        <f>Заказ!F40</f>
        <v>0</v>
      </c>
      <c r="O129" s="2478">
        <f>Исх!KQ35</f>
        <v>25000</v>
      </c>
      <c r="P129" s="2478"/>
      <c r="Q129" s="2478">
        <f ca="1">Исх!LG35</f>
        <v>4375</v>
      </c>
      <c r="R129" s="2478"/>
      <c r="S129" s="2478"/>
      <c r="T129" s="2478"/>
      <c r="U129" s="2479">
        <f t="shared" ca="1" si="4"/>
        <v>29375</v>
      </c>
      <c r="V129" s="2480"/>
      <c r="W129" s="2480"/>
      <c r="X129" s="2480"/>
      <c r="Y129" s="2487"/>
      <c r="Z129" s="2488"/>
      <c r="AA129" s="2487"/>
      <c r="AB129" s="2489"/>
      <c r="AC129" s="2473">
        <f>Заказ!K40</f>
        <v>0</v>
      </c>
      <c r="AD129" s="2474"/>
      <c r="AE129" s="2474"/>
      <c r="AF129" s="2475"/>
      <c r="AH129" s="1183"/>
    </row>
    <row r="130" spans="1:36" ht="18" hidden="1" customHeight="1" x14ac:dyDescent="0.2">
      <c r="A130" s="2063">
        <f t="shared" si="2"/>
        <v>0</v>
      </c>
      <c r="B130" s="1219" t="e">
        <f>Заказ!#REF!</f>
        <v>#REF!</v>
      </c>
      <c r="C130" s="2514">
        <f t="shared" si="3"/>
        <v>0</v>
      </c>
      <c r="D130" s="2515"/>
      <c r="E130" s="2515"/>
      <c r="F130" s="2515"/>
      <c r="G130" s="2519" t="str">
        <f>Заказ!E41</f>
        <v>X</v>
      </c>
      <c r="H130" s="2519"/>
      <c r="I130" s="2519"/>
      <c r="J130" s="1214" t="str">
        <f>Заказ!B41</f>
        <v xml:space="preserve"> </v>
      </c>
      <c r="K130" s="2495">
        <f>Заказ!D41</f>
        <v>0</v>
      </c>
      <c r="L130" s="2495"/>
      <c r="M130" s="2495"/>
      <c r="N130" s="1262">
        <f>Заказ!F41</f>
        <v>0</v>
      </c>
      <c r="O130" s="2478">
        <f>Исх!KQ36</f>
        <v>25000</v>
      </c>
      <c r="P130" s="2478"/>
      <c r="Q130" s="2478">
        <f ca="1">Исх!LG36</f>
        <v>4375</v>
      </c>
      <c r="R130" s="2478"/>
      <c r="S130" s="2478"/>
      <c r="T130" s="2478"/>
      <c r="U130" s="2479">
        <f t="shared" ca="1" si="4"/>
        <v>29375</v>
      </c>
      <c r="V130" s="2480"/>
      <c r="W130" s="2480"/>
      <c r="X130" s="2480"/>
      <c r="Y130" s="2487"/>
      <c r="Z130" s="2488"/>
      <c r="AA130" s="2487"/>
      <c r="AB130" s="2489"/>
      <c r="AC130" s="2473">
        <f>Заказ!K41</f>
        <v>0</v>
      </c>
      <c r="AD130" s="2474"/>
      <c r="AE130" s="2474"/>
      <c r="AF130" s="2475"/>
      <c r="AH130" s="1183"/>
    </row>
    <row r="131" spans="1:36" ht="18" hidden="1" customHeight="1" x14ac:dyDescent="0.2">
      <c r="A131" s="2063">
        <f t="shared" si="2"/>
        <v>0</v>
      </c>
      <c r="B131" s="1219" t="e">
        <f>Заказ!#REF!</f>
        <v>#REF!</v>
      </c>
      <c r="C131" s="2514">
        <f t="shared" si="3"/>
        <v>0</v>
      </c>
      <c r="D131" s="2515"/>
      <c r="E131" s="2515"/>
      <c r="F131" s="2515"/>
      <c r="G131" s="2519" t="str">
        <f>Заказ!E42</f>
        <v>X</v>
      </c>
      <c r="H131" s="2519"/>
      <c r="I131" s="2519"/>
      <c r="J131" s="1214" t="str">
        <f>Заказ!B42</f>
        <v xml:space="preserve"> </v>
      </c>
      <c r="K131" s="2495">
        <f>Заказ!D42</f>
        <v>0</v>
      </c>
      <c r="L131" s="2495"/>
      <c r="M131" s="2495"/>
      <c r="N131" s="1262">
        <f>Заказ!F42</f>
        <v>0</v>
      </c>
      <c r="O131" s="2478">
        <f>Исх!KQ37</f>
        <v>25000</v>
      </c>
      <c r="P131" s="2478"/>
      <c r="Q131" s="2478">
        <f ca="1">Исх!LG37</f>
        <v>4375</v>
      </c>
      <c r="R131" s="2478"/>
      <c r="S131" s="2478"/>
      <c r="T131" s="2478"/>
      <c r="U131" s="2479">
        <f t="shared" ca="1" si="4"/>
        <v>29375</v>
      </c>
      <c r="V131" s="2480"/>
      <c r="W131" s="2480"/>
      <c r="X131" s="2480"/>
      <c r="Y131" s="2487"/>
      <c r="Z131" s="2488"/>
      <c r="AA131" s="2487"/>
      <c r="AB131" s="2489"/>
      <c r="AC131" s="2473">
        <f>Заказ!K42</f>
        <v>0</v>
      </c>
      <c r="AD131" s="2474"/>
      <c r="AE131" s="2474"/>
      <c r="AF131" s="2475"/>
      <c r="AH131" s="1183"/>
    </row>
    <row r="132" spans="1:36" ht="18" hidden="1" customHeight="1" x14ac:dyDescent="0.2">
      <c r="A132" s="2063">
        <f t="shared" si="2"/>
        <v>0</v>
      </c>
      <c r="B132" s="1219" t="e">
        <f>Заказ!#REF!</f>
        <v>#REF!</v>
      </c>
      <c r="C132" s="2514">
        <f t="shared" si="3"/>
        <v>0</v>
      </c>
      <c r="D132" s="2515"/>
      <c r="E132" s="2515"/>
      <c r="F132" s="2515"/>
      <c r="G132" s="2519" t="str">
        <f>Заказ!E43</f>
        <v>X</v>
      </c>
      <c r="H132" s="2519"/>
      <c r="I132" s="2519"/>
      <c r="J132" s="1214" t="str">
        <f>Заказ!B43</f>
        <v xml:space="preserve"> </v>
      </c>
      <c r="K132" s="2495">
        <f>Заказ!D43</f>
        <v>0</v>
      </c>
      <c r="L132" s="2495"/>
      <c r="M132" s="2495"/>
      <c r="N132" s="1262">
        <f>Заказ!F43</f>
        <v>0</v>
      </c>
      <c r="O132" s="2478">
        <f>Исх!KQ38</f>
        <v>25000</v>
      </c>
      <c r="P132" s="2478"/>
      <c r="Q132" s="2478">
        <f ca="1">Исх!LG38</f>
        <v>4375</v>
      </c>
      <c r="R132" s="2478"/>
      <c r="S132" s="2478"/>
      <c r="T132" s="2478"/>
      <c r="U132" s="2479">
        <f t="shared" ca="1" si="4"/>
        <v>29375</v>
      </c>
      <c r="V132" s="2480"/>
      <c r="W132" s="2480"/>
      <c r="X132" s="2480"/>
      <c r="Y132" s="2487"/>
      <c r="Z132" s="2488"/>
      <c r="AA132" s="2487"/>
      <c r="AB132" s="2489"/>
      <c r="AC132" s="2473">
        <f>Заказ!K43</f>
        <v>0</v>
      </c>
      <c r="AD132" s="2474"/>
      <c r="AE132" s="2474"/>
      <c r="AF132" s="2475"/>
      <c r="AH132" s="1183"/>
    </row>
    <row r="133" spans="1:36" ht="18" hidden="1" customHeight="1" x14ac:dyDescent="0.2">
      <c r="A133" s="2063">
        <f t="shared" si="2"/>
        <v>0</v>
      </c>
      <c r="B133" s="1219" t="e">
        <f>Заказ!#REF!</f>
        <v>#REF!</v>
      </c>
      <c r="C133" s="2514">
        <f t="shared" si="3"/>
        <v>0</v>
      </c>
      <c r="D133" s="2515"/>
      <c r="E133" s="2515"/>
      <c r="F133" s="2515"/>
      <c r="G133" s="2519" t="str">
        <f>Заказ!E44</f>
        <v>X</v>
      </c>
      <c r="H133" s="2519"/>
      <c r="I133" s="2519"/>
      <c r="J133" s="1214" t="str">
        <f>Заказ!B44</f>
        <v xml:space="preserve"> </v>
      </c>
      <c r="K133" s="2495">
        <f>Заказ!D44</f>
        <v>0</v>
      </c>
      <c r="L133" s="2495"/>
      <c r="M133" s="2495"/>
      <c r="N133" s="1262">
        <f>Заказ!F44</f>
        <v>0</v>
      </c>
      <c r="O133" s="2478">
        <f>Исх!KQ39</f>
        <v>25000</v>
      </c>
      <c r="P133" s="2478"/>
      <c r="Q133" s="2478">
        <f ca="1">Исх!LG39</f>
        <v>4375</v>
      </c>
      <c r="R133" s="2478"/>
      <c r="S133" s="2478"/>
      <c r="T133" s="2478"/>
      <c r="U133" s="2479">
        <f t="shared" ca="1" si="4"/>
        <v>29375</v>
      </c>
      <c r="V133" s="2480"/>
      <c r="W133" s="2480"/>
      <c r="X133" s="2480"/>
      <c r="Y133" s="2487"/>
      <c r="Z133" s="2488"/>
      <c r="AA133" s="2487"/>
      <c r="AB133" s="2489"/>
      <c r="AC133" s="2473">
        <f>Заказ!K44</f>
        <v>0</v>
      </c>
      <c r="AD133" s="2474"/>
      <c r="AE133" s="2474"/>
      <c r="AF133" s="2475"/>
      <c r="AH133" s="1183"/>
    </row>
    <row r="134" spans="1:36" ht="18" hidden="1" customHeight="1" x14ac:dyDescent="0.2">
      <c r="A134" s="2063">
        <f t="shared" si="2"/>
        <v>0</v>
      </c>
      <c r="B134" s="1219" t="e">
        <f>Заказ!#REF!</f>
        <v>#REF!</v>
      </c>
      <c r="C134" s="2514">
        <f t="shared" si="3"/>
        <v>0</v>
      </c>
      <c r="D134" s="2515"/>
      <c r="E134" s="2515"/>
      <c r="F134" s="2515"/>
      <c r="G134" s="2519" t="str">
        <f>Заказ!E45</f>
        <v>X</v>
      </c>
      <c r="H134" s="2519"/>
      <c r="I134" s="2519"/>
      <c r="J134" s="1214" t="str">
        <f>Заказ!B45</f>
        <v xml:space="preserve"> </v>
      </c>
      <c r="K134" s="2495">
        <f>Заказ!D45</f>
        <v>0</v>
      </c>
      <c r="L134" s="2495"/>
      <c r="M134" s="2495"/>
      <c r="N134" s="1262">
        <f>Заказ!F45</f>
        <v>0</v>
      </c>
      <c r="O134" s="2478">
        <f>Исх!KQ40</f>
        <v>25000</v>
      </c>
      <c r="P134" s="2478"/>
      <c r="Q134" s="2478">
        <f ca="1">Исх!LG40</f>
        <v>4375</v>
      </c>
      <c r="R134" s="2478"/>
      <c r="S134" s="2478"/>
      <c r="T134" s="2478"/>
      <c r="U134" s="2479">
        <f t="shared" ca="1" si="4"/>
        <v>29375</v>
      </c>
      <c r="V134" s="2480"/>
      <c r="W134" s="2480"/>
      <c r="X134" s="2480"/>
      <c r="Y134" s="2487"/>
      <c r="Z134" s="2488"/>
      <c r="AA134" s="2487"/>
      <c r="AB134" s="2489"/>
      <c r="AC134" s="2473">
        <f>Заказ!K45</f>
        <v>0</v>
      </c>
      <c r="AD134" s="2474"/>
      <c r="AE134" s="2474"/>
      <c r="AF134" s="2475"/>
      <c r="AH134" s="1183"/>
    </row>
    <row r="135" spans="1:36" ht="18" hidden="1" customHeight="1" x14ac:dyDescent="0.2">
      <c r="A135" s="2063">
        <f t="shared" si="2"/>
        <v>0</v>
      </c>
      <c r="B135" s="1219" t="e">
        <f>Заказ!#REF!</f>
        <v>#REF!</v>
      </c>
      <c r="C135" s="2514">
        <f t="shared" si="3"/>
        <v>0</v>
      </c>
      <c r="D135" s="2515"/>
      <c r="E135" s="2515"/>
      <c r="F135" s="2515"/>
      <c r="G135" s="2519" t="str">
        <f>Заказ!E46</f>
        <v>X</v>
      </c>
      <c r="H135" s="2519"/>
      <c r="I135" s="2519"/>
      <c r="J135" s="1214" t="str">
        <f>Заказ!B46</f>
        <v xml:space="preserve"> </v>
      </c>
      <c r="K135" s="2495">
        <f>Заказ!D46</f>
        <v>0</v>
      </c>
      <c r="L135" s="2495"/>
      <c r="M135" s="2495"/>
      <c r="N135" s="1262">
        <f>Заказ!F46</f>
        <v>0</v>
      </c>
      <c r="O135" s="2478">
        <f>Исх!KQ41</f>
        <v>25000</v>
      </c>
      <c r="P135" s="2478"/>
      <c r="Q135" s="2478">
        <f ca="1">Исх!LG41</f>
        <v>4375</v>
      </c>
      <c r="R135" s="2478"/>
      <c r="S135" s="2478"/>
      <c r="T135" s="2478"/>
      <c r="U135" s="2497">
        <f t="shared" ca="1" si="4"/>
        <v>29375</v>
      </c>
      <c r="V135" s="2498"/>
      <c r="W135" s="2498"/>
      <c r="X135" s="2498"/>
      <c r="Y135" s="2487"/>
      <c r="Z135" s="2488"/>
      <c r="AA135" s="2487"/>
      <c r="AB135" s="2489"/>
      <c r="AC135" s="2473">
        <f>Заказ!K46</f>
        <v>0</v>
      </c>
      <c r="AD135" s="2474"/>
      <c r="AE135" s="2474"/>
      <c r="AF135" s="2475"/>
      <c r="AH135" s="1183"/>
    </row>
    <row r="136" spans="1:36" ht="23.25" customHeight="1" thickBot="1" x14ac:dyDescent="0.25">
      <c r="A136" s="2063">
        <v>1</v>
      </c>
      <c r="B136" s="1267"/>
      <c r="C136" s="1266" t="s">
        <v>1158</v>
      </c>
      <c r="D136" s="900"/>
      <c r="E136" s="900"/>
      <c r="F136" s="900"/>
      <c r="G136" s="900"/>
      <c r="H136" s="900"/>
      <c r="I136" s="900"/>
      <c r="J136" s="1267"/>
      <c r="K136" s="900"/>
      <c r="L136" s="900"/>
      <c r="M136" s="900"/>
      <c r="N136" s="900"/>
      <c r="O136" s="900"/>
      <c r="P136" s="900"/>
      <c r="Q136" s="900"/>
      <c r="R136" s="900"/>
      <c r="S136" s="900"/>
      <c r="T136" s="900"/>
      <c r="U136" s="900"/>
      <c r="V136" s="900"/>
      <c r="W136" s="900"/>
      <c r="X136" s="900"/>
      <c r="Y136" s="900"/>
      <c r="Z136" s="900"/>
      <c r="AA136" s="900"/>
      <c r="AB136" s="900"/>
      <c r="AC136" s="900"/>
      <c r="AD136" s="900"/>
      <c r="AE136" s="900"/>
      <c r="AF136" s="904"/>
      <c r="AG136"/>
    </row>
    <row r="137" spans="1:36" s="908" customFormat="1" ht="3" customHeight="1" thickBot="1" x14ac:dyDescent="0.25">
      <c r="A137" s="2063">
        <v>1</v>
      </c>
      <c r="B137" s="864"/>
      <c r="C137" s="244"/>
      <c r="D137" s="244"/>
      <c r="E137" s="244"/>
      <c r="F137" s="244"/>
      <c r="G137" s="244"/>
      <c r="H137" s="244"/>
      <c r="I137" s="244"/>
      <c r="J137" s="864"/>
      <c r="K137" s="244"/>
      <c r="L137" s="244"/>
      <c r="M137" s="244"/>
      <c r="N137" s="244"/>
      <c r="O137" s="244"/>
      <c r="P137" s="244"/>
      <c r="Q137" s="244"/>
      <c r="R137" s="244"/>
      <c r="S137" s="244"/>
      <c r="T137" s="244"/>
      <c r="U137" s="244"/>
      <c r="V137" s="244"/>
      <c r="W137" s="244"/>
      <c r="X137" s="244"/>
      <c r="Y137" s="244"/>
      <c r="Z137" s="244"/>
      <c r="AA137" s="244"/>
      <c r="AB137" s="244"/>
      <c r="AC137" s="244"/>
      <c r="AD137" s="244"/>
      <c r="AE137" s="244"/>
      <c r="AF137" s="244"/>
      <c r="AH137"/>
      <c r="AI137"/>
      <c r="AJ137"/>
    </row>
    <row r="138" spans="1:36" s="908" customFormat="1" ht="22.5" customHeight="1" x14ac:dyDescent="0.2">
      <c r="A138" s="2063">
        <v>1</v>
      </c>
      <c r="B138" s="1468"/>
      <c r="C138" s="2500" t="s">
        <v>929</v>
      </c>
      <c r="D138" s="2501"/>
      <c r="E138" s="2501"/>
      <c r="F138" s="2501"/>
      <c r="G138" s="2501"/>
      <c r="H138" s="2501"/>
      <c r="I138" s="2501"/>
      <c r="J138" s="2501"/>
      <c r="K138" s="2501"/>
      <c r="L138" s="2501"/>
      <c r="M138" s="2501"/>
      <c r="N138" s="2501"/>
      <c r="O138" s="2501"/>
      <c r="P138" s="2501"/>
      <c r="Q138" s="2501"/>
      <c r="R138" s="2502"/>
      <c r="S138" s="2500" t="s">
        <v>930</v>
      </c>
      <c r="T138" s="2501"/>
      <c r="U138" s="2501"/>
      <c r="V138" s="2501"/>
      <c r="W138" s="2501"/>
      <c r="X138" s="2501"/>
      <c r="Y138" s="2501"/>
      <c r="Z138" s="2501"/>
      <c r="AA138" s="2501"/>
      <c r="AB138" s="2501"/>
      <c r="AC138" s="2501"/>
      <c r="AD138" s="2501"/>
      <c r="AE138" s="2501"/>
      <c r="AF138" s="2502"/>
      <c r="AH138"/>
      <c r="AI138"/>
      <c r="AJ138"/>
    </row>
    <row r="139" spans="1:36" s="908" customFormat="1" ht="18" customHeight="1" thickBot="1" x14ac:dyDescent="0.25">
      <c r="A139" s="2063">
        <v>1</v>
      </c>
      <c r="B139" s="1468"/>
      <c r="C139" s="2494" t="s">
        <v>741</v>
      </c>
      <c r="D139" s="2491"/>
      <c r="E139" s="2491"/>
      <c r="F139" s="2491"/>
      <c r="G139" s="2491"/>
      <c r="H139" s="2492"/>
      <c r="I139" s="2490" t="s">
        <v>742</v>
      </c>
      <c r="J139" s="2491"/>
      <c r="K139" s="2491"/>
      <c r="L139" s="2492"/>
      <c r="M139" s="2490" t="s">
        <v>743</v>
      </c>
      <c r="N139" s="2491"/>
      <c r="O139" s="2492"/>
      <c r="P139" s="2490" t="s">
        <v>744</v>
      </c>
      <c r="Q139" s="2491"/>
      <c r="R139" s="2493"/>
      <c r="S139" s="2494" t="s">
        <v>741</v>
      </c>
      <c r="T139" s="2491"/>
      <c r="U139" s="2491"/>
      <c r="V139" s="2491"/>
      <c r="W139" s="2491"/>
      <c r="X139" s="2492"/>
      <c r="Y139" s="2490" t="s">
        <v>742</v>
      </c>
      <c r="Z139" s="2492"/>
      <c r="AA139" s="2491" t="s">
        <v>743</v>
      </c>
      <c r="AB139" s="2491"/>
      <c r="AC139" s="2492"/>
      <c r="AD139" s="2490" t="s">
        <v>744</v>
      </c>
      <c r="AE139" s="2491"/>
      <c r="AF139" s="2493"/>
      <c r="AH139"/>
      <c r="AI139"/>
      <c r="AJ139"/>
    </row>
    <row r="140" spans="1:36" s="908" customFormat="1" ht="21" customHeight="1" x14ac:dyDescent="0.2">
      <c r="A140" s="2063">
        <v>1</v>
      </c>
      <c r="B140" s="905"/>
      <c r="C140" s="889"/>
      <c r="D140" s="142"/>
      <c r="E140" s="142"/>
      <c r="F140" s="142"/>
      <c r="G140" s="142"/>
      <c r="H140" s="890"/>
      <c r="I140" s="547"/>
      <c r="J140" s="891"/>
      <c r="K140" s="142"/>
      <c r="L140" s="890"/>
      <c r="M140" s="547"/>
      <c r="N140" s="142"/>
      <c r="O140" s="890"/>
      <c r="P140" s="547"/>
      <c r="Q140" s="142"/>
      <c r="R140" s="892"/>
      <c r="S140" s="889"/>
      <c r="T140" s="142"/>
      <c r="U140" s="142"/>
      <c r="V140" s="142"/>
      <c r="W140" s="142"/>
      <c r="X140" s="890"/>
      <c r="Y140" s="547"/>
      <c r="Z140" s="890"/>
      <c r="AA140" s="547"/>
      <c r="AB140" s="142"/>
      <c r="AC140" s="890"/>
      <c r="AD140" s="547"/>
      <c r="AE140" s="142"/>
      <c r="AF140" s="892"/>
      <c r="AH140"/>
      <c r="AI140"/>
      <c r="AJ140"/>
    </row>
    <row r="141" spans="1:36" s="908" customFormat="1" ht="21" customHeight="1" x14ac:dyDescent="0.2">
      <c r="A141" s="2063">
        <v>1</v>
      </c>
      <c r="B141" s="1476"/>
      <c r="C141" s="893"/>
      <c r="D141" s="894"/>
      <c r="E141" s="894"/>
      <c r="F141" s="894"/>
      <c r="G141" s="894"/>
      <c r="H141" s="895"/>
      <c r="I141" s="896"/>
      <c r="J141" s="897"/>
      <c r="K141" s="894"/>
      <c r="L141" s="895"/>
      <c r="M141" s="896"/>
      <c r="N141" s="894"/>
      <c r="O141" s="895"/>
      <c r="P141" s="896"/>
      <c r="Q141" s="894"/>
      <c r="R141" s="898"/>
      <c r="S141" s="893"/>
      <c r="T141" s="894"/>
      <c r="U141" s="894"/>
      <c r="V141" s="894"/>
      <c r="W141" s="894"/>
      <c r="X141" s="895"/>
      <c r="Y141" s="896"/>
      <c r="Z141" s="895"/>
      <c r="AA141" s="896"/>
      <c r="AB141" s="894"/>
      <c r="AC141" s="895"/>
      <c r="AD141" s="896"/>
      <c r="AE141" s="894"/>
      <c r="AF141" s="898"/>
      <c r="AH141"/>
      <c r="AI141"/>
      <c r="AJ141"/>
    </row>
    <row r="142" spans="1:36" s="908" customFormat="1" ht="21" customHeight="1" x14ac:dyDescent="0.2">
      <c r="A142" s="2063">
        <v>1</v>
      </c>
      <c r="B142" s="1476"/>
      <c r="C142" s="893"/>
      <c r="D142" s="894"/>
      <c r="E142" s="894"/>
      <c r="F142" s="894"/>
      <c r="G142" s="894"/>
      <c r="H142" s="895"/>
      <c r="I142" s="896"/>
      <c r="J142" s="897"/>
      <c r="K142" s="894"/>
      <c r="L142" s="895"/>
      <c r="M142" s="896"/>
      <c r="N142" s="894"/>
      <c r="O142" s="895"/>
      <c r="P142" s="896"/>
      <c r="Q142" s="894"/>
      <c r="R142" s="898"/>
      <c r="S142" s="893"/>
      <c r="T142" s="894"/>
      <c r="U142" s="894"/>
      <c r="V142" s="894"/>
      <c r="W142" s="894"/>
      <c r="X142" s="895"/>
      <c r="Y142" s="896"/>
      <c r="Z142" s="895"/>
      <c r="AA142" s="896"/>
      <c r="AB142" s="894"/>
      <c r="AC142" s="895"/>
      <c r="AD142" s="896"/>
      <c r="AE142" s="894"/>
      <c r="AF142" s="898"/>
      <c r="AH142"/>
      <c r="AI142"/>
      <c r="AJ142"/>
    </row>
    <row r="143" spans="1:36" s="908" customFormat="1" ht="21" customHeight="1" x14ac:dyDescent="0.2">
      <c r="A143" s="2063">
        <v>1</v>
      </c>
      <c r="B143" s="1476"/>
      <c r="C143" s="893"/>
      <c r="D143" s="894"/>
      <c r="E143" s="894"/>
      <c r="F143" s="894"/>
      <c r="G143" s="894"/>
      <c r="H143" s="895"/>
      <c r="I143" s="896"/>
      <c r="J143" s="897"/>
      <c r="K143" s="894"/>
      <c r="L143" s="895"/>
      <c r="M143" s="896"/>
      <c r="N143" s="894"/>
      <c r="O143" s="895"/>
      <c r="P143" s="896"/>
      <c r="Q143" s="894"/>
      <c r="R143" s="898"/>
      <c r="S143" s="893"/>
      <c r="T143" s="894"/>
      <c r="U143" s="894"/>
      <c r="V143" s="894"/>
      <c r="W143" s="894"/>
      <c r="X143" s="895"/>
      <c r="Y143" s="896"/>
      <c r="Z143" s="895"/>
      <c r="AA143" s="896"/>
      <c r="AB143" s="894"/>
      <c r="AC143" s="895"/>
      <c r="AD143" s="896"/>
      <c r="AE143" s="894"/>
      <c r="AF143" s="898"/>
      <c r="AH143"/>
      <c r="AI143"/>
      <c r="AJ143"/>
    </row>
    <row r="144" spans="1:36" s="908" customFormat="1" ht="21" customHeight="1" x14ac:dyDescent="0.2">
      <c r="A144" s="2063">
        <v>1</v>
      </c>
      <c r="B144" s="1476"/>
      <c r="C144" s="893"/>
      <c r="D144" s="894"/>
      <c r="E144" s="894"/>
      <c r="F144" s="894"/>
      <c r="G144" s="894"/>
      <c r="H144" s="895"/>
      <c r="I144" s="896"/>
      <c r="J144" s="897"/>
      <c r="K144" s="894"/>
      <c r="L144" s="895"/>
      <c r="M144" s="896"/>
      <c r="N144" s="894"/>
      <c r="O144" s="895"/>
      <c r="P144" s="896"/>
      <c r="Q144" s="894"/>
      <c r="R144" s="898"/>
      <c r="S144" s="893"/>
      <c r="T144" s="894"/>
      <c r="U144" s="894"/>
      <c r="V144" s="894"/>
      <c r="W144" s="894"/>
      <c r="X144" s="895"/>
      <c r="Y144" s="896"/>
      <c r="Z144" s="895"/>
      <c r="AA144" s="896"/>
      <c r="AB144" s="894"/>
      <c r="AC144" s="895"/>
      <c r="AD144" s="896"/>
      <c r="AE144" s="894"/>
      <c r="AF144" s="898"/>
      <c r="AH144"/>
      <c r="AI144"/>
      <c r="AJ144"/>
    </row>
    <row r="145" spans="1:36" s="908" customFormat="1" ht="21" customHeight="1" x14ac:dyDescent="0.2">
      <c r="A145" s="2063">
        <v>1</v>
      </c>
      <c r="B145" s="1476"/>
      <c r="C145" s="893"/>
      <c r="D145" s="894"/>
      <c r="E145" s="894"/>
      <c r="F145" s="894"/>
      <c r="G145" s="894"/>
      <c r="H145" s="895"/>
      <c r="I145" s="896"/>
      <c r="J145" s="897"/>
      <c r="K145" s="894"/>
      <c r="L145" s="895"/>
      <c r="M145" s="896"/>
      <c r="N145" s="894"/>
      <c r="O145" s="895"/>
      <c r="P145" s="896"/>
      <c r="Q145" s="894"/>
      <c r="R145" s="898"/>
      <c r="S145" s="893"/>
      <c r="T145" s="894"/>
      <c r="U145" s="894"/>
      <c r="V145" s="894"/>
      <c r="W145" s="894"/>
      <c r="X145" s="895"/>
      <c r="Y145" s="896"/>
      <c r="Z145" s="895"/>
      <c r="AA145" s="896"/>
      <c r="AB145" s="894"/>
      <c r="AC145" s="895"/>
      <c r="AD145" s="896"/>
      <c r="AE145" s="894"/>
      <c r="AF145" s="898"/>
      <c r="AH145"/>
      <c r="AI145"/>
      <c r="AJ145"/>
    </row>
    <row r="146" spans="1:36" s="908" customFormat="1" ht="21" customHeight="1" thickBot="1" x14ac:dyDescent="0.25">
      <c r="A146" s="2063">
        <v>1</v>
      </c>
      <c r="B146" s="1267"/>
      <c r="C146" s="899"/>
      <c r="D146" s="900"/>
      <c r="E146" s="900"/>
      <c r="F146" s="900"/>
      <c r="G146" s="900"/>
      <c r="H146" s="901"/>
      <c r="I146" s="902"/>
      <c r="J146" s="903"/>
      <c r="K146" s="900"/>
      <c r="L146" s="901"/>
      <c r="M146" s="902"/>
      <c r="N146" s="900"/>
      <c r="O146" s="901"/>
      <c r="P146" s="902"/>
      <c r="Q146" s="900"/>
      <c r="R146" s="904"/>
      <c r="S146" s="899"/>
      <c r="T146" s="900"/>
      <c r="U146" s="900"/>
      <c r="V146" s="900"/>
      <c r="W146" s="900"/>
      <c r="X146" s="901"/>
      <c r="Y146" s="902"/>
      <c r="Z146" s="901"/>
      <c r="AA146" s="902"/>
      <c r="AB146" s="900"/>
      <c r="AC146" s="901"/>
      <c r="AD146" s="902"/>
      <c r="AE146" s="900"/>
      <c r="AF146" s="904"/>
      <c r="AH146"/>
      <c r="AI146"/>
      <c r="AJ146"/>
    </row>
    <row r="147" spans="1:36" s="908" customFormat="1" ht="3" customHeight="1" x14ac:dyDescent="0.2">
      <c r="A147" s="2063">
        <v>1</v>
      </c>
      <c r="B147" s="57"/>
      <c r="C147"/>
      <c r="D147"/>
      <c r="E147"/>
      <c r="F147"/>
      <c r="G147"/>
      <c r="H147"/>
      <c r="I147"/>
      <c r="J147" s="5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H147"/>
      <c r="AI147"/>
      <c r="AJ147"/>
    </row>
    <row r="148" spans="1:36" s="908" customFormat="1" ht="15" customHeight="1" x14ac:dyDescent="0.2">
      <c r="A148" s="2063">
        <v>1</v>
      </c>
      <c r="B148" s="913"/>
      <c r="C148" t="s">
        <v>749</v>
      </c>
      <c r="D148"/>
      <c r="E148"/>
      <c r="F148"/>
      <c r="G148" s="37"/>
      <c r="H148" s="142"/>
      <c r="I148" s="142"/>
      <c r="J148" s="905"/>
      <c r="K148" s="142"/>
      <c r="L148" s="142"/>
      <c r="M148" s="142"/>
      <c r="N148" s="142"/>
      <c r="O148"/>
      <c r="P148"/>
      <c r="Q148"/>
      <c r="R148"/>
      <c r="S148" t="s">
        <v>745</v>
      </c>
      <c r="T148"/>
      <c r="U148" s="142"/>
      <c r="V148" s="142"/>
      <c r="W148" s="142"/>
      <c r="X148" s="142"/>
      <c r="Y148" s="37"/>
      <c r="Z148" s="2496" t="s">
        <v>746</v>
      </c>
      <c r="AA148" s="2496"/>
      <c r="AB148" s="2496"/>
      <c r="AC148" s="142"/>
      <c r="AD148" s="142"/>
      <c r="AE148" s="142"/>
      <c r="AF148" s="142"/>
      <c r="AH148"/>
      <c r="AI148"/>
      <c r="AJ148"/>
    </row>
    <row r="149" spans="1:36" s="908" customFormat="1" ht="24" customHeight="1" x14ac:dyDescent="0.2">
      <c r="A149" s="2063">
        <v>0</v>
      </c>
      <c r="B149" s="57"/>
      <c r="C149"/>
      <c r="D149"/>
      <c r="E149"/>
      <c r="F149"/>
      <c r="G149"/>
      <c r="H149"/>
      <c r="I149"/>
      <c r="J149" s="57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H149"/>
      <c r="AI149"/>
      <c r="AJ149"/>
    </row>
    <row r="150" spans="1:36" x14ac:dyDescent="0.2">
      <c r="A150" s="2063">
        <v>0</v>
      </c>
    </row>
    <row r="151" spans="1:36" x14ac:dyDescent="0.2">
      <c r="B151" s="852"/>
      <c r="D151" s="909"/>
      <c r="F151" s="909"/>
      <c r="H151" s="909"/>
      <c r="J151" s="909"/>
      <c r="L151" s="909"/>
      <c r="N151" s="909"/>
      <c r="P151" s="909"/>
      <c r="R151" s="909"/>
      <c r="T151" s="909"/>
      <c r="V151" s="909"/>
      <c r="X151" s="909"/>
      <c r="Z151" s="909"/>
      <c r="AB151" s="909"/>
      <c r="AD151" s="909"/>
      <c r="AF151" s="909"/>
      <c r="AG151"/>
    </row>
    <row r="154" spans="1:36" x14ac:dyDescent="0.2">
      <c r="J154"/>
      <c r="AG154"/>
    </row>
  </sheetData>
  <sheetProtection formatRows="0"/>
  <mergeCells count="282">
    <mergeCell ref="N120:O120"/>
    <mergeCell ref="C113:M113"/>
    <mergeCell ref="C114:M114"/>
    <mergeCell ref="C115:M115"/>
    <mergeCell ref="C116:M116"/>
    <mergeCell ref="C117:M117"/>
    <mergeCell ref="C118:M118"/>
    <mergeCell ref="C119:M119"/>
    <mergeCell ref="N113:O113"/>
    <mergeCell ref="N114:O114"/>
    <mergeCell ref="B16:B17"/>
    <mergeCell ref="C19:C90"/>
    <mergeCell ref="C104:M104"/>
    <mergeCell ref="C103:M103"/>
    <mergeCell ref="C105:M105"/>
    <mergeCell ref="C106:M106"/>
    <mergeCell ref="C107:M107"/>
    <mergeCell ref="C108:M108"/>
    <mergeCell ref="C120:M120"/>
    <mergeCell ref="C109:M109"/>
    <mergeCell ref="C110:M110"/>
    <mergeCell ref="C111:M111"/>
    <mergeCell ref="C112:M112"/>
    <mergeCell ref="I19:I90"/>
    <mergeCell ref="N94:O94"/>
    <mergeCell ref="N96:O96"/>
    <mergeCell ref="N97:O97"/>
    <mergeCell ref="N99:O99"/>
    <mergeCell ref="N100:O100"/>
    <mergeCell ref="N101:O101"/>
    <mergeCell ref="N102:O102"/>
    <mergeCell ref="C102:M102"/>
    <mergeCell ref="C101:M101"/>
    <mergeCell ref="C100:M100"/>
    <mergeCell ref="C99:M99"/>
    <mergeCell ref="C96:M96"/>
    <mergeCell ref="C97:M97"/>
    <mergeCell ref="C98:M98"/>
    <mergeCell ref="C95:M95"/>
    <mergeCell ref="C94:M94"/>
    <mergeCell ref="P94:S94"/>
    <mergeCell ref="Y94:AA94"/>
    <mergeCell ref="AB94:AF94"/>
    <mergeCell ref="T94:X94"/>
    <mergeCell ref="K123:M123"/>
    <mergeCell ref="K124:M124"/>
    <mergeCell ref="K125:M125"/>
    <mergeCell ref="K126:M126"/>
    <mergeCell ref="K127:M127"/>
    <mergeCell ref="U127:X127"/>
    <mergeCell ref="AA126:AB126"/>
    <mergeCell ref="AA127:AB127"/>
    <mergeCell ref="Y126:Z126"/>
    <mergeCell ref="Y127:Z127"/>
    <mergeCell ref="N116:O116"/>
    <mergeCell ref="N117:O117"/>
    <mergeCell ref="N119:O119"/>
    <mergeCell ref="N103:O103"/>
    <mergeCell ref="N104:O104"/>
    <mergeCell ref="N106:O106"/>
    <mergeCell ref="N107:O107"/>
    <mergeCell ref="N108:O108"/>
    <mergeCell ref="N110:O110"/>
    <mergeCell ref="N111:O111"/>
    <mergeCell ref="K130:M130"/>
    <mergeCell ref="K131:M131"/>
    <mergeCell ref="G135:I135"/>
    <mergeCell ref="G134:I134"/>
    <mergeCell ref="G133:I133"/>
    <mergeCell ref="G132:I132"/>
    <mergeCell ref="G131:I131"/>
    <mergeCell ref="G130:I130"/>
    <mergeCell ref="G129:I129"/>
    <mergeCell ref="C6:I6"/>
    <mergeCell ref="K6:O6"/>
    <mergeCell ref="K8:R8"/>
    <mergeCell ref="AD8:AE8"/>
    <mergeCell ref="G10:Y10"/>
    <mergeCell ref="AA10:AE10"/>
    <mergeCell ref="C4:F5"/>
    <mergeCell ref="G4:I4"/>
    <mergeCell ref="K4:O4"/>
    <mergeCell ref="U4:Y5"/>
    <mergeCell ref="Z4:AA4"/>
    <mergeCell ref="AB4:AF4"/>
    <mergeCell ref="G5:I5"/>
    <mergeCell ref="K5:O5"/>
    <mergeCell ref="Z5:AA5"/>
    <mergeCell ref="AB5:AF5"/>
    <mergeCell ref="G127:I127"/>
    <mergeCell ref="C130:F130"/>
    <mergeCell ref="C129:F129"/>
    <mergeCell ref="C128:F128"/>
    <mergeCell ref="AA12:AE12"/>
    <mergeCell ref="C16:H17"/>
    <mergeCell ref="I16:I17"/>
    <mergeCell ref="J16:J17"/>
    <mergeCell ref="K16:V17"/>
    <mergeCell ref="W16:Y17"/>
    <mergeCell ref="Z16:AC16"/>
    <mergeCell ref="AD16:AF17"/>
    <mergeCell ref="AA17:AC17"/>
    <mergeCell ref="I14:U14"/>
    <mergeCell ref="C127:F127"/>
    <mergeCell ref="C126:F126"/>
    <mergeCell ref="C125:F125"/>
    <mergeCell ref="G123:I123"/>
    <mergeCell ref="G124:I124"/>
    <mergeCell ref="G126:I126"/>
    <mergeCell ref="G125:I125"/>
    <mergeCell ref="G128:I128"/>
    <mergeCell ref="K129:M129"/>
    <mergeCell ref="K128:M128"/>
    <mergeCell ref="W92:Y92"/>
    <mergeCell ref="W19:Y19"/>
    <mergeCell ref="W20:Y20"/>
    <mergeCell ref="W21:Y21"/>
    <mergeCell ref="W22:Y22"/>
    <mergeCell ref="W87:Y87"/>
    <mergeCell ref="W88:Y88"/>
    <mergeCell ref="W89:Y89"/>
    <mergeCell ref="W86:Y86"/>
    <mergeCell ref="W23:Y23"/>
    <mergeCell ref="W47:Y47"/>
    <mergeCell ref="W75:Y75"/>
    <mergeCell ref="W76:Y76"/>
    <mergeCell ref="W90:Y90"/>
    <mergeCell ref="W77:Y77"/>
    <mergeCell ref="W78:Y78"/>
    <mergeCell ref="W48:Y48"/>
    <mergeCell ref="W49:Y49"/>
    <mergeCell ref="W50:Y50"/>
    <mergeCell ref="W51:Y51"/>
    <mergeCell ref="W52:Y52"/>
    <mergeCell ref="W33:Y33"/>
    <mergeCell ref="W34:Y34"/>
    <mergeCell ref="W35:Y35"/>
    <mergeCell ref="C139:H139"/>
    <mergeCell ref="I139:L139"/>
    <mergeCell ref="C122:AF122"/>
    <mergeCell ref="Q128:T128"/>
    <mergeCell ref="AC128:AF128"/>
    <mergeCell ref="Q127:T127"/>
    <mergeCell ref="AC127:AF127"/>
    <mergeCell ref="C138:R138"/>
    <mergeCell ref="S138:AF138"/>
    <mergeCell ref="AC123:AF123"/>
    <mergeCell ref="Q124:T124"/>
    <mergeCell ref="AC124:AF124"/>
    <mergeCell ref="AC126:AF126"/>
    <mergeCell ref="Q123:T123"/>
    <mergeCell ref="C124:F124"/>
    <mergeCell ref="AC125:AF125"/>
    <mergeCell ref="Q126:T126"/>
    <mergeCell ref="AC133:AF133"/>
    <mergeCell ref="C123:F123"/>
    <mergeCell ref="C135:F135"/>
    <mergeCell ref="C134:F134"/>
    <mergeCell ref="C133:F133"/>
    <mergeCell ref="C132:F132"/>
    <mergeCell ref="C131:F131"/>
    <mergeCell ref="AD139:AF139"/>
    <mergeCell ref="Z148:AB148"/>
    <mergeCell ref="Y139:Z139"/>
    <mergeCell ref="AA139:AC139"/>
    <mergeCell ref="K133:M133"/>
    <mergeCell ref="K134:M134"/>
    <mergeCell ref="K135:M135"/>
    <mergeCell ref="AC135:AF135"/>
    <mergeCell ref="Q135:T135"/>
    <mergeCell ref="Q134:T134"/>
    <mergeCell ref="AC134:AF134"/>
    <mergeCell ref="Q133:T133"/>
    <mergeCell ref="O133:P133"/>
    <mergeCell ref="O134:P134"/>
    <mergeCell ref="O135:P135"/>
    <mergeCell ref="AA133:AB133"/>
    <mergeCell ref="AA134:AB134"/>
    <mergeCell ref="AA135:AB135"/>
    <mergeCell ref="U135:X135"/>
    <mergeCell ref="Y133:Z133"/>
    <mergeCell ref="Y134:Z134"/>
    <mergeCell ref="Y135:Z135"/>
    <mergeCell ref="U133:X133"/>
    <mergeCell ref="U134:X134"/>
    <mergeCell ref="AA125:AB125"/>
    <mergeCell ref="U128:X128"/>
    <mergeCell ref="U129:X129"/>
    <mergeCell ref="U130:X130"/>
    <mergeCell ref="AA129:AB129"/>
    <mergeCell ref="AA130:AB130"/>
    <mergeCell ref="M139:O139"/>
    <mergeCell ref="P139:R139"/>
    <mergeCell ref="S139:X139"/>
    <mergeCell ref="AA131:AB131"/>
    <mergeCell ref="AA132:AB132"/>
    <mergeCell ref="Y129:Z129"/>
    <mergeCell ref="Y130:Z130"/>
    <mergeCell ref="Y131:Z131"/>
    <mergeCell ref="Y132:Z132"/>
    <mergeCell ref="K132:M132"/>
    <mergeCell ref="Q131:T131"/>
    <mergeCell ref="Q130:T130"/>
    <mergeCell ref="Q132:T132"/>
    <mergeCell ref="O132:P132"/>
    <mergeCell ref="U131:X131"/>
    <mergeCell ref="U132:X132"/>
    <mergeCell ref="AA128:AB128"/>
    <mergeCell ref="Y128:Z128"/>
    <mergeCell ref="S2:AF2"/>
    <mergeCell ref="AC132:AF132"/>
    <mergeCell ref="O123:P123"/>
    <mergeCell ref="O124:P124"/>
    <mergeCell ref="O125:P125"/>
    <mergeCell ref="O126:P126"/>
    <mergeCell ref="O127:P127"/>
    <mergeCell ref="O128:P128"/>
    <mergeCell ref="O129:P129"/>
    <mergeCell ref="O130:P130"/>
    <mergeCell ref="O131:P131"/>
    <mergeCell ref="AC131:AF131"/>
    <mergeCell ref="AC130:AF130"/>
    <mergeCell ref="Q129:T129"/>
    <mergeCell ref="AC129:AF129"/>
    <mergeCell ref="Q125:T125"/>
    <mergeCell ref="U124:X124"/>
    <mergeCell ref="U125:X125"/>
    <mergeCell ref="U126:X126"/>
    <mergeCell ref="U123:Z123"/>
    <mergeCell ref="AA123:AB123"/>
    <mergeCell ref="Y124:Z124"/>
    <mergeCell ref="AA124:AB124"/>
    <mergeCell ref="Y125:Z125"/>
    <mergeCell ref="W36:Y36"/>
    <mergeCell ref="W37:Y37"/>
    <mergeCell ref="W38:Y38"/>
    <mergeCell ref="W39:Y39"/>
    <mergeCell ref="W40:Y40"/>
    <mergeCell ref="W41:Y41"/>
    <mergeCell ref="W24:Y24"/>
    <mergeCell ref="W25:Y25"/>
    <mergeCell ref="W26:Y26"/>
    <mergeCell ref="W27:Y27"/>
    <mergeCell ref="W28:Y28"/>
    <mergeCell ref="W29:Y29"/>
    <mergeCell ref="W30:Y30"/>
    <mergeCell ref="W31:Y31"/>
    <mergeCell ref="W32:Y32"/>
    <mergeCell ref="W42:Y42"/>
    <mergeCell ref="W43:Y43"/>
    <mergeCell ref="W44:Y44"/>
    <mergeCell ref="W45:Y45"/>
    <mergeCell ref="W46:Y46"/>
    <mergeCell ref="W56:Y56"/>
    <mergeCell ref="W57:Y57"/>
    <mergeCell ref="W58:Y58"/>
    <mergeCell ref="W59:Y59"/>
    <mergeCell ref="W53:Y53"/>
    <mergeCell ref="W54:Y54"/>
    <mergeCell ref="W55:Y55"/>
    <mergeCell ref="W60:Y60"/>
    <mergeCell ref="W61:Y61"/>
    <mergeCell ref="W62:Y62"/>
    <mergeCell ref="W63:Y63"/>
    <mergeCell ref="W64:Y64"/>
    <mergeCell ref="W65:Y65"/>
    <mergeCell ref="W66:Y66"/>
    <mergeCell ref="W67:Y67"/>
    <mergeCell ref="W68:Y68"/>
    <mergeCell ref="W85:Y85"/>
    <mergeCell ref="W69:Y69"/>
    <mergeCell ref="W70:Y70"/>
    <mergeCell ref="W79:Y79"/>
    <mergeCell ref="W80:Y80"/>
    <mergeCell ref="W81:Y81"/>
    <mergeCell ref="W82:Y82"/>
    <mergeCell ref="W83:Y83"/>
    <mergeCell ref="W84:Y84"/>
    <mergeCell ref="W71:Y71"/>
    <mergeCell ref="W72:Y72"/>
    <mergeCell ref="W73:Y73"/>
    <mergeCell ref="W74:Y74"/>
  </mergeCells>
  <conditionalFormatting sqref="D125:F135 C124:C135 Y124:Y135 AC124:AF135 U126:Z135 G124:U135 C126:F135 AB126:AB135">
    <cfRule type="expression" dxfId="20" priority="16">
      <formula>$AC124&gt;0</formula>
    </cfRule>
  </conditionalFormatting>
  <conditionalFormatting sqref="W126:W135">
    <cfRule type="expression" dxfId="19" priority="15">
      <formula>$AC126&gt;0</formula>
    </cfRule>
  </conditionalFormatting>
  <conditionalFormatting sqref="W126">
    <cfRule type="expression" dxfId="18" priority="13">
      <formula>$AC126&gt;0</formula>
    </cfRule>
  </conditionalFormatting>
  <conditionalFormatting sqref="W127">
    <cfRule type="expression" dxfId="17" priority="12">
      <formula>$AC127&gt;0</formula>
    </cfRule>
  </conditionalFormatting>
  <conditionalFormatting sqref="W128">
    <cfRule type="expression" dxfId="16" priority="11">
      <formula>$AC128&gt;0</formula>
    </cfRule>
  </conditionalFormatting>
  <conditionalFormatting sqref="W129">
    <cfRule type="expression" dxfId="15" priority="10">
      <formula>$AC129&gt;0</formula>
    </cfRule>
  </conditionalFormatting>
  <conditionalFormatting sqref="W130">
    <cfRule type="expression" dxfId="14" priority="9">
      <formula>$AC130&gt;0</formula>
    </cfRule>
  </conditionalFormatting>
  <conditionalFormatting sqref="W131">
    <cfRule type="expression" dxfId="13" priority="8">
      <formula>$AC131&gt;0</formula>
    </cfRule>
  </conditionalFormatting>
  <conditionalFormatting sqref="W132">
    <cfRule type="expression" dxfId="12" priority="7">
      <formula>$AC132&gt;0</formula>
    </cfRule>
  </conditionalFormatting>
  <conditionalFormatting sqref="W133">
    <cfRule type="expression" dxfId="11" priority="6">
      <formula>$AC133&gt;0</formula>
    </cfRule>
  </conditionalFormatting>
  <conditionalFormatting sqref="W134">
    <cfRule type="expression" dxfId="10" priority="5">
      <formula>$AC134&gt;0</formula>
    </cfRule>
  </conditionalFormatting>
  <conditionalFormatting sqref="W135">
    <cfRule type="expression" dxfId="9" priority="4">
      <formula>$AC135&gt;0</formula>
    </cfRule>
  </conditionalFormatting>
  <conditionalFormatting sqref="AA124:AA135">
    <cfRule type="expression" dxfId="8" priority="2">
      <formula>$AC124&gt;0</formula>
    </cfRule>
  </conditionalFormatting>
  <conditionalFormatting sqref="B124:B135">
    <cfRule type="expression" dxfId="7" priority="1">
      <formula>$AC124&gt;0</formula>
    </cfRule>
  </conditionalFormatting>
  <pageMargins left="0.35433070866141736" right="0.27559055118110237" top="0.31496062992125984" bottom="0.31496062992125984" header="0.19685039370078741" footer="0.15748031496062992"/>
  <pageSetup paperSize="9" scale="32" orientation="portrait" r:id="rId1"/>
  <headerFooter>
    <oddFooter>&amp;RРаспечатал:  buh_econom,  27.03.2018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Кнопка3_СкрытьCityLine">
                <anchor moveWithCells="1" sizeWithCells="1">
                  <from>
                    <xdr:col>21</xdr:col>
                    <xdr:colOff>114300</xdr:colOff>
                    <xdr:row>12</xdr:row>
                    <xdr:rowOff>57150</xdr:rowOff>
                  </from>
                  <to>
                    <xdr:col>25</xdr:col>
                    <xdr:colOff>609600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Кнопка4_РазвернутьCityLine">
                <anchor moveWithCells="1" sizeWithCells="1">
                  <from>
                    <xdr:col>26</xdr:col>
                    <xdr:colOff>47625</xdr:colOff>
                    <xdr:row>12</xdr:row>
                    <xdr:rowOff>66675</xdr:rowOff>
                  </from>
                  <to>
                    <xdr:col>31</xdr:col>
                    <xdr:colOff>209550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pageSetUpPr fitToPage="1"/>
  </sheetPr>
  <dimension ref="A1:K218"/>
  <sheetViews>
    <sheetView zoomScale="85" zoomScaleNormal="85" zoomScaleSheetLayoutView="85" workbookViewId="0">
      <pane xSplit="1" ySplit="15" topLeftCell="B16" activePane="bottomRight" state="frozen"/>
      <selection pane="topRight" activeCell="B1" sqref="B1"/>
      <selection pane="bottomLeft" activeCell="A16" sqref="A16"/>
      <selection pane="bottomRight" activeCell="L16" sqref="L16"/>
    </sheetView>
  </sheetViews>
  <sheetFormatPr defaultRowHeight="12.75" x14ac:dyDescent="0.2"/>
  <cols>
    <col min="1" max="1" width="4.7109375" style="28" hidden="1" customWidth="1"/>
    <col min="2" max="2" width="56.28515625" style="31" customWidth="1"/>
    <col min="3" max="3" width="13.42578125" style="39" bestFit="1" customWidth="1"/>
    <col min="4" max="4" width="6.7109375" style="28" customWidth="1"/>
    <col min="5" max="5" width="5.140625" style="32" customWidth="1"/>
    <col min="6" max="6" width="6.42578125" style="29" customWidth="1"/>
    <col min="7" max="7" width="9.5703125" style="33" customWidth="1"/>
    <col min="8" max="8" width="10.28515625" style="29" customWidth="1"/>
    <col min="9" max="9" width="10.7109375" style="29" customWidth="1"/>
    <col min="10" max="10" width="12.85546875" style="29" customWidth="1"/>
    <col min="11" max="11" width="4.42578125" style="28" customWidth="1"/>
    <col min="12" max="16384" width="9.140625" style="28"/>
  </cols>
  <sheetData>
    <row r="1" spans="1:11" customFormat="1" ht="16.5" customHeight="1" x14ac:dyDescent="0.2">
      <c r="B1" s="466" t="str">
        <f>Заказ!E2</f>
        <v>ООО "Кировская областная типография"</v>
      </c>
      <c r="D1" s="2596" t="str">
        <f>Исх!IU1</f>
        <v>Генеральный директор Журавлев А.В.</v>
      </c>
      <c r="E1" s="2596"/>
      <c r="F1" s="2596"/>
      <c r="G1" s="2596"/>
      <c r="H1" s="2596"/>
      <c r="I1" s="2596"/>
    </row>
    <row r="2" spans="1:11" customFormat="1" ht="12.75" customHeight="1" x14ac:dyDescent="0.2">
      <c r="D2" s="2596"/>
      <c r="E2" s="2596"/>
      <c r="F2" s="2596"/>
      <c r="G2" s="2596"/>
      <c r="H2" s="2596"/>
      <c r="I2" s="2596"/>
    </row>
    <row r="3" spans="1:11" customFormat="1" x14ac:dyDescent="0.2"/>
    <row r="4" spans="1:11" customFormat="1" ht="12.75" customHeight="1" x14ac:dyDescent="0.2">
      <c r="B4" s="2598" t="s">
        <v>245</v>
      </c>
      <c r="C4" s="2598"/>
      <c r="D4" s="2598"/>
      <c r="E4" s="2598"/>
      <c r="F4" s="2598"/>
      <c r="G4" s="2598"/>
      <c r="H4" s="2598"/>
      <c r="I4" s="2598"/>
    </row>
    <row r="5" spans="1:11" customFormat="1" ht="12.75" customHeight="1" x14ac:dyDescent="0.2">
      <c r="B5" s="2598"/>
      <c r="C5" s="2598"/>
      <c r="D5" s="2598"/>
      <c r="E5" s="2598"/>
      <c r="F5" s="2598"/>
      <c r="G5" s="2598"/>
      <c r="H5" s="2598"/>
      <c r="I5" s="2598"/>
    </row>
    <row r="6" spans="1:11" customFormat="1" ht="12.75" customHeight="1" x14ac:dyDescent="0.2">
      <c r="B6" s="2598"/>
      <c r="C6" s="2598"/>
      <c r="D6" s="2598"/>
      <c r="E6" s="2598"/>
      <c r="F6" s="2598"/>
      <c r="G6" s="2598"/>
      <c r="H6" s="2598"/>
      <c r="I6" s="2598"/>
    </row>
    <row r="7" spans="1:11" customFormat="1" ht="15.75" x14ac:dyDescent="0.25">
      <c r="B7" s="2597" t="s">
        <v>246</v>
      </c>
      <c r="C7" s="2597"/>
      <c r="D7" s="2597"/>
      <c r="E7" s="2597"/>
      <c r="F7" s="2597"/>
      <c r="G7" s="2597"/>
      <c r="H7" s="2597"/>
      <c r="I7" s="21"/>
    </row>
    <row r="8" spans="1:11" customFormat="1" ht="15" x14ac:dyDescent="0.2">
      <c r="B8" s="23"/>
      <c r="C8" s="23"/>
      <c r="D8" s="23"/>
      <c r="E8" s="23"/>
      <c r="F8" s="23"/>
      <c r="G8" s="23"/>
      <c r="H8" s="23"/>
      <c r="I8" s="21"/>
    </row>
    <row r="9" spans="1:11" customFormat="1" ht="38.25" customHeight="1" x14ac:dyDescent="0.2">
      <c r="B9" s="1898" t="s">
        <v>224</v>
      </c>
      <c r="C9" s="2603" t="str">
        <f>Заказ!P1</f>
        <v>202210367</v>
      </c>
      <c r="D9" s="2603"/>
      <c r="E9" s="2603"/>
      <c r="F9" s="2603"/>
      <c r="G9" s="2603"/>
      <c r="H9" s="2603"/>
      <c r="I9" s="2603"/>
    </row>
    <row r="10" spans="1:11" customFormat="1" ht="64.5" customHeight="1" x14ac:dyDescent="0.2">
      <c r="B10" s="1899" t="s">
        <v>225</v>
      </c>
      <c r="C10" s="2604" t="str">
        <f>Заказ!D8</f>
        <v>Про город К-Чепецк № 13 от 02.04.2022</v>
      </c>
      <c r="D10" s="2604"/>
      <c r="E10" s="2604"/>
      <c r="F10" s="2604"/>
      <c r="G10" s="2604"/>
      <c r="H10" s="2604"/>
      <c r="I10" s="2604"/>
    </row>
    <row r="11" spans="1:11" customFormat="1" ht="33.75" customHeight="1" x14ac:dyDescent="0.2">
      <c r="B11" s="1899" t="s">
        <v>51</v>
      </c>
      <c r="C11" s="2599" t="str">
        <f>Заказ!C6</f>
        <v>Чепецк Инфо, ООО</v>
      </c>
      <c r="D11" s="2600"/>
      <c r="E11" s="2600"/>
      <c r="F11" s="2600"/>
      <c r="G11" s="2600"/>
      <c r="H11" s="2600"/>
      <c r="I11" s="2601"/>
    </row>
    <row r="12" spans="1:11" customFormat="1" ht="15" x14ac:dyDescent="0.2">
      <c r="B12" s="24"/>
      <c r="C12" s="24"/>
      <c r="D12" s="24"/>
      <c r="E12" s="24"/>
      <c r="F12" s="24"/>
      <c r="G12" s="24"/>
      <c r="H12" s="24"/>
    </row>
    <row r="13" spans="1:11" customFormat="1" ht="24" customHeight="1" x14ac:dyDescent="0.2">
      <c r="B13" s="1899" t="s">
        <v>247</v>
      </c>
      <c r="C13" s="2602"/>
      <c r="D13" s="2602"/>
      <c r="E13" s="2602"/>
      <c r="F13" s="2602"/>
      <c r="G13" s="2602"/>
      <c r="H13" s="2602"/>
      <c r="I13" s="2602"/>
    </row>
    <row r="14" spans="1:11" customFormat="1" ht="15.75" x14ac:dyDescent="0.25">
      <c r="B14" s="278"/>
      <c r="C14" s="298"/>
      <c r="D14" s="299"/>
      <c r="E14" s="299"/>
      <c r="F14" s="300"/>
      <c r="G14" s="24"/>
      <c r="H14" s="24"/>
    </row>
    <row r="15" spans="1:11" ht="30" x14ac:dyDescent="0.2">
      <c r="A15" s="301" t="s">
        <v>251</v>
      </c>
      <c r="B15" s="302" t="s">
        <v>252</v>
      </c>
      <c r="C15" s="303"/>
      <c r="D15" s="304"/>
      <c r="E15" s="305"/>
      <c r="F15" s="306"/>
      <c r="G15" s="307"/>
      <c r="H15" s="308"/>
      <c r="I15" s="309" t="s">
        <v>737</v>
      </c>
      <c r="J15" s="310" t="s">
        <v>255</v>
      </c>
      <c r="K15" s="263"/>
    </row>
    <row r="16" spans="1:11" s="235" customFormat="1" ht="15.95" customHeight="1" x14ac:dyDescent="0.25">
      <c r="A16" s="311">
        <f>Мат!A3</f>
        <v>0</v>
      </c>
      <c r="B16" s="777" t="str">
        <f>Мат!B3</f>
        <v>КРАСКА</v>
      </c>
      <c r="C16" s="312"/>
      <c r="D16" s="313"/>
      <c r="E16" s="314"/>
      <c r="F16" s="315"/>
      <c r="G16" s="316"/>
      <c r="H16" s="315"/>
      <c r="I16" s="779">
        <f>Мат!E3</f>
        <v>0</v>
      </c>
      <c r="J16" s="780">
        <f>Мат!H3</f>
        <v>0</v>
      </c>
    </row>
    <row r="17" spans="1:10" s="235" customFormat="1" ht="15.95" hidden="1" customHeight="1" x14ac:dyDescent="0.2">
      <c r="A17" s="311">
        <f>Мат!A4</f>
        <v>0</v>
      </c>
      <c r="B17" s="778" t="str">
        <f>Мат!B4</f>
        <v>Ролевые черные</v>
      </c>
      <c r="C17" s="320"/>
      <c r="D17" s="321"/>
      <c r="E17" s="322"/>
      <c r="F17" s="323"/>
      <c r="G17" s="324"/>
      <c r="H17" s="323"/>
      <c r="I17" s="779">
        <f>Мат!E4</f>
        <v>0</v>
      </c>
      <c r="J17" s="780">
        <f>Мат!H4</f>
        <v>0</v>
      </c>
    </row>
    <row r="18" spans="1:10" s="235" customFormat="1" ht="15.95" hidden="1" customHeight="1" x14ac:dyDescent="0.2">
      <c r="A18" s="311">
        <f>Мат!A5</f>
        <v>1</v>
      </c>
      <c r="B18" s="341" t="str">
        <f>Мат!B5</f>
        <v>Краска ролевая черная</v>
      </c>
      <c r="C18" s="325"/>
      <c r="D18" s="326"/>
      <c r="E18" s="327"/>
      <c r="F18" s="328"/>
      <c r="G18" s="329"/>
      <c r="H18" s="329"/>
      <c r="I18" s="336" t="str">
        <f>Мат!E5</f>
        <v>кг.</v>
      </c>
      <c r="J18" s="776">
        <f>Мат!H5</f>
        <v>0</v>
      </c>
    </row>
    <row r="19" spans="1:10" s="235" customFormat="1" ht="15.95" customHeight="1" x14ac:dyDescent="0.2">
      <c r="A19" s="311">
        <f>Мат!A6</f>
        <v>2</v>
      </c>
      <c r="B19" s="341" t="str">
        <f>Мат!B6</f>
        <v>Краска ролевая (черная)</v>
      </c>
      <c r="C19" s="325"/>
      <c r="D19" s="326"/>
      <c r="E19" s="327"/>
      <c r="F19" s="328"/>
      <c r="G19" s="329"/>
      <c r="H19" s="329"/>
      <c r="I19" s="336" t="str">
        <f>Мат!E6</f>
        <v>кг.</v>
      </c>
      <c r="J19" s="776">
        <f ca="1">Мат!H6</f>
        <v>10.448451089999997</v>
      </c>
    </row>
    <row r="20" spans="1:10" s="235" customFormat="1" ht="15.95" hidden="1" customHeight="1" x14ac:dyDescent="0.2">
      <c r="A20" s="311">
        <f>Мат!A7</f>
        <v>0</v>
      </c>
      <c r="B20" s="778" t="str">
        <f>Мат!B7</f>
        <v>Ролевые цветные</v>
      </c>
      <c r="C20" s="330"/>
      <c r="D20" s="331"/>
      <c r="E20" s="317"/>
      <c r="F20" s="332"/>
      <c r="G20" s="333"/>
      <c r="H20" s="332"/>
      <c r="I20" s="779">
        <f>Мат!E7</f>
        <v>0</v>
      </c>
      <c r="J20" s="780">
        <f>Мат!H7</f>
        <v>0</v>
      </c>
    </row>
    <row r="21" spans="1:10" s="235" customFormat="1" ht="15.95" hidden="1" customHeight="1" x14ac:dyDescent="0.2">
      <c r="A21" s="311">
        <f>Мат!A8</f>
        <v>3</v>
      </c>
      <c r="B21" s="341" t="str">
        <f>Мат!B8</f>
        <v>Краска ролевая пурпурная</v>
      </c>
      <c r="C21" s="334"/>
      <c r="D21" s="315"/>
      <c r="E21" s="314"/>
      <c r="F21" s="335"/>
      <c r="G21" s="316"/>
      <c r="H21" s="316"/>
      <c r="I21" s="336" t="str">
        <f>Мат!E8</f>
        <v>кг.</v>
      </c>
      <c r="J21" s="776">
        <f>Мат!H8</f>
        <v>0</v>
      </c>
    </row>
    <row r="22" spans="1:10" s="235" customFormat="1" ht="15.95" hidden="1" customHeight="1" x14ac:dyDescent="0.2">
      <c r="A22" s="311">
        <f>Мат!A9</f>
        <v>4</v>
      </c>
      <c r="B22" s="341" t="str">
        <f>Мат!B9</f>
        <v>Краска ролевая голубая</v>
      </c>
      <c r="C22" s="334"/>
      <c r="D22" s="315"/>
      <c r="E22" s="314"/>
      <c r="F22" s="335"/>
      <c r="G22" s="316"/>
      <c r="H22" s="316"/>
      <c r="I22" s="336" t="str">
        <f>Мат!E9</f>
        <v>кг.</v>
      </c>
      <c r="J22" s="776">
        <f>Мат!H9</f>
        <v>0</v>
      </c>
    </row>
    <row r="23" spans="1:10" s="235" customFormat="1" ht="15.95" hidden="1" customHeight="1" x14ac:dyDescent="0.2">
      <c r="A23" s="311">
        <f>Мат!A10</f>
        <v>5</v>
      </c>
      <c r="B23" s="341" t="str">
        <f>Мат!B10</f>
        <v>Краска ролевая желтая</v>
      </c>
      <c r="C23" s="334"/>
      <c r="D23" s="315"/>
      <c r="E23" s="314"/>
      <c r="F23" s="335"/>
      <c r="G23" s="316"/>
      <c r="H23" s="316"/>
      <c r="I23" s="336" t="str">
        <f>Мат!E10</f>
        <v>кг.</v>
      </c>
      <c r="J23" s="776">
        <f>Мат!H10</f>
        <v>0</v>
      </c>
    </row>
    <row r="24" spans="1:10" s="235" customFormat="1" ht="15.95" customHeight="1" x14ac:dyDescent="0.2">
      <c r="A24" s="311">
        <f>Мат!A11</f>
        <v>6</v>
      </c>
      <c r="B24" s="341" t="str">
        <f>Мат!B11</f>
        <v>Краска ролевая (пурпурная)</v>
      </c>
      <c r="C24" s="339"/>
      <c r="D24" s="332"/>
      <c r="E24" s="317"/>
      <c r="F24" s="340"/>
      <c r="G24" s="333"/>
      <c r="H24" s="333"/>
      <c r="I24" s="336" t="str">
        <f>Мат!E11</f>
        <v>кг.</v>
      </c>
      <c r="J24" s="776">
        <f ca="1">Мат!H11</f>
        <v>7.3892199149999991</v>
      </c>
    </row>
    <row r="25" spans="1:10" s="235" customFormat="1" ht="15.95" customHeight="1" x14ac:dyDescent="0.2">
      <c r="A25" s="311">
        <f>Мат!A12</f>
        <v>7</v>
      </c>
      <c r="B25" s="341" t="str">
        <f>Мат!B12</f>
        <v>Краска ролевая (голубая)</v>
      </c>
      <c r="C25" s="334"/>
      <c r="D25" s="315"/>
      <c r="E25" s="314"/>
      <c r="F25" s="335"/>
      <c r="G25" s="316"/>
      <c r="H25" s="316"/>
      <c r="I25" s="336" t="str">
        <f>Мат!E12</f>
        <v>кг.</v>
      </c>
      <c r="J25" s="776">
        <f ca="1">Мат!H12</f>
        <v>7.3892199149999991</v>
      </c>
    </row>
    <row r="26" spans="1:10" s="235" customFormat="1" ht="15.95" customHeight="1" x14ac:dyDescent="0.2">
      <c r="A26" s="311">
        <f>Мат!A13</f>
        <v>8</v>
      </c>
      <c r="B26" s="341" t="str">
        <f>Мат!B13</f>
        <v>Краска ролевая (желтая)</v>
      </c>
      <c r="C26" s="334"/>
      <c r="D26" s="315"/>
      <c r="E26" s="314"/>
      <c r="F26" s="335"/>
      <c r="G26" s="316"/>
      <c r="H26" s="316"/>
      <c r="I26" s="336" t="str">
        <f>Мат!E13</f>
        <v>кг.</v>
      </c>
      <c r="J26" s="776">
        <f ca="1">Мат!H13</f>
        <v>7.3892199149999991</v>
      </c>
    </row>
    <row r="27" spans="1:10" s="235" customFormat="1" ht="15.95" hidden="1" customHeight="1" x14ac:dyDescent="0.2">
      <c r="A27" s="311">
        <f>Мат!A14</f>
        <v>0</v>
      </c>
      <c r="B27" s="778" t="str">
        <f>Мат!B14</f>
        <v>Листовые черные</v>
      </c>
      <c r="C27" s="330"/>
      <c r="D27" s="331"/>
      <c r="E27" s="317"/>
      <c r="F27" s="332"/>
      <c r="G27" s="333"/>
      <c r="H27" s="332"/>
      <c r="I27" s="779">
        <f>Мат!E14</f>
        <v>0</v>
      </c>
      <c r="J27" s="780">
        <f>Мат!H14</f>
        <v>0</v>
      </c>
    </row>
    <row r="28" spans="1:10" s="235" customFormat="1" ht="15.95" hidden="1" customHeight="1" x14ac:dyDescent="0.2">
      <c r="A28" s="311">
        <f>Мат!A15</f>
        <v>9</v>
      </c>
      <c r="B28" s="341" t="str">
        <f>Мат!B15</f>
        <v>"ИНОР" 045 ЧЕРНАЯ 001</v>
      </c>
      <c r="C28" s="334"/>
      <c r="D28" s="315"/>
      <c r="E28" s="314"/>
      <c r="F28" s="335"/>
      <c r="G28" s="316"/>
      <c r="H28" s="316"/>
      <c r="I28" s="336" t="str">
        <f>Мат!E15</f>
        <v>кг.</v>
      </c>
      <c r="J28" s="776">
        <f>Мат!H15</f>
        <v>0</v>
      </c>
    </row>
    <row r="29" spans="1:10" s="235" customFormat="1" ht="15.95" hidden="1" customHeight="1" x14ac:dyDescent="0.2">
      <c r="A29" s="311">
        <f>Мат!A16</f>
        <v>10</v>
      </c>
      <c r="B29" s="341" t="str">
        <f>Мат!B16</f>
        <v>ПАНТОН.VS-91109 ЧЕРНЫЙ</v>
      </c>
      <c r="C29" s="334"/>
      <c r="D29" s="315"/>
      <c r="E29" s="314"/>
      <c r="F29" s="335"/>
      <c r="G29" s="316"/>
      <c r="H29" s="316"/>
      <c r="I29" s="336" t="str">
        <f>Мат!E16</f>
        <v>кг.</v>
      </c>
      <c r="J29" s="776">
        <f>Мат!H16</f>
        <v>0</v>
      </c>
    </row>
    <row r="30" spans="1:10" s="235" customFormat="1" ht="15.95" hidden="1" customHeight="1" x14ac:dyDescent="0.2">
      <c r="A30" s="311">
        <f>Мат!A17</f>
        <v>11</v>
      </c>
      <c r="B30" s="341" t="str">
        <f>Мат!B17</f>
        <v>Краска триада Quickfast 250 черная</v>
      </c>
      <c r="C30" s="334"/>
      <c r="D30" s="315"/>
      <c r="E30" s="314"/>
      <c r="F30" s="335"/>
      <c r="G30" s="316"/>
      <c r="H30" s="316"/>
      <c r="I30" s="336" t="str">
        <f>Мат!E17</f>
        <v>кг.</v>
      </c>
      <c r="J30" s="776">
        <f>Мат!H17</f>
        <v>0</v>
      </c>
    </row>
    <row r="31" spans="1:10" s="235" customFormat="1" ht="15.95" hidden="1" customHeight="1" x14ac:dyDescent="0.2">
      <c r="A31" s="311">
        <f>Мат!A18</f>
        <v>12</v>
      </c>
      <c r="B31" s="341" t="str">
        <f>Мат!B18</f>
        <v>Краска триада Quickson Supreme черная</v>
      </c>
      <c r="C31" s="320"/>
      <c r="D31" s="321"/>
      <c r="E31" s="322"/>
      <c r="F31" s="323"/>
      <c r="G31" s="324"/>
      <c r="H31" s="323"/>
      <c r="I31" s="336" t="str">
        <f>Мат!E18</f>
        <v>кг.</v>
      </c>
      <c r="J31" s="776">
        <f>Мат!H18</f>
        <v>0</v>
      </c>
    </row>
    <row r="32" spans="1:10" s="235" customFormat="1" ht="15.95" hidden="1" customHeight="1" x14ac:dyDescent="0.2">
      <c r="A32" s="311">
        <f>Мат!A19</f>
        <v>0</v>
      </c>
      <c r="B32" s="778" t="str">
        <f>Мат!B19</f>
        <v>Листовые цветные</v>
      </c>
      <c r="C32" s="339"/>
      <c r="D32" s="332"/>
      <c r="E32" s="317"/>
      <c r="F32" s="340"/>
      <c r="G32" s="333"/>
      <c r="H32" s="333"/>
      <c r="I32" s="779">
        <f>Мат!E19</f>
        <v>0</v>
      </c>
      <c r="J32" s="780">
        <f>Мат!H19</f>
        <v>0</v>
      </c>
    </row>
    <row r="33" spans="1:10" s="235" customFormat="1" ht="15.95" hidden="1" customHeight="1" x14ac:dyDescent="0.2">
      <c r="A33" s="311">
        <f>Мат!A20</f>
        <v>13</v>
      </c>
      <c r="B33" s="341" t="str">
        <f>Мат!B20</f>
        <v>"ИНОР" 244 ЖЕЛТАЯ</v>
      </c>
      <c r="C33" s="334"/>
      <c r="D33" s="315"/>
      <c r="E33" s="314"/>
      <c r="F33" s="335"/>
      <c r="G33" s="316"/>
      <c r="H33" s="316"/>
      <c r="I33" s="336" t="str">
        <f>Мат!E20</f>
        <v>кг.</v>
      </c>
      <c r="J33" s="776">
        <f>Мат!H20</f>
        <v>0</v>
      </c>
    </row>
    <row r="34" spans="1:10" s="235" customFormat="1" ht="15.95" hidden="1" customHeight="1" x14ac:dyDescent="0.2">
      <c r="A34" s="311">
        <f>Мат!A21</f>
        <v>14</v>
      </c>
      <c r="B34" s="341" t="str">
        <f>Мат!B21</f>
        <v>"ИНОР" 544 ПУРПУРНАЯ</v>
      </c>
      <c r="C34" s="334"/>
      <c r="D34" s="315"/>
      <c r="E34" s="314"/>
      <c r="F34" s="335"/>
      <c r="G34" s="316"/>
      <c r="H34" s="316"/>
      <c r="I34" s="336" t="str">
        <f>Мат!E21</f>
        <v>кг.</v>
      </c>
      <c r="J34" s="776">
        <f>Мат!H21</f>
        <v>0</v>
      </c>
    </row>
    <row r="35" spans="1:10" s="235" customFormat="1" ht="15.95" hidden="1" customHeight="1" x14ac:dyDescent="0.2">
      <c r="A35" s="311">
        <f>Мат!A22</f>
        <v>15</v>
      </c>
      <c r="B35" s="341" t="str">
        <f>Мат!B22</f>
        <v>"ИНОР" 944 СИНЯЯ</v>
      </c>
      <c r="C35" s="334"/>
      <c r="D35" s="315"/>
      <c r="E35" s="314"/>
      <c r="F35" s="335"/>
      <c r="G35" s="316"/>
      <c r="H35" s="316"/>
      <c r="I35" s="336" t="str">
        <f>Мат!E22</f>
        <v>кг.</v>
      </c>
      <c r="J35" s="776">
        <f>Мат!H22</f>
        <v>0</v>
      </c>
    </row>
    <row r="36" spans="1:10" s="235" customFormat="1" ht="15.95" hidden="1" customHeight="1" x14ac:dyDescent="0.2">
      <c r="A36" s="311">
        <f>Мат!A23</f>
        <v>16</v>
      </c>
      <c r="B36" s="341" t="str">
        <f>Мат!B23</f>
        <v>"ИНОР" 986 КРОЮЩИЕ БЕЛИЛА</v>
      </c>
      <c r="C36" s="334"/>
      <c r="D36" s="315"/>
      <c r="E36" s="314"/>
      <c r="F36" s="335"/>
      <c r="G36" s="316"/>
      <c r="H36" s="316"/>
      <c r="I36" s="336" t="str">
        <f>Мат!E23</f>
        <v>кг.</v>
      </c>
      <c r="J36" s="776">
        <f>Мат!H23</f>
        <v>0</v>
      </c>
    </row>
    <row r="37" spans="1:10" s="235" customFormat="1" ht="15.95" hidden="1" customHeight="1" x14ac:dyDescent="0.2">
      <c r="A37" s="311">
        <f>Мат!A24</f>
        <v>17</v>
      </c>
      <c r="B37" s="341" t="str">
        <f>Мат!B24</f>
        <v>Краска триада Quickson Supreme желтая</v>
      </c>
      <c r="C37" s="341"/>
      <c r="D37" s="315"/>
      <c r="E37" s="314"/>
      <c r="F37" s="335"/>
      <c r="G37" s="316"/>
      <c r="H37" s="316"/>
      <c r="I37" s="336" t="str">
        <f>Мат!E24</f>
        <v>кг.</v>
      </c>
      <c r="J37" s="776">
        <f>Мат!H24</f>
        <v>0</v>
      </c>
    </row>
    <row r="38" spans="1:10" s="235" customFormat="1" ht="15.95" hidden="1" customHeight="1" x14ac:dyDescent="0.2">
      <c r="A38" s="311">
        <f>Мат!A25</f>
        <v>18</v>
      </c>
      <c r="B38" s="341" t="str">
        <f>Мат!B25</f>
        <v>Краска триада Quickson Supreme голубая</v>
      </c>
      <c r="C38" s="334"/>
      <c r="D38" s="315"/>
      <c r="E38" s="314"/>
      <c r="F38" s="335"/>
      <c r="G38" s="316"/>
      <c r="H38" s="316"/>
      <c r="I38" s="336" t="str">
        <f>Мат!E25</f>
        <v>кг.</v>
      </c>
      <c r="J38" s="776">
        <f>Мат!H25</f>
        <v>0</v>
      </c>
    </row>
    <row r="39" spans="1:10" s="235" customFormat="1" ht="15.95" hidden="1" customHeight="1" x14ac:dyDescent="0.2">
      <c r="A39" s="311">
        <f>Мат!A26</f>
        <v>19</v>
      </c>
      <c r="B39" s="341" t="str">
        <f>Мат!B26</f>
        <v>Краска триада Quickson Supreme пурпурная</v>
      </c>
      <c r="C39" s="334"/>
      <c r="D39" s="315"/>
      <c r="E39" s="314"/>
      <c r="F39" s="335"/>
      <c r="G39" s="316"/>
      <c r="H39" s="316"/>
      <c r="I39" s="336" t="str">
        <f>Мат!E26</f>
        <v>кг.</v>
      </c>
      <c r="J39" s="776">
        <f>Мат!H26</f>
        <v>0</v>
      </c>
    </row>
    <row r="40" spans="1:10" s="235" customFormat="1" ht="15.95" hidden="1" customHeight="1" x14ac:dyDescent="0.2">
      <c r="A40" s="311">
        <f>Мат!A27</f>
        <v>20</v>
      </c>
      <c r="B40" s="341" t="str">
        <f>Мат!B27</f>
        <v>Краска триада Quickfast 250 желтая</v>
      </c>
      <c r="C40" s="341"/>
      <c r="D40" s="315"/>
      <c r="E40" s="314"/>
      <c r="F40" s="335"/>
      <c r="G40" s="316"/>
      <c r="H40" s="316"/>
      <c r="I40" s="336" t="str">
        <f>Мат!E27</f>
        <v>кг.</v>
      </c>
      <c r="J40" s="776">
        <f>Мат!H27</f>
        <v>0</v>
      </c>
    </row>
    <row r="41" spans="1:10" s="235" customFormat="1" ht="15.95" hidden="1" customHeight="1" x14ac:dyDescent="0.2">
      <c r="A41" s="311">
        <f>Мат!A28</f>
        <v>21</v>
      </c>
      <c r="B41" s="341" t="str">
        <f>Мат!B28</f>
        <v>Краска триада Quickfast 250 голубая</v>
      </c>
      <c r="C41" s="341"/>
      <c r="D41" s="315"/>
      <c r="E41" s="314"/>
      <c r="F41" s="335"/>
      <c r="G41" s="316"/>
      <c r="H41" s="316"/>
      <c r="I41" s="336" t="str">
        <f>Мат!E28</f>
        <v>кг.</v>
      </c>
      <c r="J41" s="776">
        <f>Мат!H28</f>
        <v>0</v>
      </c>
    </row>
    <row r="42" spans="1:10" s="235" customFormat="1" ht="15.95" hidden="1" customHeight="1" x14ac:dyDescent="0.2">
      <c r="A42" s="311">
        <f>Мат!A29</f>
        <v>22</v>
      </c>
      <c r="B42" s="341" t="str">
        <f>Мат!B29</f>
        <v>Краска триада Quickfast 250 пурпурная</v>
      </c>
      <c r="C42" s="334"/>
      <c r="D42" s="315"/>
      <c r="E42" s="314"/>
      <c r="F42" s="335"/>
      <c r="G42" s="316"/>
      <c r="H42" s="316"/>
      <c r="I42" s="336" t="str">
        <f>Мат!E29</f>
        <v>кг.</v>
      </c>
      <c r="J42" s="776">
        <f>Мат!H29</f>
        <v>0</v>
      </c>
    </row>
    <row r="43" spans="1:10" s="235" customFormat="1" ht="15.95" hidden="1" customHeight="1" x14ac:dyDescent="0.2">
      <c r="A43" s="311">
        <f>Мат!A30</f>
        <v>23</v>
      </c>
      <c r="B43" s="341" t="str">
        <f>Мат!B30</f>
        <v>Краска листовая Panton</v>
      </c>
      <c r="C43" s="334"/>
      <c r="D43" s="315"/>
      <c r="E43" s="314"/>
      <c r="F43" s="335"/>
      <c r="G43" s="316"/>
      <c r="H43" s="316"/>
      <c r="I43" s="336" t="str">
        <f>Мат!E30</f>
        <v>кг.</v>
      </c>
      <c r="J43" s="776">
        <f>Мат!H30</f>
        <v>0</v>
      </c>
    </row>
    <row r="44" spans="1:10" s="235" customFormat="1" ht="15.95" hidden="1" customHeight="1" x14ac:dyDescent="0.2">
      <c r="A44" s="311">
        <f>Мат!A31</f>
        <v>24</v>
      </c>
      <c r="B44" s="341" t="str">
        <f>Мат!B31</f>
        <v>2514-54 ЖЕЛТАЯ</v>
      </c>
      <c r="C44" s="334"/>
      <c r="D44" s="315"/>
      <c r="E44" s="314"/>
      <c r="F44" s="335"/>
      <c r="G44" s="316"/>
      <c r="H44" s="316"/>
      <c r="I44" s="336" t="str">
        <f>Мат!E31</f>
        <v>кг.</v>
      </c>
      <c r="J44" s="776">
        <f>Мат!H31</f>
        <v>0</v>
      </c>
    </row>
    <row r="45" spans="1:10" s="235" customFormat="1" ht="15.95" hidden="1" customHeight="1" x14ac:dyDescent="0.2">
      <c r="A45" s="311">
        <f>Мат!A32</f>
        <v>25</v>
      </c>
      <c r="B45" s="341" t="str">
        <f>Мат!B32</f>
        <v>2516-10 ОРАНЖЕВАЯ</v>
      </c>
      <c r="C45" s="334"/>
      <c r="D45" s="315"/>
      <c r="E45" s="314"/>
      <c r="F45" s="335"/>
      <c r="G45" s="316"/>
      <c r="H45" s="316"/>
      <c r="I45" s="336" t="str">
        <f>Мат!E32</f>
        <v>кг.</v>
      </c>
      <c r="J45" s="776">
        <f>Мат!H32</f>
        <v>0</v>
      </c>
    </row>
    <row r="46" spans="1:10" s="235" customFormat="1" ht="15.95" hidden="1" customHeight="1" x14ac:dyDescent="0.2">
      <c r="A46" s="311">
        <f>Мат!A33</f>
        <v>26</v>
      </c>
      <c r="B46" s="341" t="str">
        <f>Мат!B33</f>
        <v>2516-61 КОРИЧНЕВАЯ</v>
      </c>
      <c r="C46" s="341"/>
      <c r="D46" s="315"/>
      <c r="E46" s="314"/>
      <c r="F46" s="335"/>
      <c r="G46" s="316"/>
      <c r="H46" s="316"/>
      <c r="I46" s="336" t="str">
        <f>Мат!E33</f>
        <v>кг.</v>
      </c>
      <c r="J46" s="776">
        <f>Мат!H33</f>
        <v>0</v>
      </c>
    </row>
    <row r="47" spans="1:10" s="235" customFormat="1" ht="15.95" hidden="1" customHeight="1" x14ac:dyDescent="0.2">
      <c r="A47" s="311">
        <f>Мат!A34</f>
        <v>27</v>
      </c>
      <c r="B47" s="341" t="str">
        <f>Мат!B34</f>
        <v>VS-876 ЗОЛОТАЯ  ПАНТОН</v>
      </c>
      <c r="C47" s="341"/>
      <c r="D47" s="315"/>
      <c r="E47" s="314"/>
      <c r="F47" s="335"/>
      <c r="G47" s="316"/>
      <c r="H47" s="316"/>
      <c r="I47" s="336" t="str">
        <f>Мат!E34</f>
        <v>кг.</v>
      </c>
      <c r="J47" s="776">
        <f>Мат!H34</f>
        <v>0</v>
      </c>
    </row>
    <row r="48" spans="1:10" s="235" customFormat="1" ht="15.95" hidden="1" customHeight="1" x14ac:dyDescent="0.2">
      <c r="A48" s="311">
        <f>Мат!A35</f>
        <v>28</v>
      </c>
      <c r="B48" s="341" t="str">
        <f>Мат!B35</f>
        <v>2514-26 КРАСН.</v>
      </c>
      <c r="C48" s="334"/>
      <c r="D48" s="315"/>
      <c r="E48" s="314"/>
      <c r="F48" s="335"/>
      <c r="G48" s="316"/>
      <c r="H48" s="316"/>
      <c r="I48" s="336" t="str">
        <f>Мат!E35</f>
        <v>кг.</v>
      </c>
      <c r="J48" s="776">
        <f>Мат!H35</f>
        <v>0</v>
      </c>
    </row>
    <row r="49" spans="1:10" s="235" customFormat="1" ht="15.95" hidden="1" customHeight="1" x14ac:dyDescent="0.2">
      <c r="A49" s="311">
        <f>Мат!A36</f>
        <v>29</v>
      </c>
      <c r="B49" s="341" t="str">
        <f>Мат!B36</f>
        <v>2514-34 фиолетовая</v>
      </c>
      <c r="C49" s="334"/>
      <c r="D49" s="315"/>
      <c r="E49" s="314"/>
      <c r="F49" s="335"/>
      <c r="G49" s="316"/>
      <c r="H49" s="316"/>
      <c r="I49" s="336" t="str">
        <f>Мат!E36</f>
        <v>кг.</v>
      </c>
      <c r="J49" s="776">
        <f>Мат!H36</f>
        <v>0</v>
      </c>
    </row>
    <row r="50" spans="1:10" s="235" customFormat="1" ht="15.95" hidden="1" customHeight="1" x14ac:dyDescent="0.2">
      <c r="A50" s="311">
        <f>Мат!A37</f>
        <v>30</v>
      </c>
      <c r="B50" s="341" t="str">
        <f>Мат!B37</f>
        <v>2516/14-40 ЗЕЛЕНАЯ</v>
      </c>
      <c r="C50" s="334"/>
      <c r="D50" s="315"/>
      <c r="E50" s="314"/>
      <c r="F50" s="335"/>
      <c r="G50" s="316"/>
      <c r="H50" s="316"/>
      <c r="I50" s="336" t="str">
        <f>Мат!E37</f>
        <v>кг.</v>
      </c>
      <c r="J50" s="776">
        <f>Мат!H37</f>
        <v>0</v>
      </c>
    </row>
    <row r="51" spans="1:10" s="235" customFormat="1" ht="15.95" hidden="1" customHeight="1" x14ac:dyDescent="0.2">
      <c r="A51" s="311">
        <f>Мат!A38</f>
        <v>31</v>
      </c>
      <c r="B51" s="341" t="str">
        <f>Мат!B38</f>
        <v>2516/14-43 ЗЕЛЕН.</v>
      </c>
      <c r="C51" s="334"/>
      <c r="D51" s="315"/>
      <c r="E51" s="314"/>
      <c r="F51" s="335"/>
      <c r="G51" s="316"/>
      <c r="H51" s="316"/>
      <c r="I51" s="336" t="str">
        <f>Мат!E38</f>
        <v>кг.</v>
      </c>
      <c r="J51" s="776">
        <f>Мат!H38</f>
        <v>0</v>
      </c>
    </row>
    <row r="52" spans="1:10" s="235" customFormat="1" ht="15.95" hidden="1" customHeight="1" x14ac:dyDescent="0.2">
      <c r="A52" s="311">
        <f>Мат!A39</f>
        <v>32</v>
      </c>
      <c r="B52" s="341" t="str">
        <f>Мат!B39</f>
        <v>2516/14-71 ФИОЛЕТ.</v>
      </c>
      <c r="C52" s="334"/>
      <c r="D52" s="315"/>
      <c r="E52" s="314"/>
      <c r="F52" s="335"/>
      <c r="G52" s="316"/>
      <c r="H52" s="316"/>
      <c r="I52" s="336" t="str">
        <f>Мат!E39</f>
        <v>кг.</v>
      </c>
      <c r="J52" s="776">
        <f>Мат!H39</f>
        <v>0</v>
      </c>
    </row>
    <row r="53" spans="1:10" s="235" customFormat="1" ht="15.95" hidden="1" customHeight="1" x14ac:dyDescent="0.2">
      <c r="A53" s="311">
        <f>Мат!A40</f>
        <v>33</v>
      </c>
      <c r="B53" s="341" t="str">
        <f>Мат!B40</f>
        <v>2516/14-72 ФИОЛЕТ.</v>
      </c>
      <c r="C53" s="334"/>
      <c r="D53" s="315"/>
      <c r="E53" s="314"/>
      <c r="F53" s="335"/>
      <c r="G53" s="316"/>
      <c r="H53" s="316"/>
      <c r="I53" s="336" t="str">
        <f>Мат!E40</f>
        <v>кг.</v>
      </c>
      <c r="J53" s="776">
        <f>Мат!H40</f>
        <v>0</v>
      </c>
    </row>
    <row r="54" spans="1:10" s="235" customFormat="1" ht="15.95" hidden="1" customHeight="1" x14ac:dyDescent="0.2">
      <c r="A54" s="311">
        <f>Мат!A41</f>
        <v>34</v>
      </c>
      <c r="B54" s="341" t="str">
        <f>Мат!B41</f>
        <v>ПАНТОН Унипак 873 Голд(золото)</v>
      </c>
      <c r="C54" s="334"/>
      <c r="D54" s="315"/>
      <c r="E54" s="314"/>
      <c r="F54" s="335"/>
      <c r="G54" s="316"/>
      <c r="H54" s="316"/>
      <c r="I54" s="336" t="str">
        <f>Мат!E41</f>
        <v>кг.</v>
      </c>
      <c r="J54" s="776">
        <f>Мат!H41</f>
        <v>0</v>
      </c>
    </row>
    <row r="55" spans="1:10" s="235" customFormat="1" ht="15.95" hidden="1" customHeight="1" x14ac:dyDescent="0.2">
      <c r="A55" s="311">
        <f>Мат!A42</f>
        <v>35</v>
      </c>
      <c r="B55" s="341" t="str">
        <f>Мат!B42</f>
        <v>VAN Son 877 серебряная</v>
      </c>
      <c r="C55" s="334"/>
      <c r="D55" s="315"/>
      <c r="E55" s="314"/>
      <c r="F55" s="335"/>
      <c r="G55" s="316"/>
      <c r="H55" s="316"/>
      <c r="I55" s="336" t="str">
        <f>Мат!E42</f>
        <v>кг.</v>
      </c>
      <c r="J55" s="776">
        <f>Мат!H42</f>
        <v>0</v>
      </c>
    </row>
    <row r="56" spans="1:10" s="235" customFormat="1" ht="15.95" hidden="1" customHeight="1" x14ac:dyDescent="0.2">
      <c r="A56" s="311">
        <f>Мат!A43</f>
        <v>36</v>
      </c>
      <c r="B56" s="341" t="str">
        <f>Мат!B43</f>
        <v>ПАНТОН VS 91108 белила прозрач</v>
      </c>
      <c r="C56" s="334"/>
      <c r="D56" s="315"/>
      <c r="E56" s="314"/>
      <c r="F56" s="335"/>
      <c r="G56" s="316"/>
      <c r="H56" s="316"/>
      <c r="I56" s="336" t="str">
        <f>Мат!E43</f>
        <v>кг.</v>
      </c>
      <c r="J56" s="776">
        <f>Мат!H43</f>
        <v>0</v>
      </c>
    </row>
    <row r="57" spans="1:10" s="235" customFormat="1" ht="15.95" hidden="1" customHeight="1" x14ac:dyDescent="0.2">
      <c r="A57" s="311">
        <f>Мат!A44</f>
        <v>37</v>
      </c>
      <c r="B57" s="341" t="str">
        <f>Мат!B44</f>
        <v>ПАНТОН VS 91135 485 РЕД.</v>
      </c>
      <c r="C57" s="334"/>
      <c r="D57" s="315"/>
      <c r="E57" s="314"/>
      <c r="F57" s="335"/>
      <c r="G57" s="316"/>
      <c r="H57" s="316"/>
      <c r="I57" s="336" t="str">
        <f>Мат!E44</f>
        <v>кг.</v>
      </c>
      <c r="J57" s="776">
        <f>Мат!H44</f>
        <v>0</v>
      </c>
    </row>
    <row r="58" spans="1:10" s="235" customFormat="1" ht="15.95" hidden="1" customHeight="1" x14ac:dyDescent="0.2">
      <c r="A58" s="311">
        <f>Мат!A45</f>
        <v>38</v>
      </c>
      <c r="B58" s="341" t="str">
        <f>Мат!B45</f>
        <v>ПАНТОН VS-875 ЗОЛОТ.</v>
      </c>
      <c r="C58" s="334"/>
      <c r="D58" s="315"/>
      <c r="E58" s="314"/>
      <c r="F58" s="335"/>
      <c r="G58" s="316"/>
      <c r="H58" s="316"/>
      <c r="I58" s="336" t="str">
        <f>Мат!E45</f>
        <v>кг.</v>
      </c>
      <c r="J58" s="776">
        <f>Мат!H45</f>
        <v>0</v>
      </c>
    </row>
    <row r="59" spans="1:10" s="235" customFormat="1" ht="15.95" hidden="1" customHeight="1" x14ac:dyDescent="0.2">
      <c r="A59" s="311">
        <f>Мат!A46</f>
        <v>39</v>
      </c>
      <c r="B59" s="341" t="str">
        <f>Мат!B46</f>
        <v>ПАНТОН VS-91103</v>
      </c>
      <c r="C59" s="334"/>
      <c r="D59" s="315"/>
      <c r="E59" s="314"/>
      <c r="F59" s="335"/>
      <c r="G59" s="316"/>
      <c r="H59" s="316"/>
      <c r="I59" s="336" t="str">
        <f>Мат!E46</f>
        <v>кг.</v>
      </c>
      <c r="J59" s="776">
        <f>Мат!H46</f>
        <v>0</v>
      </c>
    </row>
    <row r="60" spans="1:10" s="235" customFormat="1" ht="15.95" hidden="1" customHeight="1" x14ac:dyDescent="0.2">
      <c r="A60" s="311">
        <f>Мат!A47</f>
        <v>40</v>
      </c>
      <c r="B60" s="341" t="str">
        <f>Мат!B47</f>
        <v>ПАНТОН VS-91104</v>
      </c>
      <c r="C60" s="334"/>
      <c r="D60" s="315"/>
      <c r="E60" s="314"/>
      <c r="F60" s="335"/>
      <c r="G60" s="316"/>
      <c r="H60" s="316"/>
      <c r="I60" s="336" t="str">
        <f>Мат!E47</f>
        <v>кг.</v>
      </c>
      <c r="J60" s="776">
        <f>Мат!H47</f>
        <v>0</v>
      </c>
    </row>
    <row r="61" spans="1:10" s="235" customFormat="1" ht="15.95" hidden="1" customHeight="1" x14ac:dyDescent="0.2">
      <c r="A61" s="311">
        <f>Мат!A48</f>
        <v>41</v>
      </c>
      <c r="B61" s="341" t="str">
        <f>Мат!B48</f>
        <v>ПАНТОН VS-91105</v>
      </c>
      <c r="C61" s="334"/>
      <c r="D61" s="315"/>
      <c r="E61" s="314"/>
      <c r="F61" s="335"/>
      <c r="G61" s="316"/>
      <c r="H61" s="316"/>
      <c r="I61" s="336" t="str">
        <f>Мат!E48</f>
        <v>кг.</v>
      </c>
      <c r="J61" s="776">
        <f>Мат!H48</f>
        <v>0</v>
      </c>
    </row>
    <row r="62" spans="1:10" s="235" customFormat="1" ht="15.95" hidden="1" customHeight="1" x14ac:dyDescent="0.2">
      <c r="A62" s="311">
        <f>Мат!A49</f>
        <v>42</v>
      </c>
      <c r="B62" s="341" t="str">
        <f>Мат!B49</f>
        <v>ПАНТОН VS-91106 ГОЛУБ.</v>
      </c>
      <c r="C62" s="334"/>
      <c r="D62" s="315"/>
      <c r="E62" s="314"/>
      <c r="F62" s="335"/>
      <c r="G62" s="316"/>
      <c r="H62" s="316"/>
      <c r="I62" s="336" t="str">
        <f>Мат!E49</f>
        <v>кг.</v>
      </c>
      <c r="J62" s="776">
        <f>Мат!H49</f>
        <v>0</v>
      </c>
    </row>
    <row r="63" spans="1:10" s="235" customFormat="1" ht="15.95" hidden="1" customHeight="1" x14ac:dyDescent="0.2">
      <c r="A63" s="311">
        <f>Мат!A50</f>
        <v>43</v>
      </c>
      <c r="B63" s="341" t="str">
        <f>Мат!B50</f>
        <v>ПАНТОН VS-91114-032 КРАСН..</v>
      </c>
      <c r="C63" s="337"/>
      <c r="D63" s="323"/>
      <c r="E63" s="322"/>
      <c r="F63" s="338"/>
      <c r="G63" s="324"/>
      <c r="H63" s="324"/>
      <c r="I63" s="336" t="str">
        <f>Мат!E50</f>
        <v>кг.</v>
      </c>
      <c r="J63" s="776">
        <f>Мат!H50</f>
        <v>0</v>
      </c>
    </row>
    <row r="64" spans="1:10" s="235" customFormat="1" ht="15.95" hidden="1" customHeight="1" x14ac:dyDescent="0.2">
      <c r="A64" s="311">
        <f>Мат!A51</f>
        <v>44</v>
      </c>
      <c r="B64" s="341" t="str">
        <f>Мат!B51</f>
        <v>ПАНТОН VS-91115 СИНИЙ</v>
      </c>
      <c r="C64" s="342"/>
      <c r="D64" s="326"/>
      <c r="E64" s="327"/>
      <c r="F64" s="328"/>
      <c r="G64" s="329"/>
      <c r="H64" s="329"/>
      <c r="I64" s="336" t="str">
        <f>Мат!E51</f>
        <v>кг.</v>
      </c>
      <c r="J64" s="776">
        <f>Мат!H51</f>
        <v>0</v>
      </c>
    </row>
    <row r="65" spans="1:10" s="235" customFormat="1" ht="15.95" hidden="1" customHeight="1" x14ac:dyDescent="0.2">
      <c r="A65" s="311">
        <f>Мат!A52</f>
        <v>45</v>
      </c>
      <c r="B65" s="341" t="str">
        <f>Мат!B52</f>
        <v>ПАНТОН. 021 оранж. VS 91113</v>
      </c>
      <c r="C65" s="342"/>
      <c r="D65" s="326"/>
      <c r="E65" s="327"/>
      <c r="F65" s="328"/>
      <c r="G65" s="329"/>
      <c r="H65" s="329"/>
      <c r="I65" s="336" t="str">
        <f>Мат!E52</f>
        <v>кг.</v>
      </c>
      <c r="J65" s="776">
        <f>Мат!H52</f>
        <v>0</v>
      </c>
    </row>
    <row r="66" spans="1:10" s="235" customFormat="1" ht="15.95" hidden="1" customHeight="1" x14ac:dyDescent="0.2">
      <c r="A66" s="311">
        <f>Мат!A53</f>
        <v>46</v>
      </c>
      <c r="B66" s="341" t="str">
        <f>Мат!B53</f>
        <v>ПАНТОН.VS-91100 ЖЕЛТЫЙ.</v>
      </c>
      <c r="C66" s="342"/>
      <c r="D66" s="326"/>
      <c r="E66" s="327"/>
      <c r="F66" s="328"/>
      <c r="G66" s="329"/>
      <c r="H66" s="329"/>
      <c r="I66" s="336" t="str">
        <f>Мат!E53</f>
        <v>кг.</v>
      </c>
      <c r="J66" s="776">
        <f>Мат!H53</f>
        <v>0</v>
      </c>
    </row>
    <row r="67" spans="1:10" s="235" customFormat="1" ht="15.95" hidden="1" customHeight="1" x14ac:dyDescent="0.2">
      <c r="A67" s="311">
        <f>Мат!A54</f>
        <v>47</v>
      </c>
      <c r="B67" s="341" t="str">
        <f>Мат!B54</f>
        <v>ПАНТОН.VS-91101 КРАСНЫЙ</v>
      </c>
      <c r="C67" s="342"/>
      <c r="D67" s="326"/>
      <c r="E67" s="327"/>
      <c r="F67" s="328"/>
      <c r="G67" s="329"/>
      <c r="H67" s="329"/>
      <c r="I67" s="336" t="str">
        <f>Мат!E54</f>
        <v>кг.</v>
      </c>
      <c r="J67" s="776">
        <f>Мат!H54</f>
        <v>0</v>
      </c>
    </row>
    <row r="68" spans="1:10" s="235" customFormat="1" ht="15.95" hidden="1" customHeight="1" x14ac:dyDescent="0.2">
      <c r="A68" s="311">
        <f>Мат!A55</f>
        <v>48</v>
      </c>
      <c r="B68" s="341" t="str">
        <f>Мат!B55</f>
        <v>ПАНТОН.VS-91102 РУБИН</v>
      </c>
      <c r="C68" s="342"/>
      <c r="D68" s="326"/>
      <c r="E68" s="327"/>
      <c r="F68" s="328"/>
      <c r="G68" s="329"/>
      <c r="H68" s="329"/>
      <c r="I68" s="336" t="str">
        <f>Мат!E55</f>
        <v>кг.</v>
      </c>
      <c r="J68" s="776">
        <f>Мат!H55</f>
        <v>0</v>
      </c>
    </row>
    <row r="69" spans="1:10" s="235" customFormat="1" ht="15.95" hidden="1" customHeight="1" x14ac:dyDescent="0.2">
      <c r="A69" s="311">
        <f>Мат!A56</f>
        <v>49</v>
      </c>
      <c r="B69" s="341" t="str">
        <f>Мат!B56</f>
        <v>ПАНТОН.VS-91107 ЗЕЛЕНАЯ</v>
      </c>
      <c r="C69" s="342"/>
      <c r="D69" s="326"/>
      <c r="E69" s="327"/>
      <c r="F69" s="328"/>
      <c r="G69" s="329"/>
      <c r="H69" s="329"/>
      <c r="I69" s="336" t="str">
        <f>Мат!E56</f>
        <v>кг.</v>
      </c>
      <c r="J69" s="776">
        <f>Мат!H56</f>
        <v>0</v>
      </c>
    </row>
    <row r="70" spans="1:10" s="235" customFormat="1" ht="15.95" hidden="1" customHeight="1" x14ac:dyDescent="0.2">
      <c r="A70" s="311">
        <f>Мат!A57</f>
        <v>50</v>
      </c>
      <c r="B70" s="341" t="str">
        <f>Мат!B57</f>
        <v>ПАНТОН.VS-91110 ФИОЛЕТ.</v>
      </c>
      <c r="C70" s="339"/>
      <c r="D70" s="332"/>
      <c r="E70" s="317"/>
      <c r="F70" s="340"/>
      <c r="G70" s="333"/>
      <c r="H70" s="1343"/>
      <c r="I70" s="336" t="str">
        <f>Мат!E57</f>
        <v>кг.</v>
      </c>
      <c r="J70" s="776">
        <f>Мат!H57</f>
        <v>0</v>
      </c>
    </row>
    <row r="71" spans="1:10" s="235" customFormat="1" ht="15.95" hidden="1" customHeight="1" x14ac:dyDescent="0.2">
      <c r="A71" s="311">
        <f>Мат!A58</f>
        <v>51</v>
      </c>
      <c r="B71" s="341" t="str">
        <f>Мат!B58</f>
        <v>Лак глянцевый NOVACOAT</v>
      </c>
      <c r="C71" s="312"/>
      <c r="D71" s="313"/>
      <c r="E71" s="314"/>
      <c r="F71" s="335"/>
      <c r="G71" s="316"/>
      <c r="H71" s="315"/>
      <c r="I71" s="336" t="str">
        <f>Мат!E58</f>
        <v>кг.</v>
      </c>
      <c r="J71" s="776">
        <f>Мат!H58</f>
        <v>0</v>
      </c>
    </row>
    <row r="72" spans="1:10" s="235" customFormat="1" ht="15.95" hidden="1" customHeight="1" x14ac:dyDescent="0.2">
      <c r="A72" s="311">
        <f>Мат!A59</f>
        <v>52</v>
      </c>
      <c r="B72" s="341" t="str">
        <f>Мат!B59</f>
        <v>Матовый лак</v>
      </c>
      <c r="C72" s="330"/>
      <c r="D72" s="332"/>
      <c r="E72" s="317"/>
      <c r="F72" s="340"/>
      <c r="G72" s="343"/>
      <c r="H72" s="332"/>
      <c r="I72" s="336" t="str">
        <f>Мат!E59</f>
        <v>кг.</v>
      </c>
      <c r="J72" s="776">
        <f>Мат!H59</f>
        <v>0</v>
      </c>
    </row>
    <row r="73" spans="1:10" s="235" customFormat="1" ht="15.95" hidden="1" customHeight="1" x14ac:dyDescent="0.2">
      <c r="A73" s="311">
        <f>Мат!A60</f>
        <v>53</v>
      </c>
      <c r="B73" s="341" t="str">
        <f>Мат!B60</f>
        <v>ВД лак W_2260 глянцевый (под заморозку)</v>
      </c>
      <c r="C73" s="320"/>
      <c r="D73" s="323"/>
      <c r="E73" s="322"/>
      <c r="F73" s="338"/>
      <c r="G73" s="344"/>
      <c r="H73" s="323"/>
      <c r="I73" s="336" t="str">
        <f>Мат!E60</f>
        <v>кг.</v>
      </c>
      <c r="J73" s="776">
        <f>Мат!H60</f>
        <v>0</v>
      </c>
    </row>
    <row r="74" spans="1:10" s="235" customFormat="1" ht="15.95" hidden="1" customHeight="1" x14ac:dyDescent="0.2">
      <c r="A74" s="311">
        <f>Мат!A61</f>
        <v>54</v>
      </c>
      <c r="B74" s="341" t="str">
        <f>Мат!B61</f>
        <v>ВД лак W_1040 глянцевый</v>
      </c>
      <c r="C74" s="330"/>
      <c r="D74" s="332"/>
      <c r="E74" s="317"/>
      <c r="F74" s="340"/>
      <c r="G74" s="343"/>
      <c r="H74" s="332"/>
      <c r="I74" s="336" t="str">
        <f>Мат!E61</f>
        <v>кг.</v>
      </c>
      <c r="J74" s="776">
        <f>Мат!H61</f>
        <v>0</v>
      </c>
    </row>
    <row r="75" spans="1:10" s="235" customFormat="1" ht="15.95" hidden="1" customHeight="1" x14ac:dyDescent="0.2">
      <c r="A75" s="311">
        <f>Мат!A62</f>
        <v>55</v>
      </c>
      <c r="B75" s="341" t="str">
        <f>Мат!B62</f>
        <v>ВД лак W_0090 матовый</v>
      </c>
      <c r="C75" s="330"/>
      <c r="D75" s="332"/>
      <c r="E75" s="317"/>
      <c r="F75" s="340"/>
      <c r="G75" s="343"/>
      <c r="H75" s="332"/>
      <c r="I75" s="336" t="str">
        <f>Мат!E62</f>
        <v>кг.</v>
      </c>
      <c r="J75" s="776">
        <f>Мат!H62</f>
        <v>0</v>
      </c>
    </row>
    <row r="76" spans="1:10" s="235" customFormat="1" ht="15.95" hidden="1" customHeight="1" x14ac:dyDescent="0.2">
      <c r="A76" s="311">
        <f>Мат!A63</f>
        <v>56</v>
      </c>
      <c r="B76" s="341" t="str">
        <f>Мат!B63</f>
        <v>Глянцевый УФ-лак</v>
      </c>
      <c r="C76" s="320"/>
      <c r="D76" s="323"/>
      <c r="E76" s="322"/>
      <c r="F76" s="338"/>
      <c r="G76" s="344"/>
      <c r="H76" s="323"/>
      <c r="I76" s="336" t="str">
        <f>Мат!E63</f>
        <v>кг.</v>
      </c>
      <c r="J76" s="776">
        <f>Мат!H63</f>
        <v>0</v>
      </c>
    </row>
    <row r="77" spans="1:10" s="235" customFormat="1" ht="15.95" hidden="1" customHeight="1" x14ac:dyDescent="0.2">
      <c r="A77" s="311">
        <f>Мат!A64</f>
        <v>57</v>
      </c>
      <c r="B77" s="341" t="str">
        <f>Мат!B64</f>
        <v>Трафаретный рельефный лак УФ отверждения</v>
      </c>
      <c r="C77" s="330"/>
      <c r="D77" s="332"/>
      <c r="E77" s="317"/>
      <c r="F77" s="340"/>
      <c r="G77" s="343"/>
      <c r="H77" s="332"/>
      <c r="I77" s="336" t="str">
        <f>Мат!E64</f>
        <v>кг.</v>
      </c>
      <c r="J77" s="776">
        <f>Мат!H64</f>
        <v>0</v>
      </c>
    </row>
    <row r="78" spans="1:10" s="235" customFormat="1" ht="15.95" hidden="1" customHeight="1" x14ac:dyDescent="0.2">
      <c r="A78" s="311">
        <f>Мат!A65</f>
        <v>58</v>
      </c>
      <c r="B78" s="341" t="str">
        <f>Мат!B65</f>
        <v>Краска УФ отверждения золотая</v>
      </c>
      <c r="C78" s="312"/>
      <c r="D78" s="315"/>
      <c r="E78" s="314"/>
      <c r="F78" s="335"/>
      <c r="G78" s="345"/>
      <c r="H78" s="315"/>
      <c r="I78" s="336" t="str">
        <f>Мат!E65</f>
        <v>кг.</v>
      </c>
      <c r="J78" s="776">
        <f>Мат!H65</f>
        <v>0</v>
      </c>
    </row>
    <row r="79" spans="1:10" s="235" customFormat="1" ht="15.95" hidden="1" customHeight="1" x14ac:dyDescent="0.2">
      <c r="A79" s="311">
        <f>Мат!A66</f>
        <v>59</v>
      </c>
      <c r="B79" s="341" t="str">
        <f>Мат!B66</f>
        <v>Краска трафаретная белая кроющая</v>
      </c>
      <c r="C79" s="312"/>
      <c r="D79" s="315"/>
      <c r="E79" s="314"/>
      <c r="F79" s="335"/>
      <c r="G79" s="345"/>
      <c r="H79" s="315"/>
      <c r="I79" s="336" t="str">
        <f>Мат!E66</f>
        <v>кг.</v>
      </c>
      <c r="J79" s="776">
        <f>Мат!H66</f>
        <v>0</v>
      </c>
    </row>
    <row r="80" spans="1:10" s="235" customFormat="1" ht="15.95" hidden="1" customHeight="1" x14ac:dyDescent="0.2">
      <c r="A80" s="311">
        <f>Мат!A67</f>
        <v>60</v>
      </c>
      <c r="B80" s="341" t="str">
        <f>Мат!B67</f>
        <v xml:space="preserve"> *можно добавить материал</v>
      </c>
      <c r="C80" s="312"/>
      <c r="D80" s="315"/>
      <c r="E80" s="314"/>
      <c r="F80" s="335"/>
      <c r="G80" s="345"/>
      <c r="H80" s="315"/>
      <c r="I80" s="336" t="str">
        <f>Мат!E67</f>
        <v>кг.</v>
      </c>
      <c r="J80" s="776">
        <f>Мат!H67</f>
        <v>0</v>
      </c>
    </row>
    <row r="81" spans="1:10" s="235" customFormat="1" ht="15.95" hidden="1" customHeight="1" x14ac:dyDescent="0.2">
      <c r="A81" s="311">
        <f>Мат!A68</f>
        <v>1000</v>
      </c>
      <c r="B81" s="341" t="str">
        <f>Мат!B68</f>
        <v xml:space="preserve">        </v>
      </c>
      <c r="C81" s="312"/>
      <c r="D81" s="315"/>
      <c r="E81" s="314"/>
      <c r="F81" s="335"/>
      <c r="G81" s="345"/>
      <c r="H81" s="315"/>
      <c r="I81" s="336">
        <f>Мат!E68</f>
        <v>0</v>
      </c>
      <c r="J81" s="776">
        <f>Мат!H68</f>
        <v>0</v>
      </c>
    </row>
    <row r="82" spans="1:10" s="235" customFormat="1" ht="15.95" hidden="1" customHeight="1" x14ac:dyDescent="0.25">
      <c r="A82" s="311">
        <f>Мат!A69</f>
        <v>0</v>
      </c>
      <c r="B82" s="777" t="str">
        <f>Мат!B69</f>
        <v>ИТОГО КРАСКА</v>
      </c>
      <c r="C82" s="312"/>
      <c r="D82" s="315"/>
      <c r="E82" s="314"/>
      <c r="F82" s="335"/>
      <c r="G82" s="345"/>
      <c r="H82" s="315"/>
      <c r="I82" s="779"/>
      <c r="J82" s="780"/>
    </row>
    <row r="83" spans="1:10" s="235" customFormat="1" ht="15.95" hidden="1" customHeight="1" x14ac:dyDescent="0.25">
      <c r="A83" s="311">
        <f>Мат!A70</f>
        <v>0</v>
      </c>
      <c r="B83" s="777" t="str">
        <f>Мат!B70</f>
        <v>ПЛАСТИНЫ ОБЫЧНЫЕ</v>
      </c>
      <c r="C83" s="312"/>
      <c r="D83" s="315"/>
      <c r="E83" s="314"/>
      <c r="F83" s="335"/>
      <c r="G83" s="345"/>
      <c r="H83" s="315"/>
      <c r="I83" s="779">
        <f>Мат!E70</f>
        <v>0</v>
      </c>
      <c r="J83" s="780">
        <f>Мат!H70</f>
        <v>0</v>
      </c>
    </row>
    <row r="84" spans="1:10" s="235" customFormat="1" ht="15.95" hidden="1" customHeight="1" x14ac:dyDescent="0.2">
      <c r="A84" s="311">
        <f>Мат!A71</f>
        <v>0</v>
      </c>
      <c r="B84" s="341" t="str">
        <f>Мат!B71</f>
        <v xml:space="preserve">370х450 MATRIX </v>
      </c>
      <c r="C84" s="320"/>
      <c r="D84" s="323"/>
      <c r="E84" s="322"/>
      <c r="F84" s="338"/>
      <c r="G84" s="344"/>
      <c r="H84" s="323"/>
      <c r="I84" s="336" t="str">
        <f>Мат!E71</f>
        <v>шт.</v>
      </c>
      <c r="J84" s="776">
        <f>Мат!H71</f>
        <v>0</v>
      </c>
    </row>
    <row r="85" spans="1:10" s="235" customFormat="1" ht="15.95" hidden="1" customHeight="1" x14ac:dyDescent="0.2">
      <c r="A85" s="311">
        <f>Мат!A72</f>
        <v>0</v>
      </c>
      <c r="B85" s="341" t="str">
        <f>Мат!B72</f>
        <v>530х650</v>
      </c>
      <c r="C85" s="330"/>
      <c r="D85" s="331"/>
      <c r="E85" s="317"/>
      <c r="F85" s="340"/>
      <c r="G85" s="343"/>
      <c r="H85" s="332"/>
      <c r="I85" s="336" t="str">
        <f>Мат!E72</f>
        <v>шт.</v>
      </c>
      <c r="J85" s="776">
        <f>Мат!H72</f>
        <v>0</v>
      </c>
    </row>
    <row r="86" spans="1:10" s="235" customFormat="1" ht="15.95" hidden="1" customHeight="1" x14ac:dyDescent="0.2">
      <c r="A86" s="311">
        <f>Мат!A73</f>
        <v>0</v>
      </c>
      <c r="B86" s="341" t="str">
        <f>Мат!B73</f>
        <v>Трафаретная форма</v>
      </c>
      <c r="C86" s="330"/>
      <c r="D86" s="332"/>
      <c r="E86" s="317"/>
      <c r="F86" s="340"/>
      <c r="G86" s="343"/>
      <c r="H86" s="332"/>
      <c r="I86" s="336" t="str">
        <f>Мат!E73</f>
        <v>шт.</v>
      </c>
      <c r="J86" s="776">
        <f>Мат!H73</f>
        <v>0</v>
      </c>
    </row>
    <row r="87" spans="1:10" s="235" customFormat="1" ht="15.95" hidden="1" customHeight="1" x14ac:dyDescent="0.2">
      <c r="A87" s="311">
        <f>Мат!A74</f>
        <v>0</v>
      </c>
      <c r="B87" s="341" t="str">
        <f>Мат!B74</f>
        <v>600х730</v>
      </c>
      <c r="C87" s="312"/>
      <c r="D87" s="315"/>
      <c r="E87" s="314"/>
      <c r="F87" s="335"/>
      <c r="G87" s="345"/>
      <c r="H87" s="315"/>
      <c r="I87" s="336" t="str">
        <f>Мат!E74</f>
        <v>шт.</v>
      </c>
      <c r="J87" s="776">
        <f>Мат!H74</f>
        <v>0</v>
      </c>
    </row>
    <row r="88" spans="1:10" s="235" customFormat="1" ht="15.95" hidden="1" customHeight="1" x14ac:dyDescent="0.2">
      <c r="A88" s="311">
        <f>Мат!A75</f>
        <v>0</v>
      </c>
      <c r="B88" s="341" t="str">
        <f>Мат!B75</f>
        <v>400х530</v>
      </c>
      <c r="C88" s="320"/>
      <c r="D88" s="323"/>
      <c r="E88" s="322"/>
      <c r="F88" s="338"/>
      <c r="G88" s="344"/>
      <c r="H88" s="323"/>
      <c r="I88" s="336" t="str">
        <f>Мат!E75</f>
        <v>шт.</v>
      </c>
      <c r="J88" s="776">
        <f>Мат!H75</f>
        <v>0</v>
      </c>
    </row>
    <row r="89" spans="1:10" s="235" customFormat="1" ht="15.95" hidden="1" customHeight="1" x14ac:dyDescent="0.2">
      <c r="A89" s="311">
        <f>Мат!A76</f>
        <v>0</v>
      </c>
      <c r="B89" s="341" t="str">
        <f>Мат!B76</f>
        <v>450х630 ПОГ-60</v>
      </c>
      <c r="C89" s="330"/>
      <c r="D89" s="332"/>
      <c r="E89" s="317"/>
      <c r="F89" s="340"/>
      <c r="G89" s="343"/>
      <c r="H89" s="332"/>
      <c r="I89" s="336" t="str">
        <f>Мат!E76</f>
        <v>шт.</v>
      </c>
      <c r="J89" s="776">
        <f>Мат!H76</f>
        <v>0</v>
      </c>
    </row>
    <row r="90" spans="1:10" s="235" customFormat="1" ht="15.95" hidden="1" customHeight="1" x14ac:dyDescent="0.2">
      <c r="A90" s="311">
        <f>Мат!A77</f>
        <v>0</v>
      </c>
      <c r="B90" s="341" t="str">
        <f>Мат!B77</f>
        <v>580х506</v>
      </c>
      <c r="C90" s="312"/>
      <c r="D90" s="315"/>
      <c r="E90" s="314"/>
      <c r="F90" s="335"/>
      <c r="G90" s="345"/>
      <c r="H90" s="315"/>
      <c r="I90" s="336" t="str">
        <f>Мат!E77</f>
        <v>шт.</v>
      </c>
      <c r="J90" s="776">
        <f>Мат!H77</f>
        <v>0</v>
      </c>
    </row>
    <row r="91" spans="1:10" s="235" customFormat="1" ht="15.95" hidden="1" customHeight="1" x14ac:dyDescent="0.2">
      <c r="A91" s="311">
        <f>Мат!A78</f>
        <v>0</v>
      </c>
      <c r="B91" s="341" t="str">
        <f>Мат!B78</f>
        <v>914х628</v>
      </c>
      <c r="C91" s="312"/>
      <c r="D91" s="315"/>
      <c r="E91" s="314"/>
      <c r="F91" s="335"/>
      <c r="G91" s="345"/>
      <c r="H91" s="315"/>
      <c r="I91" s="336" t="str">
        <f>Мат!E78</f>
        <v>шт.</v>
      </c>
      <c r="J91" s="776">
        <f>Мат!H78</f>
        <v>0</v>
      </c>
    </row>
    <row r="92" spans="1:10" s="235" customFormat="1" ht="15.95" hidden="1" customHeight="1" x14ac:dyDescent="0.2">
      <c r="A92" s="311">
        <f>Мат!A79</f>
        <v>0</v>
      </c>
      <c r="B92" s="341" t="str">
        <f>Мат!B79</f>
        <v>479х620 Matrix</v>
      </c>
      <c r="C92" s="312"/>
      <c r="D92" s="315"/>
      <c r="E92" s="314"/>
      <c r="F92" s="335"/>
      <c r="G92" s="345"/>
      <c r="H92" s="315"/>
      <c r="I92" s="336" t="str">
        <f>Мат!E79</f>
        <v>шт.</v>
      </c>
      <c r="J92" s="776">
        <f>Мат!H79</f>
        <v>0</v>
      </c>
    </row>
    <row r="93" spans="1:10" s="235" customFormat="1" ht="15.95" hidden="1" customHeight="1" x14ac:dyDescent="0.2">
      <c r="A93" s="311">
        <f>Мат!A80</f>
        <v>0</v>
      </c>
      <c r="B93" s="341" t="str">
        <f>Мат!B80</f>
        <v>608х844</v>
      </c>
      <c r="C93" s="312"/>
      <c r="D93" s="315"/>
      <c r="E93" s="314"/>
      <c r="F93" s="335"/>
      <c r="G93" s="345"/>
      <c r="H93" s="315"/>
      <c r="I93" s="336" t="str">
        <f>Мат!E80</f>
        <v>шт.</v>
      </c>
      <c r="J93" s="776">
        <f>Мат!H80</f>
        <v>0</v>
      </c>
    </row>
    <row r="94" spans="1:10" s="235" customFormat="1" ht="15.95" hidden="1" customHeight="1" x14ac:dyDescent="0.2">
      <c r="A94" s="311">
        <f>Мат!A81</f>
        <v>0</v>
      </c>
      <c r="B94" s="341" t="str">
        <f>Мат!B81</f>
        <v>620х480х93</v>
      </c>
      <c r="C94" s="312"/>
      <c r="D94" s="315"/>
      <c r="E94" s="314"/>
      <c r="F94" s="335"/>
      <c r="G94" s="345"/>
      <c r="H94" s="315"/>
      <c r="I94" s="336" t="str">
        <f>Мат!E81</f>
        <v>шт.</v>
      </c>
      <c r="J94" s="776">
        <f>Мат!H81</f>
        <v>0</v>
      </c>
    </row>
    <row r="95" spans="1:10" s="235" customFormat="1" ht="15.95" hidden="1" customHeight="1" x14ac:dyDescent="0.2">
      <c r="A95" s="311">
        <f>Мат!A82</f>
        <v>0</v>
      </c>
      <c r="B95" s="341" t="str">
        <f>Мат!B82</f>
        <v>820х1010</v>
      </c>
      <c r="C95" s="312"/>
      <c r="D95" s="315"/>
      <c r="E95" s="314"/>
      <c r="F95" s="335"/>
      <c r="G95" s="345"/>
      <c r="H95" s="315"/>
      <c r="I95" s="336" t="str">
        <f>Мат!E82</f>
        <v>шт.</v>
      </c>
      <c r="J95" s="776">
        <f>Мат!H82</f>
        <v>0</v>
      </c>
    </row>
    <row r="96" spans="1:10" s="235" customFormat="1" ht="15.95" hidden="1" customHeight="1" x14ac:dyDescent="0.25">
      <c r="A96" s="311">
        <f>Мат!A83</f>
        <v>0</v>
      </c>
      <c r="B96" s="777" t="str">
        <f>Мат!B83</f>
        <v>ПЛАСТИНЫ ДЛЯ СТР</v>
      </c>
      <c r="C96" s="320"/>
      <c r="D96" s="323"/>
      <c r="E96" s="322"/>
      <c r="F96" s="338"/>
      <c r="G96" s="344"/>
      <c r="H96" s="323"/>
      <c r="I96" s="779" t="str">
        <f>Мат!E83</f>
        <v xml:space="preserve">   </v>
      </c>
      <c r="J96" s="780">
        <f>Мат!H83</f>
        <v>0</v>
      </c>
    </row>
    <row r="97" spans="1:10" s="235" customFormat="1" ht="15.95" hidden="1" customHeight="1" x14ac:dyDescent="0.2">
      <c r="A97" s="311">
        <f>Мат!A84</f>
        <v>0</v>
      </c>
      <c r="B97" s="1027" t="str">
        <f>Мат!B84</f>
        <v>530х650 Доминант СТР "FujiFilm" (цена в евро)</v>
      </c>
      <c r="C97" s="330"/>
      <c r="D97" s="331"/>
      <c r="E97" s="317"/>
      <c r="F97" s="340"/>
      <c r="G97" s="333"/>
      <c r="H97" s="971"/>
      <c r="I97" s="336" t="str">
        <f>Мат!E84</f>
        <v>шт.</v>
      </c>
      <c r="J97" s="776">
        <f>Мат!H84</f>
        <v>0</v>
      </c>
    </row>
    <row r="98" spans="1:10" s="235" customFormat="1" ht="15.95" hidden="1" customHeight="1" x14ac:dyDescent="0.2">
      <c r="A98" s="311">
        <f>Мат!A85</f>
        <v>0</v>
      </c>
      <c r="B98" s="1808" t="str">
        <f>Мат!B85</f>
        <v>530х650 Доминант СТР "Improva" (цена в долларах)</v>
      </c>
      <c r="C98" s="312"/>
      <c r="D98" s="313"/>
      <c r="E98" s="314"/>
      <c r="F98" s="335"/>
      <c r="G98" s="316"/>
      <c r="H98" s="315"/>
      <c r="I98" s="336" t="str">
        <f>Мат!E85</f>
        <v>шт.</v>
      </c>
      <c r="J98" s="776">
        <f>Мат!H85</f>
        <v>0</v>
      </c>
    </row>
    <row r="99" spans="1:10" s="235" customFormat="1" ht="15.95" hidden="1" customHeight="1" x14ac:dyDescent="0.2">
      <c r="A99" s="311">
        <f>Мат!A86</f>
        <v>0</v>
      </c>
      <c r="B99" s="1027" t="str">
        <f>Мат!B86</f>
        <v>608х844 Старлайн СТР "FujiFilm" (цена в евро)</v>
      </c>
      <c r="C99" s="312"/>
      <c r="D99" s="313"/>
      <c r="E99" s="314"/>
      <c r="F99" s="335"/>
      <c r="G99" s="316"/>
      <c r="H99" s="315"/>
      <c r="I99" s="336" t="str">
        <f>Мат!E86</f>
        <v>шт.</v>
      </c>
      <c r="J99" s="776">
        <f>Мат!H86</f>
        <v>0</v>
      </c>
    </row>
    <row r="100" spans="1:10" s="235" customFormat="1" ht="15.95" hidden="1" customHeight="1" x14ac:dyDescent="0.2">
      <c r="A100" s="311">
        <f>Мат!A87</f>
        <v>0</v>
      </c>
      <c r="B100" s="1808" t="str">
        <f>Мат!B87</f>
        <v>608х844 Старлайн СТР "Improva" терм.(цена в долларах)</v>
      </c>
      <c r="C100" s="330"/>
      <c r="D100" s="331"/>
      <c r="E100" s="317"/>
      <c r="F100" s="340"/>
      <c r="G100" s="343"/>
      <c r="H100" s="332"/>
      <c r="I100" s="336" t="str">
        <f>Мат!E87</f>
        <v>шт.</v>
      </c>
      <c r="J100" s="776">
        <f>Мат!H87</f>
        <v>0</v>
      </c>
    </row>
    <row r="101" spans="1:10" s="235" customFormat="1" ht="15.95" hidden="1" customHeight="1" x14ac:dyDescent="0.2">
      <c r="A101" s="311">
        <f>Мат!A88</f>
        <v>0</v>
      </c>
      <c r="B101" s="1027" t="str">
        <f>Мат!B88</f>
        <v>400х530 Комори СТР</v>
      </c>
      <c r="C101" s="320"/>
      <c r="D101" s="321"/>
      <c r="E101" s="322"/>
      <c r="F101" s="338"/>
      <c r="G101" s="344"/>
      <c r="H101" s="323"/>
      <c r="I101" s="336" t="str">
        <f>Мат!E88</f>
        <v>шт.</v>
      </c>
      <c r="J101" s="776">
        <f>Мат!H88</f>
        <v>0</v>
      </c>
    </row>
    <row r="102" spans="1:10" s="235" customFormat="1" ht="15.95" hidden="1" customHeight="1" x14ac:dyDescent="0.2">
      <c r="A102" s="311">
        <f>Мат!A89</f>
        <v>0</v>
      </c>
      <c r="B102" s="1027" t="str">
        <f>Мат!B89</f>
        <v>450х630 ПОГ-60 СТР "FujiFilm" (цена в евро)</v>
      </c>
      <c r="C102" s="330"/>
      <c r="D102" s="331"/>
      <c r="E102" s="317"/>
      <c r="F102" s="340"/>
      <c r="G102" s="343"/>
      <c r="H102" s="332"/>
      <c r="I102" s="336" t="str">
        <f>Мат!E89</f>
        <v>шт.</v>
      </c>
      <c r="J102" s="776">
        <f>Мат!H89</f>
        <v>0</v>
      </c>
    </row>
    <row r="103" spans="1:10" s="235" customFormat="1" ht="15.95" hidden="1" customHeight="1" x14ac:dyDescent="0.2">
      <c r="A103" s="311">
        <f>Мат!A90</f>
        <v>0</v>
      </c>
      <c r="B103" s="1808" t="str">
        <f>Мат!B90</f>
        <v>450х630 ПОГ-60 СТР "Improva" (цена в долларах)</v>
      </c>
      <c r="C103" s="330"/>
      <c r="D103" s="331"/>
      <c r="E103" s="317"/>
      <c r="F103" s="340"/>
      <c r="G103" s="343"/>
      <c r="H103" s="332"/>
      <c r="I103" s="336" t="str">
        <f>Мат!E90</f>
        <v>шт.</v>
      </c>
      <c r="J103" s="776">
        <f>Мат!H90</f>
        <v>0</v>
      </c>
    </row>
    <row r="104" spans="1:10" s="235" customFormat="1" ht="15.95" hidden="1" customHeight="1" x14ac:dyDescent="0.2">
      <c r="A104" s="311">
        <f>Мат!A91</f>
        <v>0</v>
      </c>
      <c r="B104" s="1027" t="str">
        <f>Мат!B91</f>
        <v>665х910 Ryobi CТР "FujiFilm" (цена в евро)</v>
      </c>
      <c r="C104" s="330"/>
      <c r="D104" s="331"/>
      <c r="E104" s="317"/>
      <c r="F104" s="340"/>
      <c r="G104" s="343"/>
      <c r="H104" s="332"/>
      <c r="I104" s="336" t="str">
        <f>Мат!E91</f>
        <v>шт.</v>
      </c>
      <c r="J104" s="776">
        <f>Мат!H91</f>
        <v>0</v>
      </c>
    </row>
    <row r="105" spans="1:10" ht="14.25" hidden="1" x14ac:dyDescent="0.2">
      <c r="A105" s="311">
        <f>Мат!A92</f>
        <v>0</v>
      </c>
      <c r="B105" s="1808" t="str">
        <f>Мат!B92</f>
        <v>665х910 Ryobi CТР "Kaizen" (цена в долларах)</v>
      </c>
      <c r="C105" s="729"/>
      <c r="D105" s="730"/>
      <c r="E105" s="731"/>
      <c r="F105" s="732"/>
      <c r="G105" s="733"/>
      <c r="H105" s="732"/>
      <c r="I105" s="336" t="str">
        <f>Мат!E92</f>
        <v>шт.</v>
      </c>
      <c r="J105" s="776">
        <f>Мат!H92</f>
        <v>0</v>
      </c>
    </row>
    <row r="106" spans="1:10" ht="14.25" hidden="1" x14ac:dyDescent="0.2">
      <c r="A106" s="311">
        <f>Мат!A93</f>
        <v>0</v>
      </c>
      <c r="B106" s="1027" t="str">
        <f>Мат!B93</f>
        <v>608х844 CityLine СТР "FujiFilm" (цена в евро)</v>
      </c>
      <c r="C106" s="729"/>
      <c r="D106" s="730"/>
      <c r="E106" s="731"/>
      <c r="F106" s="732"/>
      <c r="G106" s="733"/>
      <c r="H106" s="732"/>
      <c r="I106" s="336" t="str">
        <f>Мат!E93</f>
        <v>шт.</v>
      </c>
      <c r="J106" s="776">
        <f>Мат!H93</f>
        <v>0</v>
      </c>
    </row>
    <row r="107" spans="1:10" ht="14.25" x14ac:dyDescent="0.2">
      <c r="A107" s="311">
        <f>Мат!A94</f>
        <v>0</v>
      </c>
      <c r="B107" s="1808" t="str">
        <f>Мат!B94</f>
        <v>608х844 CityLine СТР "Kaizen" (цена в долларах)</v>
      </c>
      <c r="C107" s="734"/>
      <c r="D107" s="289"/>
      <c r="E107" s="735"/>
      <c r="F107" s="736"/>
      <c r="G107" s="737"/>
      <c r="H107" s="736"/>
      <c r="I107" s="336" t="str">
        <f>Мат!E94</f>
        <v>шт.</v>
      </c>
      <c r="J107" s="776">
        <f>Мат!H94</f>
        <v>16.8</v>
      </c>
    </row>
    <row r="108" spans="1:10" ht="14.25" hidden="1" x14ac:dyDescent="0.2">
      <c r="A108" s="311">
        <f>Мат!A95</f>
        <v>0</v>
      </c>
      <c r="B108" s="1027" t="str">
        <f>Мат!B95</f>
        <v>Форма ВД-лака</v>
      </c>
      <c r="C108" s="734"/>
      <c r="D108" s="289"/>
      <c r="E108" s="735"/>
      <c r="F108" s="736"/>
      <c r="G108" s="737"/>
      <c r="H108" s="736"/>
      <c r="I108" s="336" t="str">
        <f>Мат!E95</f>
        <v>шт.</v>
      </c>
      <c r="J108" s="776">
        <f>Мат!H95</f>
        <v>0</v>
      </c>
    </row>
    <row r="109" spans="1:10" ht="14.25" hidden="1" x14ac:dyDescent="0.2">
      <c r="A109" s="311">
        <f>Мат!A96</f>
        <v>0</v>
      </c>
      <c r="B109" s="1027" t="str">
        <f>Мат!B96</f>
        <v>600х730 б/у</v>
      </c>
      <c r="C109" s="734"/>
      <c r="D109" s="289"/>
      <c r="E109" s="735"/>
      <c r="F109" s="736"/>
      <c r="G109" s="737"/>
      <c r="H109" s="736"/>
      <c r="I109" s="336" t="str">
        <f>Мат!E96</f>
        <v>шт.</v>
      </c>
      <c r="J109" s="776">
        <f>Мат!H96</f>
        <v>0</v>
      </c>
    </row>
    <row r="110" spans="1:10" ht="14.25" hidden="1" x14ac:dyDescent="0.2">
      <c r="A110" s="311">
        <f>Мат!A97</f>
        <v>0</v>
      </c>
      <c r="B110" s="1027" t="str">
        <f>Мат!B97</f>
        <v>820х1010 б/у</v>
      </c>
      <c r="C110" s="734"/>
      <c r="D110" s="289"/>
      <c r="E110" s="735"/>
      <c r="F110" s="736"/>
      <c r="G110" s="737"/>
      <c r="H110" s="736"/>
      <c r="I110" s="336" t="str">
        <f>Мат!E97</f>
        <v>шт.</v>
      </c>
      <c r="J110" s="776">
        <f>Мат!H97</f>
        <v>0</v>
      </c>
    </row>
    <row r="111" spans="1:10" s="235" customFormat="1" ht="15.95" hidden="1" customHeight="1" x14ac:dyDescent="0.2">
      <c r="A111" s="311">
        <f>Мат!A98</f>
        <v>0</v>
      </c>
      <c r="B111" s="1027" t="str">
        <f>Мат!B98</f>
        <v>530х650 б/у</v>
      </c>
      <c r="C111" s="312"/>
      <c r="D111" s="313"/>
      <c r="E111" s="314"/>
      <c r="F111" s="335"/>
      <c r="G111" s="316"/>
      <c r="H111" s="315"/>
      <c r="I111" s="336" t="str">
        <f>Мат!E98</f>
        <v>шт.</v>
      </c>
      <c r="J111" s="776">
        <f>Мат!H98</f>
        <v>0</v>
      </c>
    </row>
    <row r="112" spans="1:10" s="235" customFormat="1" ht="15.95" hidden="1" customHeight="1" x14ac:dyDescent="0.2">
      <c r="A112" s="311">
        <f>Мат!A99</f>
        <v>0</v>
      </c>
      <c r="B112" s="1027" t="str">
        <f>Мат!B99</f>
        <v>608х844 б/у</v>
      </c>
      <c r="C112" s="312"/>
      <c r="D112" s="313"/>
      <c r="E112" s="314"/>
      <c r="F112" s="335"/>
      <c r="G112" s="316"/>
      <c r="H112" s="315"/>
      <c r="I112" s="336" t="str">
        <f>Мат!E99</f>
        <v>шт.</v>
      </c>
      <c r="J112" s="776">
        <f>Мат!H99</f>
        <v>0</v>
      </c>
    </row>
    <row r="113" spans="1:10" s="235" customFormat="1" ht="15.95" hidden="1" customHeight="1" x14ac:dyDescent="0.2">
      <c r="A113" s="311">
        <f>Мат!A100</f>
        <v>0</v>
      </c>
      <c r="B113" s="1027" t="str">
        <f>Мат!B100</f>
        <v>370х450 б/у</v>
      </c>
      <c r="C113" s="330"/>
      <c r="D113" s="331"/>
      <c r="E113" s="317"/>
      <c r="F113" s="340"/>
      <c r="G113" s="343"/>
      <c r="H113" s="332"/>
      <c r="I113" s="336" t="str">
        <f>Мат!E100</f>
        <v>шт.</v>
      </c>
      <c r="J113" s="776">
        <f>Мат!H100</f>
        <v>0</v>
      </c>
    </row>
    <row r="114" spans="1:10" s="235" customFormat="1" ht="15.95" hidden="1" customHeight="1" x14ac:dyDescent="0.2">
      <c r="A114" s="311">
        <f>Мат!A101</f>
        <v>0</v>
      </c>
      <c r="B114" s="1027" t="str">
        <f>Мат!B101</f>
        <v>400х530 б/у</v>
      </c>
      <c r="C114" s="330"/>
      <c r="D114" s="331"/>
      <c r="E114" s="317"/>
      <c r="F114" s="340"/>
      <c r="G114" s="343"/>
      <c r="H114" s="971"/>
      <c r="I114" s="336" t="str">
        <f>Мат!E101</f>
        <v>шт.</v>
      </c>
      <c r="J114" s="776">
        <f>Мат!H101</f>
        <v>0</v>
      </c>
    </row>
    <row r="115" spans="1:10" ht="15" hidden="1" x14ac:dyDescent="0.25">
      <c r="A115" s="311">
        <f>Мат!A102</f>
        <v>0</v>
      </c>
      <c r="B115" s="777" t="str">
        <f>Мат!B102</f>
        <v>ИТОГО ПЛАСТИНЫ</v>
      </c>
      <c r="C115" s="734"/>
      <c r="D115" s="289"/>
      <c r="E115" s="735"/>
      <c r="F115" s="736"/>
      <c r="G115" s="737"/>
      <c r="H115" s="736"/>
      <c r="I115" s="336"/>
      <c r="J115" s="776"/>
    </row>
    <row r="116" spans="1:10" ht="15" hidden="1" x14ac:dyDescent="0.25">
      <c r="A116" s="311">
        <f>Мат!A103</f>
        <v>0</v>
      </c>
      <c r="B116" s="777" t="str">
        <f>Мат!B103</f>
        <v>ДРУГИЕ МАТЕРИАЛЫ</v>
      </c>
      <c r="C116" s="729"/>
      <c r="D116" s="730"/>
      <c r="E116" s="731"/>
      <c r="F116" s="732"/>
      <c r="G116" s="733"/>
      <c r="H116" s="732"/>
      <c r="I116" s="779">
        <f>Мат!E103</f>
        <v>0</v>
      </c>
      <c r="J116" s="780">
        <f>Мат!H103</f>
        <v>0</v>
      </c>
    </row>
    <row r="117" spans="1:10" s="235" customFormat="1" ht="15.95" hidden="1" customHeight="1" x14ac:dyDescent="0.25">
      <c r="A117" s="311">
        <f>Мат!A104</f>
        <v>0</v>
      </c>
      <c r="B117" s="777" t="str">
        <f>Мат!B104</f>
        <v xml:space="preserve">ПЛЕНКА </v>
      </c>
      <c r="C117" s="312"/>
      <c r="D117" s="313"/>
      <c r="E117" s="314"/>
      <c r="F117" s="335"/>
      <c r="G117" s="345"/>
      <c r="H117" s="315"/>
      <c r="I117" s="779">
        <f>Мат!E104</f>
        <v>0</v>
      </c>
      <c r="J117" s="780">
        <f>Мат!H104</f>
        <v>0</v>
      </c>
    </row>
    <row r="118" spans="1:10" s="235" customFormat="1" ht="15.95" hidden="1" customHeight="1" x14ac:dyDescent="0.2">
      <c r="A118" s="311">
        <f>Мат!A105</f>
        <v>0</v>
      </c>
      <c r="B118" s="341" t="str">
        <f>Мат!B105</f>
        <v>полиэстер Кимото А4</v>
      </c>
      <c r="C118" s="312"/>
      <c r="D118" s="313"/>
      <c r="E118" s="314"/>
      <c r="F118" s="335"/>
      <c r="G118" s="345"/>
      <c r="H118" s="315"/>
      <c r="I118" s="336" t="str">
        <f>Мат!E105</f>
        <v>лист</v>
      </c>
      <c r="J118" s="776">
        <f>Мат!H105</f>
        <v>0</v>
      </c>
    </row>
    <row r="119" spans="1:10" s="235" customFormat="1" ht="15.95" hidden="1" customHeight="1" x14ac:dyDescent="0.2">
      <c r="A119" s="311">
        <f>Мат!A106</f>
        <v>0</v>
      </c>
      <c r="B119" s="341" t="str">
        <f>Мат!B106</f>
        <v>полиэстер Кимото А3</v>
      </c>
      <c r="C119" s="320"/>
      <c r="D119" s="321"/>
      <c r="E119" s="322"/>
      <c r="F119" s="338"/>
      <c r="G119" s="344"/>
      <c r="H119" s="323"/>
      <c r="I119" s="336" t="str">
        <f>Мат!E106</f>
        <v>лист</v>
      </c>
      <c r="J119" s="776">
        <f>Мат!H106</f>
        <v>0</v>
      </c>
    </row>
    <row r="120" spans="1:10" s="235" customFormat="1" ht="15.95" hidden="1" customHeight="1" x14ac:dyDescent="0.2">
      <c r="A120" s="311">
        <f>Мат!A107</f>
        <v>0</v>
      </c>
      <c r="B120" s="341" t="str">
        <f>Мат!B107</f>
        <v>фотопленка Агфа для Scitex Dolev 660х60</v>
      </c>
      <c r="C120" s="330"/>
      <c r="D120" s="331"/>
      <c r="E120" s="317"/>
      <c r="F120" s="340"/>
      <c r="G120" s="333"/>
      <c r="H120" s="332"/>
      <c r="I120" s="336" t="str">
        <f>Мат!E107</f>
        <v>м.</v>
      </c>
      <c r="J120" s="776">
        <f>Мат!H107</f>
        <v>0</v>
      </c>
    </row>
    <row r="121" spans="1:10" s="235" customFormat="1" ht="15.95" hidden="1" customHeight="1" x14ac:dyDescent="0.2">
      <c r="A121" s="311">
        <f>Мат!A108</f>
        <v>0</v>
      </c>
      <c r="B121" s="341" t="str">
        <f>Мат!B108</f>
        <v>фотопленка Агфа для Scitex Dolev 4Prees 737х60</v>
      </c>
      <c r="C121" s="312"/>
      <c r="D121" s="313"/>
      <c r="E121" s="314"/>
      <c r="F121" s="335"/>
      <c r="G121" s="316"/>
      <c r="H121" s="315"/>
      <c r="I121" s="336" t="str">
        <f>Мат!E108</f>
        <v>м.</v>
      </c>
      <c r="J121" s="776">
        <f>Мат!H108</f>
        <v>0</v>
      </c>
    </row>
    <row r="122" spans="1:10" s="235" customFormat="1" ht="15.95" hidden="1" customHeight="1" x14ac:dyDescent="0.2">
      <c r="A122" s="311">
        <f>Мат!A109</f>
        <v>0</v>
      </c>
      <c r="B122" s="341" t="str">
        <f>Мат!B109</f>
        <v>пленка глянцевая</v>
      </c>
      <c r="C122" s="330"/>
      <c r="D122" s="331"/>
      <c r="E122" s="317"/>
      <c r="F122" s="340"/>
      <c r="G122" s="343"/>
      <c r="H122" s="332"/>
      <c r="I122" s="336" t="str">
        <f>Мат!E109</f>
        <v>м.</v>
      </c>
      <c r="J122" s="776">
        <f>Мат!H109</f>
        <v>0</v>
      </c>
    </row>
    <row r="123" spans="1:10" s="235" customFormat="1" ht="15.95" hidden="1" customHeight="1" x14ac:dyDescent="0.2">
      <c r="A123" s="311">
        <f>Мат!A110</f>
        <v>0</v>
      </c>
      <c r="B123" s="341" t="str">
        <f>Мат!B110</f>
        <v>пленка  RPV 1d6 305 мм., 75мкм, 150 м</v>
      </c>
      <c r="C123" s="320"/>
      <c r="D123" s="321"/>
      <c r="E123" s="322"/>
      <c r="F123" s="338"/>
      <c r="G123" s="344"/>
      <c r="H123" s="323"/>
      <c r="I123" s="336" t="str">
        <f>Мат!E110</f>
        <v>м.</v>
      </c>
      <c r="J123" s="776">
        <f>Мат!H110</f>
        <v>0</v>
      </c>
    </row>
    <row r="124" spans="1:10" s="235" customFormat="1" ht="15.95" hidden="1" customHeight="1" x14ac:dyDescent="0.25">
      <c r="A124" s="311">
        <f>Мат!A111</f>
        <v>0</v>
      </c>
      <c r="B124" s="777" t="str">
        <f>Мат!B111</f>
        <v xml:space="preserve">ИТОГО ПЛЕНКА </v>
      </c>
      <c r="C124" s="346"/>
      <c r="D124" s="347"/>
      <c r="E124" s="327"/>
      <c r="F124" s="328"/>
      <c r="G124" s="348"/>
      <c r="H124" s="326"/>
      <c r="I124" s="336"/>
      <c r="J124" s="776"/>
    </row>
    <row r="125" spans="1:10" s="235" customFormat="1" ht="15.95" hidden="1" customHeight="1" x14ac:dyDescent="0.25">
      <c r="A125" s="311">
        <f>Мат!A112</f>
        <v>0</v>
      </c>
      <c r="B125" s="777" t="str">
        <f>Мат!B112</f>
        <v>ХИМРЕАКТИВЫ</v>
      </c>
      <c r="C125" s="330"/>
      <c r="D125" s="331"/>
      <c r="E125" s="317"/>
      <c r="F125" s="340"/>
      <c r="G125" s="343"/>
      <c r="H125" s="332"/>
      <c r="I125" s="779">
        <f>Мат!E112</f>
        <v>0</v>
      </c>
      <c r="J125" s="780">
        <f>Мат!H112</f>
        <v>0</v>
      </c>
    </row>
    <row r="126" spans="1:10" s="235" customFormat="1" ht="15.95" hidden="1" customHeight="1" x14ac:dyDescent="0.2">
      <c r="A126" s="311">
        <f>Мат!A113</f>
        <v>0</v>
      </c>
      <c r="B126" s="341" t="str">
        <f>Мат!B113</f>
        <v>Концентрат проявителя Агфа</v>
      </c>
      <c r="C126" s="312"/>
      <c r="D126" s="313"/>
      <c r="E126" s="314"/>
      <c r="F126" s="335"/>
      <c r="G126" s="345"/>
      <c r="H126" s="315"/>
      <c r="I126" s="336" t="str">
        <f>Мат!E113</f>
        <v>л.</v>
      </c>
      <c r="J126" s="776">
        <f>Мат!H113</f>
        <v>0</v>
      </c>
    </row>
    <row r="127" spans="1:10" s="235" customFormat="1" ht="15.95" hidden="1" customHeight="1" x14ac:dyDescent="0.2">
      <c r="A127" s="311">
        <f>Мат!A114</f>
        <v>0</v>
      </c>
      <c r="B127" s="341" t="str">
        <f>Мат!B114</f>
        <v>Проявитель для офсетных пластин</v>
      </c>
      <c r="C127" s="330"/>
      <c r="D127" s="331"/>
      <c r="E127" s="317"/>
      <c r="F127" s="340"/>
      <c r="G127" s="333"/>
      <c r="H127" s="332"/>
      <c r="I127" s="336" t="str">
        <f>Мат!E114</f>
        <v>л.</v>
      </c>
      <c r="J127" s="776">
        <f>Мат!H114</f>
        <v>0</v>
      </c>
    </row>
    <row r="128" spans="1:10" s="235" customFormat="1" ht="15.95" hidden="1" customHeight="1" x14ac:dyDescent="0.2">
      <c r="A128" s="311">
        <f>Мат!A115</f>
        <v>0</v>
      </c>
      <c r="B128" s="341" t="str">
        <f>Мат!B115</f>
        <v>Проявитель для СТР пластин</v>
      </c>
      <c r="C128" s="312"/>
      <c r="D128" s="313"/>
      <c r="E128" s="314"/>
      <c r="F128" s="335"/>
      <c r="G128" s="316"/>
      <c r="H128" s="315"/>
      <c r="I128" s="336" t="str">
        <f>Мат!E115</f>
        <v>л.</v>
      </c>
      <c r="J128" s="776">
        <f>Мат!H115</f>
        <v>0</v>
      </c>
    </row>
    <row r="129" spans="1:10" s="235" customFormat="1" ht="15.95" hidden="1" customHeight="1" x14ac:dyDescent="0.2">
      <c r="A129" s="311">
        <f>Мат!A116</f>
        <v>0</v>
      </c>
      <c r="B129" s="341" t="str">
        <f>Мат!B116</f>
        <v>Проявитель для СТР</v>
      </c>
      <c r="C129" s="330"/>
      <c r="D129" s="331"/>
      <c r="E129" s="317"/>
      <c r="F129" s="340"/>
      <c r="G129" s="343"/>
      <c r="H129" s="332"/>
      <c r="I129" s="336" t="str">
        <f>Мат!E116</f>
        <v>л</v>
      </c>
      <c r="J129" s="776">
        <f>Мат!H116</f>
        <v>0</v>
      </c>
    </row>
    <row r="130" spans="1:10" s="235" customFormat="1" ht="15.75" hidden="1" customHeight="1" x14ac:dyDescent="0.2">
      <c r="A130" s="311">
        <f>Мат!A117</f>
        <v>0</v>
      </c>
      <c r="B130" s="341" t="str">
        <f>Мат!B117</f>
        <v>Фиксаж Агфа G333C</v>
      </c>
      <c r="C130" s="330"/>
      <c r="D130" s="331"/>
      <c r="E130" s="317"/>
      <c r="F130" s="340"/>
      <c r="G130" s="343"/>
      <c r="H130" s="971"/>
      <c r="I130" s="336" t="str">
        <f>Мат!E117</f>
        <v>л.</v>
      </c>
      <c r="J130" s="776">
        <f>Мат!H117</f>
        <v>0</v>
      </c>
    </row>
    <row r="131" spans="1:10" s="235" customFormat="1" ht="15.95" hidden="1" customHeight="1" x14ac:dyDescent="0.25">
      <c r="A131" s="311">
        <f>Мат!A118</f>
        <v>0</v>
      </c>
      <c r="B131" s="777" t="str">
        <f>Мат!B118</f>
        <v>ИТОГО ХИМРЕАКТИВЫ</v>
      </c>
      <c r="C131" s="346"/>
      <c r="D131" s="347"/>
      <c r="E131" s="327"/>
      <c r="F131" s="328"/>
      <c r="G131" s="348"/>
      <c r="H131" s="326"/>
      <c r="I131" s="336"/>
      <c r="J131" s="776"/>
    </row>
    <row r="132" spans="1:10" s="235" customFormat="1" ht="15.95" hidden="1" customHeight="1" x14ac:dyDescent="0.25">
      <c r="A132" s="311">
        <f>Мат!A119</f>
        <v>0</v>
      </c>
      <c r="B132" s="777" t="str">
        <f>Мат!B119</f>
        <v>ПРОЧИЕ</v>
      </c>
      <c r="C132" s="330"/>
      <c r="D132" s="331"/>
      <c r="E132" s="317"/>
      <c r="F132" s="340"/>
      <c r="G132" s="343"/>
      <c r="H132" s="332"/>
      <c r="I132" s="779">
        <f>Мат!E119</f>
        <v>0</v>
      </c>
      <c r="J132" s="780">
        <f>Мат!H119</f>
        <v>0</v>
      </c>
    </row>
    <row r="133" spans="1:10" s="235" customFormat="1" ht="15.95" hidden="1" customHeight="1" x14ac:dyDescent="0.2">
      <c r="A133" s="311">
        <f>Мат!A120</f>
        <v>1</v>
      </c>
      <c r="B133" s="341" t="str">
        <f>Мат!B120</f>
        <v>Бумвинил 1 сорт ширина 830 мм.</v>
      </c>
      <c r="C133" s="312"/>
      <c r="D133" s="313"/>
      <c r="E133" s="314"/>
      <c r="F133" s="335"/>
      <c r="G133" s="345"/>
      <c r="H133" s="315"/>
      <c r="I133" s="336" t="str">
        <f>Мат!E120</f>
        <v>м.пог.</v>
      </c>
      <c r="J133" s="776">
        <f>Мат!H120</f>
        <v>0</v>
      </c>
    </row>
    <row r="134" spans="1:10" s="235" customFormat="1" ht="15.95" hidden="1" customHeight="1" x14ac:dyDescent="0.2">
      <c r="A134" s="311">
        <f>Мат!A121</f>
        <v>2</v>
      </c>
      <c r="B134" s="341" t="str">
        <f>Мат!B121</f>
        <v>Скотч двухсторонний</v>
      </c>
      <c r="C134" s="312"/>
      <c r="D134" s="313"/>
      <c r="E134" s="314"/>
      <c r="F134" s="335"/>
      <c r="G134" s="345"/>
      <c r="H134" s="315"/>
      <c r="I134" s="336" t="str">
        <f>Мат!E121</f>
        <v>шт.</v>
      </c>
      <c r="J134" s="776">
        <f>Мат!H121</f>
        <v>0</v>
      </c>
    </row>
    <row r="135" spans="1:10" s="235" customFormat="1" ht="15.95" hidden="1" customHeight="1" x14ac:dyDescent="0.2">
      <c r="A135" s="311">
        <f>Мат!A122</f>
        <v>3</v>
      </c>
      <c r="B135" s="341" t="str">
        <f>Мат!B122</f>
        <v>Ригель 200мм белый</v>
      </c>
      <c r="C135" s="312"/>
      <c r="D135" s="313"/>
      <c r="E135" s="314"/>
      <c r="F135" s="335"/>
      <c r="G135" s="345"/>
      <c r="H135" s="315"/>
      <c r="I135" s="336" t="str">
        <f>Мат!E122</f>
        <v>шт.</v>
      </c>
      <c r="J135" s="776">
        <f>Мат!H122</f>
        <v>0</v>
      </c>
    </row>
    <row r="136" spans="1:10" s="235" customFormat="1" ht="15.95" hidden="1" customHeight="1" x14ac:dyDescent="0.2">
      <c r="A136" s="311">
        <f>Мат!A123</f>
        <v>4</v>
      </c>
      <c r="B136" s="341" t="str">
        <f>Мат!B123</f>
        <v>Люверсы</v>
      </c>
      <c r="C136" s="312"/>
      <c r="D136" s="313"/>
      <c r="E136" s="314"/>
      <c r="F136" s="335"/>
      <c r="G136" s="345"/>
      <c r="H136" s="315"/>
      <c r="I136" s="336" t="str">
        <f>Мат!E123</f>
        <v>шт.</v>
      </c>
      <c r="J136" s="776">
        <f>Мат!H123</f>
        <v>0</v>
      </c>
    </row>
    <row r="137" spans="1:10" s="235" customFormat="1" ht="15.95" hidden="1" customHeight="1" x14ac:dyDescent="0.2">
      <c r="A137" s="311">
        <f>Мат!A124</f>
        <v>5</v>
      </c>
      <c r="B137" s="341" t="str">
        <f>Мат!B124</f>
        <v>Клей Адгезин (для переплетного)</v>
      </c>
      <c r="C137" s="312"/>
      <c r="D137" s="313"/>
      <c r="E137" s="314"/>
      <c r="F137" s="335"/>
      <c r="G137" s="345"/>
      <c r="H137" s="315"/>
      <c r="I137" s="336" t="str">
        <f>Мат!E124</f>
        <v>кг.</v>
      </c>
      <c r="J137" s="776">
        <f>Мат!H124</f>
        <v>0</v>
      </c>
    </row>
    <row r="138" spans="1:10" s="235" customFormat="1" ht="15.95" hidden="1" customHeight="1" x14ac:dyDescent="0.2">
      <c r="A138" s="311">
        <f>Мат!A125</f>
        <v>6</v>
      </c>
      <c r="B138" s="341" t="str">
        <f>Мат!B125</f>
        <v>Клей КМЦ</v>
      </c>
      <c r="C138" s="312"/>
      <c r="D138" s="313"/>
      <c r="E138" s="314"/>
      <c r="F138" s="335"/>
      <c r="G138" s="345"/>
      <c r="H138" s="315"/>
      <c r="I138" s="336" t="str">
        <f>Мат!E125</f>
        <v>кг.</v>
      </c>
      <c r="J138" s="776">
        <f>Мат!H125</f>
        <v>0</v>
      </c>
    </row>
    <row r="139" spans="1:10" s="235" customFormat="1" ht="15.95" hidden="1" customHeight="1" x14ac:dyDescent="0.2">
      <c r="A139" s="311">
        <f>Мат!A126</f>
        <v>7</v>
      </c>
      <c r="B139" s="341" t="str">
        <f>Мат!B126</f>
        <v>Клей-дисперсион. ПВА</v>
      </c>
      <c r="C139" s="312"/>
      <c r="D139" s="313"/>
      <c r="E139" s="314"/>
      <c r="F139" s="335"/>
      <c r="G139" s="345"/>
      <c r="H139" s="315"/>
      <c r="I139" s="336" t="str">
        <f>Мат!E126</f>
        <v>кг.</v>
      </c>
      <c r="J139" s="776">
        <f>Мат!H126</f>
        <v>0</v>
      </c>
    </row>
    <row r="140" spans="1:10" s="235" customFormat="1" ht="15.95" hidden="1" customHeight="1" x14ac:dyDescent="0.2">
      <c r="A140" s="311">
        <f>Мат!A127</f>
        <v>8</v>
      </c>
      <c r="B140" s="341" t="str">
        <f>Мат!B127</f>
        <v>Термоклей НМ 9470 планатол</v>
      </c>
      <c r="C140" s="312"/>
      <c r="D140" s="313"/>
      <c r="E140" s="314"/>
      <c r="F140" s="335"/>
      <c r="G140" s="345"/>
      <c r="H140" s="315"/>
      <c r="I140" s="336" t="str">
        <f>Мат!E127</f>
        <v>кг.</v>
      </c>
      <c r="J140" s="776">
        <f>Мат!H127</f>
        <v>0</v>
      </c>
    </row>
    <row r="141" spans="1:10" s="235" customFormat="1" ht="15.95" hidden="1" customHeight="1" x14ac:dyDescent="0.2">
      <c r="A141" s="311">
        <f>Мат!A128</f>
        <v>9</v>
      </c>
      <c r="B141" s="341" t="str">
        <f>Мат!B128</f>
        <v>Клей-карандаш (большой)</v>
      </c>
      <c r="C141" s="312"/>
      <c r="D141" s="313"/>
      <c r="E141" s="314"/>
      <c r="F141" s="335"/>
      <c r="G141" s="345"/>
      <c r="H141" s="315"/>
      <c r="I141" s="336" t="str">
        <f>Мат!E128</f>
        <v>шт.</v>
      </c>
      <c r="J141" s="776">
        <f>Мат!H128</f>
        <v>0</v>
      </c>
    </row>
    <row r="142" spans="1:10" s="235" customFormat="1" ht="15.95" hidden="1" customHeight="1" x14ac:dyDescent="0.2">
      <c r="A142" s="311">
        <f>Мат!A129</f>
        <v>10</v>
      </c>
      <c r="B142" s="341" t="str">
        <f>Мат!B129</f>
        <v>Переплетный материал</v>
      </c>
      <c r="C142" s="312"/>
      <c r="D142" s="313"/>
      <c r="E142" s="314"/>
      <c r="F142" s="335"/>
      <c r="G142" s="345"/>
      <c r="H142" s="315"/>
      <c r="I142" s="336" t="str">
        <f>Мат!E129</f>
        <v>м.пог.</v>
      </c>
      <c r="J142" s="776">
        <f>Мат!H129</f>
        <v>0</v>
      </c>
    </row>
    <row r="143" spans="1:10" s="235" customFormat="1" ht="15.95" hidden="1" customHeight="1" x14ac:dyDescent="0.2">
      <c r="A143" s="311">
        <f>Мат!A130</f>
        <v>11</v>
      </c>
      <c r="B143" s="341" t="str">
        <f>Мат!B130</f>
        <v>Переплетный материал</v>
      </c>
      <c r="C143" s="312"/>
      <c r="D143" s="313"/>
      <c r="E143" s="314"/>
      <c r="F143" s="335"/>
      <c r="G143" s="345"/>
      <c r="H143" s="315"/>
      <c r="I143" s="336" t="str">
        <f>Мат!E130</f>
        <v>м.пог.</v>
      </c>
      <c r="J143" s="776">
        <f>Мат!H130</f>
        <v>0</v>
      </c>
    </row>
    <row r="144" spans="1:10" s="235" customFormat="1" ht="15.95" hidden="1" customHeight="1" x14ac:dyDescent="0.2">
      <c r="A144" s="311">
        <f>Мат!A131</f>
        <v>12</v>
      </c>
      <c r="B144" s="341" t="str">
        <f>Мат!B131</f>
        <v>Переплетный материал</v>
      </c>
      <c r="C144" s="312"/>
      <c r="D144" s="313"/>
      <c r="E144" s="314"/>
      <c r="F144" s="335"/>
      <c r="G144" s="345"/>
      <c r="H144" s="315"/>
      <c r="I144" s="336" t="str">
        <f>Мат!E131</f>
        <v>м.пог.</v>
      </c>
      <c r="J144" s="776">
        <f>Мат!H131</f>
        <v>0</v>
      </c>
    </row>
    <row r="145" spans="1:10" s="235" customFormat="1" ht="15.95" hidden="1" customHeight="1" x14ac:dyDescent="0.2">
      <c r="A145" s="311">
        <f>Мат!A132</f>
        <v>13</v>
      </c>
      <c r="B145" s="341" t="str">
        <f>Мат!B132</f>
        <v>Пленка термоусадочная 350мм</v>
      </c>
      <c r="C145" s="312"/>
      <c r="D145" s="313"/>
      <c r="E145" s="314"/>
      <c r="F145" s="335"/>
      <c r="G145" s="345"/>
      <c r="H145" s="315"/>
      <c r="I145" s="336" t="str">
        <f>Мат!E132</f>
        <v>м.</v>
      </c>
      <c r="J145" s="776">
        <f>Мат!H132</f>
        <v>0</v>
      </c>
    </row>
    <row r="146" spans="1:10" s="235" customFormat="1" ht="15.95" hidden="1" customHeight="1" x14ac:dyDescent="0.2">
      <c r="A146" s="311">
        <f>Мат!A133</f>
        <v>14</v>
      </c>
      <c r="B146" s="341" t="str">
        <f>Мат!B133</f>
        <v>Пленка термоусадочная 300мм</v>
      </c>
      <c r="C146" s="312"/>
      <c r="D146" s="313"/>
      <c r="E146" s="314"/>
      <c r="F146" s="335"/>
      <c r="G146" s="345"/>
      <c r="H146" s="315"/>
      <c r="I146" s="336" t="str">
        <f>Мат!E133</f>
        <v>м.</v>
      </c>
      <c r="J146" s="776">
        <f>Мат!H133</f>
        <v>0</v>
      </c>
    </row>
    <row r="147" spans="1:10" s="235" customFormat="1" ht="15.95" hidden="1" customHeight="1" x14ac:dyDescent="0.2">
      <c r="A147" s="311">
        <f>Мат!A134</f>
        <v>15</v>
      </c>
      <c r="B147" s="341" t="str">
        <f>Мат!B134</f>
        <v>Пленка термоусадочная 400мм</v>
      </c>
      <c r="C147" s="312"/>
      <c r="D147" s="313"/>
      <c r="E147" s="314"/>
      <c r="F147" s="335"/>
      <c r="G147" s="345"/>
      <c r="H147" s="315"/>
      <c r="I147" s="336" t="str">
        <f>Мат!E134</f>
        <v>м.</v>
      </c>
      <c r="J147" s="776">
        <f>Мат!H134</f>
        <v>0</v>
      </c>
    </row>
    <row r="148" spans="1:10" s="235" customFormat="1" ht="15.95" hidden="1" customHeight="1" x14ac:dyDescent="0.2">
      <c r="A148" s="311">
        <f>Мат!A135</f>
        <v>16</v>
      </c>
      <c r="B148" s="341" t="str">
        <f>Мат!B135</f>
        <v>Пленка для ламинир. 610мм 25-32мкм, глянцевая</v>
      </c>
      <c r="C148" s="312"/>
      <c r="D148" s="313"/>
      <c r="E148" s="314"/>
      <c r="F148" s="335"/>
      <c r="G148" s="345"/>
      <c r="H148" s="315"/>
      <c r="I148" s="336" t="str">
        <f>Мат!E135</f>
        <v>п.м.</v>
      </c>
      <c r="J148" s="776">
        <f>Мат!H135</f>
        <v>0</v>
      </c>
    </row>
    <row r="149" spans="1:10" s="235" customFormat="1" ht="15.95" hidden="1" customHeight="1" x14ac:dyDescent="0.2">
      <c r="A149" s="311">
        <f>Мат!A136</f>
        <v>17</v>
      </c>
      <c r="B149" s="341" t="str">
        <f>Мат!B136</f>
        <v>Пленка для ламинир. 610мм 25-32мкм, матовая</v>
      </c>
      <c r="C149" s="312"/>
      <c r="D149" s="313"/>
      <c r="E149" s="314"/>
      <c r="F149" s="335"/>
      <c r="G149" s="345"/>
      <c r="H149" s="315"/>
      <c r="I149" s="336" t="str">
        <f>Мат!E136</f>
        <v>п.м.</v>
      </c>
      <c r="J149" s="776">
        <f>Мат!H136</f>
        <v>0</v>
      </c>
    </row>
    <row r="150" spans="1:10" s="235" customFormat="1" ht="15.95" hidden="1" customHeight="1" x14ac:dyDescent="0.2">
      <c r="A150" s="311">
        <f>Мат!A137</f>
        <v>18</v>
      </c>
      <c r="B150" s="341" t="str">
        <f>Мат!B137</f>
        <v>Пленка для ламинир. 460мм 25-32мкм, глянцевая</v>
      </c>
      <c r="C150" s="312"/>
      <c r="D150" s="313"/>
      <c r="E150" s="314"/>
      <c r="F150" s="335"/>
      <c r="G150" s="345"/>
      <c r="H150" s="315"/>
      <c r="I150" s="336" t="str">
        <f>Мат!E137</f>
        <v>п.м.</v>
      </c>
      <c r="J150" s="776">
        <f>Мат!H137</f>
        <v>0</v>
      </c>
    </row>
    <row r="151" spans="1:10" s="235" customFormat="1" ht="15.95" hidden="1" customHeight="1" x14ac:dyDescent="0.2">
      <c r="A151" s="311">
        <f>Мат!A138</f>
        <v>19</v>
      </c>
      <c r="B151" s="341" t="str">
        <f>Мат!B138</f>
        <v>Пленка для ламинир. 460мм 25-32мкм, матовая</v>
      </c>
      <c r="C151" s="312"/>
      <c r="D151" s="313"/>
      <c r="E151" s="314"/>
      <c r="F151" s="335"/>
      <c r="G151" s="345"/>
      <c r="H151" s="315"/>
      <c r="I151" s="336" t="str">
        <f>Мат!E138</f>
        <v>п.м.</v>
      </c>
      <c r="J151" s="776">
        <f>Мат!H138</f>
        <v>0</v>
      </c>
    </row>
    <row r="152" spans="1:10" s="235" customFormat="1" ht="15.95" hidden="1" customHeight="1" x14ac:dyDescent="0.2">
      <c r="A152" s="311">
        <f>Мат!A139</f>
        <v>20</v>
      </c>
      <c r="B152" s="341" t="str">
        <f>Мат!B139</f>
        <v>Пленка для ламинир. 460мм (для цифры), глянцевая</v>
      </c>
      <c r="C152" s="312"/>
      <c r="D152" s="313"/>
      <c r="E152" s="314"/>
      <c r="F152" s="335"/>
      <c r="G152" s="345"/>
      <c r="H152" s="315"/>
      <c r="I152" s="336" t="str">
        <f>Мат!E139</f>
        <v>п.м.</v>
      </c>
      <c r="J152" s="776">
        <f>Мат!H139</f>
        <v>0</v>
      </c>
    </row>
    <row r="153" spans="1:10" s="235" customFormat="1" ht="15.95" hidden="1" customHeight="1" x14ac:dyDescent="0.2">
      <c r="A153" s="311">
        <f>Мат!A140</f>
        <v>21</v>
      </c>
      <c r="B153" s="341" t="str">
        <f>Мат!B140</f>
        <v>Пленка для ламинир. 460мм (для цифры), матовая</v>
      </c>
      <c r="C153" s="312"/>
      <c r="D153" s="313"/>
      <c r="E153" s="314"/>
      <c r="F153" s="335"/>
      <c r="G153" s="345"/>
      <c r="H153" s="315"/>
      <c r="I153" s="336" t="str">
        <f>Мат!E140</f>
        <v>п.м.</v>
      </c>
      <c r="J153" s="776">
        <f>Мат!H140</f>
        <v>0</v>
      </c>
    </row>
    <row r="154" spans="1:10" s="235" customFormat="1" ht="15.95" hidden="1" customHeight="1" x14ac:dyDescent="0.2">
      <c r="A154" s="311">
        <f>Мат!A141</f>
        <v>22</v>
      </c>
      <c r="B154" s="341" t="str">
        <f>Мат!B141</f>
        <v>Пленка для ламинир. 495мм 25-32мкм, глянцевая</v>
      </c>
      <c r="C154" s="312"/>
      <c r="D154" s="313"/>
      <c r="E154" s="314"/>
      <c r="F154" s="335"/>
      <c r="G154" s="345"/>
      <c r="H154" s="315"/>
      <c r="I154" s="336" t="str">
        <f>Мат!E141</f>
        <v>п.м.</v>
      </c>
      <c r="J154" s="776">
        <f>Мат!H141</f>
        <v>0</v>
      </c>
    </row>
    <row r="155" spans="1:10" s="235" customFormat="1" ht="15.95" hidden="1" customHeight="1" x14ac:dyDescent="0.2">
      <c r="A155" s="311">
        <f>Мат!A142</f>
        <v>23</v>
      </c>
      <c r="B155" s="341" t="str">
        <f>Мат!B142</f>
        <v>Пленка для ламинир. 495мм 25-32мкм, матовая</v>
      </c>
      <c r="C155" s="312"/>
      <c r="D155" s="313"/>
      <c r="E155" s="314"/>
      <c r="F155" s="335"/>
      <c r="G155" s="345"/>
      <c r="H155" s="315"/>
      <c r="I155" s="336" t="str">
        <f>Мат!E142</f>
        <v>п.м.</v>
      </c>
      <c r="J155" s="776">
        <f>Мат!H142</f>
        <v>0</v>
      </c>
    </row>
    <row r="156" spans="1:10" s="235" customFormat="1" ht="15.95" hidden="1" customHeight="1" x14ac:dyDescent="0.2">
      <c r="A156" s="311">
        <f>Мат!A143</f>
        <v>24</v>
      </c>
      <c r="B156" s="341" t="str">
        <f>Мат!B143</f>
        <v>Пленка для ламинир. 495мм 38мкм, лен</v>
      </c>
      <c r="C156" s="312"/>
      <c r="D156" s="313"/>
      <c r="E156" s="314"/>
      <c r="F156" s="335"/>
      <c r="G156" s="345"/>
      <c r="H156" s="315"/>
      <c r="I156" s="336" t="str">
        <f>Мат!E143</f>
        <v>п.м.</v>
      </c>
      <c r="J156" s="776">
        <f>Мат!H143</f>
        <v>0</v>
      </c>
    </row>
    <row r="157" spans="1:10" s="235" customFormat="1" ht="15.95" hidden="1" customHeight="1" x14ac:dyDescent="0.2">
      <c r="A157" s="311">
        <f>Мат!A144</f>
        <v>25</v>
      </c>
      <c r="B157" s="341" t="str">
        <f>Мат!B144</f>
        <v>Пленка для ламинир. 490мм 100мкм, глянцевая</v>
      </c>
      <c r="C157" s="312"/>
      <c r="D157" s="313"/>
      <c r="E157" s="314"/>
      <c r="F157" s="335"/>
      <c r="G157" s="345"/>
      <c r="H157" s="315"/>
      <c r="I157" s="336" t="str">
        <f>Мат!E144</f>
        <v>п.м.</v>
      </c>
      <c r="J157" s="776">
        <f>Мат!H144</f>
        <v>0</v>
      </c>
    </row>
    <row r="158" spans="1:10" s="235" customFormat="1" ht="15.95" hidden="1" customHeight="1" x14ac:dyDescent="0.2">
      <c r="A158" s="311">
        <f>Мат!A145</f>
        <v>26</v>
      </c>
      <c r="B158" s="341" t="str">
        <f>Мат!B145</f>
        <v>Пленка для ламинир. 490мм 100мкм, матовая</v>
      </c>
      <c r="C158" s="312"/>
      <c r="D158" s="313"/>
      <c r="E158" s="314"/>
      <c r="F158" s="335"/>
      <c r="G158" s="345"/>
      <c r="H158" s="315"/>
      <c r="I158" s="336" t="str">
        <f>Мат!E145</f>
        <v>п.м.</v>
      </c>
      <c r="J158" s="776">
        <f>Мат!H145</f>
        <v>0</v>
      </c>
    </row>
    <row r="159" spans="1:10" s="235" customFormat="1" ht="15.95" hidden="1" customHeight="1" x14ac:dyDescent="0.2">
      <c r="A159" s="311">
        <f>Мат!A146</f>
        <v>27</v>
      </c>
      <c r="B159" s="341" t="str">
        <f>Мат!B146</f>
        <v>Пленка для ламинир. 450мм 75мкм, глянцевая</v>
      </c>
      <c r="C159" s="312"/>
      <c r="D159" s="313"/>
      <c r="E159" s="314"/>
      <c r="F159" s="335"/>
      <c r="G159" s="345"/>
      <c r="H159" s="315"/>
      <c r="I159" s="336" t="str">
        <f>Мат!E146</f>
        <v>п.м.</v>
      </c>
      <c r="J159" s="776">
        <f>Мат!H146</f>
        <v>0</v>
      </c>
    </row>
    <row r="160" spans="1:10" s="235" customFormat="1" ht="15.95" hidden="1" customHeight="1" x14ac:dyDescent="0.2">
      <c r="A160" s="311">
        <f>Мат!A147</f>
        <v>28</v>
      </c>
      <c r="B160" s="341" t="str">
        <f>Мат!B147</f>
        <v>Пленка для ламинир. 490мм 75мкм, матовая</v>
      </c>
      <c r="C160" s="312"/>
      <c r="D160" s="313"/>
      <c r="E160" s="314"/>
      <c r="F160" s="335"/>
      <c r="G160" s="345"/>
      <c r="H160" s="315"/>
      <c r="I160" s="336" t="str">
        <f>Мат!E147</f>
        <v>п.м.</v>
      </c>
      <c r="J160" s="776">
        <f>Мат!H147</f>
        <v>0</v>
      </c>
    </row>
    <row r="161" spans="1:10" s="235" customFormat="1" ht="15.95" hidden="1" customHeight="1" x14ac:dyDescent="0.2">
      <c r="A161" s="311">
        <f>Мат!A148</f>
        <v>29</v>
      </c>
      <c r="B161" s="341" t="str">
        <f>Мат!B148</f>
        <v>Пленка Софт Тач (ширина 360мм)</v>
      </c>
      <c r="C161" s="312"/>
      <c r="D161" s="313"/>
      <c r="E161" s="314"/>
      <c r="F161" s="335"/>
      <c r="G161" s="345"/>
      <c r="H161" s="315"/>
      <c r="I161" s="336" t="str">
        <f>Мат!E148</f>
        <v>п.м.</v>
      </c>
      <c r="J161" s="776">
        <f>Мат!H148</f>
        <v>0</v>
      </c>
    </row>
    <row r="162" spans="1:10" s="235" customFormat="1" ht="15.95" hidden="1" customHeight="1" x14ac:dyDescent="0.2">
      <c r="A162" s="311">
        <f>Мат!A149</f>
        <v>30</v>
      </c>
      <c r="B162" s="341" t="str">
        <f>Мат!B149</f>
        <v>Пленка Софт Тач (ширина 500мм)</v>
      </c>
      <c r="C162" s="312"/>
      <c r="D162" s="313"/>
      <c r="E162" s="314"/>
      <c r="F162" s="335"/>
      <c r="G162" s="345"/>
      <c r="H162" s="315"/>
      <c r="I162" s="336" t="str">
        <f>Мат!E149</f>
        <v>п.м.</v>
      </c>
      <c r="J162" s="776">
        <f>Мат!H149</f>
        <v>0</v>
      </c>
    </row>
    <row r="163" spans="1:10" s="235" customFormat="1" ht="15.95" hidden="1" customHeight="1" x14ac:dyDescent="0.2">
      <c r="A163" s="311">
        <f>Мат!A150</f>
        <v>31</v>
      </c>
      <c r="B163" s="341" t="str">
        <f>Мат!B150</f>
        <v>Пленка Софт Тач (ширина 530мм)</v>
      </c>
      <c r="C163" s="312"/>
      <c r="D163" s="313"/>
      <c r="E163" s="314"/>
      <c r="F163" s="335"/>
      <c r="G163" s="345"/>
      <c r="H163" s="315"/>
      <c r="I163" s="336" t="str">
        <f>Мат!E150</f>
        <v>п.м.</v>
      </c>
      <c r="J163" s="776">
        <f>Мат!H150</f>
        <v>0</v>
      </c>
    </row>
    <row r="164" spans="1:10" s="235" customFormat="1" ht="15.95" hidden="1" customHeight="1" x14ac:dyDescent="0.2">
      <c r="A164" s="311">
        <f>Мат!A151</f>
        <v>32</v>
      </c>
      <c r="B164" s="341" t="str">
        <f>Мат!B151</f>
        <v>Пленка Софт Скин (ширина 460мм)</v>
      </c>
      <c r="C164" s="312"/>
      <c r="D164" s="313"/>
      <c r="E164" s="314"/>
      <c r="F164" s="335"/>
      <c r="G164" s="345"/>
      <c r="H164" s="315"/>
      <c r="I164" s="336" t="str">
        <f>Мат!E151</f>
        <v>п.м.</v>
      </c>
      <c r="J164" s="776">
        <f>Мат!H151</f>
        <v>0</v>
      </c>
    </row>
    <row r="165" spans="1:10" s="235" customFormat="1" ht="15.95" hidden="1" customHeight="1" x14ac:dyDescent="0.2">
      <c r="A165" s="311">
        <f>Мат!A152</f>
        <v>33</v>
      </c>
      <c r="B165" s="341" t="str">
        <f>Мат!B152</f>
        <v>Пленка Софт Скин (ширина 500мм)</v>
      </c>
      <c r="C165" s="312"/>
      <c r="D165" s="313"/>
      <c r="E165" s="314"/>
      <c r="F165" s="335"/>
      <c r="G165" s="345"/>
      <c r="H165" s="315"/>
      <c r="I165" s="336" t="str">
        <f>Мат!E152</f>
        <v>п.м.</v>
      </c>
      <c r="J165" s="776">
        <f>Мат!H152</f>
        <v>0</v>
      </c>
    </row>
    <row r="166" spans="1:10" s="235" customFormat="1" ht="15.95" hidden="1" customHeight="1" x14ac:dyDescent="0.2">
      <c r="A166" s="311">
        <f>Мат!A153</f>
        <v>34</v>
      </c>
      <c r="B166" s="341" t="str">
        <f>Мат!B153</f>
        <v>Проволока полиграфическая 0,5 на ВШРА</v>
      </c>
      <c r="C166" s="312"/>
      <c r="D166" s="313"/>
      <c r="E166" s="314"/>
      <c r="F166" s="335"/>
      <c r="G166" s="345"/>
      <c r="H166" s="315"/>
      <c r="I166" s="336" t="str">
        <f>Мат!E153</f>
        <v>кг.</v>
      </c>
      <c r="J166" s="776">
        <f>Мат!H153</f>
        <v>0</v>
      </c>
    </row>
    <row r="167" spans="1:10" s="235" customFormat="1" ht="15.95" hidden="1" customHeight="1" x14ac:dyDescent="0.2">
      <c r="A167" s="311">
        <f>Мат!A154</f>
        <v>35</v>
      </c>
      <c r="B167" s="341" t="str">
        <f>Мат!B154</f>
        <v>Проволока 0,8</v>
      </c>
      <c r="C167" s="312"/>
      <c r="D167" s="313"/>
      <c r="E167" s="314"/>
      <c r="F167" s="335"/>
      <c r="G167" s="345"/>
      <c r="H167" s="315"/>
      <c r="I167" s="336" t="str">
        <f>Мат!E154</f>
        <v>кг.</v>
      </c>
      <c r="J167" s="776">
        <f>Мат!H154</f>
        <v>0</v>
      </c>
    </row>
    <row r="168" spans="1:10" s="235" customFormat="1" ht="15.95" hidden="1" customHeight="1" x14ac:dyDescent="0.2">
      <c r="A168" s="311">
        <f>Мат!A155</f>
        <v>36</v>
      </c>
      <c r="B168" s="341" t="str">
        <f>Мат!B155</f>
        <v>Пружина металлическая</v>
      </c>
      <c r="C168" s="312"/>
      <c r="D168" s="313"/>
      <c r="E168" s="314"/>
      <c r="F168" s="335"/>
      <c r="G168" s="345"/>
      <c r="H168" s="315"/>
      <c r="I168" s="336" t="str">
        <f>Мат!E155</f>
        <v>зв.</v>
      </c>
      <c r="J168" s="776">
        <f>Мат!H155</f>
        <v>0</v>
      </c>
    </row>
    <row r="169" spans="1:10" s="235" customFormat="1" ht="15.95" hidden="1" customHeight="1" x14ac:dyDescent="0.2">
      <c r="A169" s="311">
        <f>Мат!A156</f>
        <v>37</v>
      </c>
      <c r="B169" s="341" t="str">
        <f>Мат!B156</f>
        <v>Пружина металлическая 9,5мм</v>
      </c>
      <c r="C169" s="312"/>
      <c r="D169" s="313"/>
      <c r="E169" s="314"/>
      <c r="F169" s="335"/>
      <c r="G169" s="345"/>
      <c r="H169" s="315"/>
      <c r="I169" s="336" t="str">
        <f>Мат!E156</f>
        <v>зв.</v>
      </c>
      <c r="J169" s="776">
        <f>Мат!H156</f>
        <v>0</v>
      </c>
    </row>
    <row r="170" spans="1:10" s="235" customFormat="1" ht="15.95" hidden="1" customHeight="1" x14ac:dyDescent="0.2">
      <c r="A170" s="311">
        <f>Мат!A157</f>
        <v>38</v>
      </c>
      <c r="B170" s="341" t="str">
        <f>Мат!B157</f>
        <v>Пружина металлическая 6,9 мм белая</v>
      </c>
      <c r="C170" s="312"/>
      <c r="D170" s="313"/>
      <c r="E170" s="314"/>
      <c r="F170" s="335"/>
      <c r="G170" s="345"/>
      <c r="H170" s="315"/>
      <c r="I170" s="336" t="str">
        <f>Мат!E157</f>
        <v>зв.</v>
      </c>
      <c r="J170" s="776">
        <f>Мат!H157</f>
        <v>0</v>
      </c>
    </row>
    <row r="171" spans="1:10" s="235" customFormat="1" ht="15.95" hidden="1" customHeight="1" x14ac:dyDescent="0.2">
      <c r="A171" s="311">
        <f>Мат!A158</f>
        <v>39</v>
      </c>
      <c r="B171" s="341" t="str">
        <f>Мат!B158</f>
        <v>Пружина металлическая 8 мм белая</v>
      </c>
      <c r="C171" s="312"/>
      <c r="D171" s="313"/>
      <c r="E171" s="314"/>
      <c r="F171" s="335"/>
      <c r="G171" s="345"/>
      <c r="H171" s="315"/>
      <c r="I171" s="336" t="str">
        <f>Мат!E158</f>
        <v>зв.</v>
      </c>
      <c r="J171" s="776">
        <f>Мат!H158</f>
        <v>0</v>
      </c>
    </row>
    <row r="172" spans="1:10" s="235" customFormat="1" ht="15.95" hidden="1" customHeight="1" x14ac:dyDescent="0.2">
      <c r="A172" s="311">
        <f>Мат!A159</f>
        <v>40</v>
      </c>
      <c r="B172" s="341" t="str">
        <f>Мат!B159</f>
        <v>Пружина металлическая 12 мм белая</v>
      </c>
      <c r="C172" s="312"/>
      <c r="D172" s="313"/>
      <c r="E172" s="314"/>
      <c r="F172" s="335"/>
      <c r="G172" s="345"/>
      <c r="H172" s="315"/>
      <c r="I172" s="336" t="str">
        <f>Мат!E159</f>
        <v>зв.</v>
      </c>
      <c r="J172" s="776">
        <f>Мат!H159</f>
        <v>0</v>
      </c>
    </row>
    <row r="173" spans="1:10" s="235" customFormat="1" ht="15.95" hidden="1" customHeight="1" x14ac:dyDescent="0.2">
      <c r="A173" s="311">
        <f>Мат!A160</f>
        <v>41</v>
      </c>
      <c r="B173" s="341" t="str">
        <f>Мат!B160</f>
        <v>Пружина металлическая 14 мм белая</v>
      </c>
      <c r="C173" s="312"/>
      <c r="D173" s="313"/>
      <c r="E173" s="314"/>
      <c r="F173" s="335"/>
      <c r="G173" s="345"/>
      <c r="H173" s="315"/>
      <c r="I173" s="336" t="str">
        <f>Мат!E160</f>
        <v>зв.</v>
      </c>
      <c r="J173" s="776">
        <f>Мат!H160</f>
        <v>0</v>
      </c>
    </row>
    <row r="174" spans="1:10" s="235" customFormat="1" ht="15.95" hidden="1" customHeight="1" x14ac:dyDescent="0.2">
      <c r="A174" s="311">
        <f>Мат!A161</f>
        <v>42</v>
      </c>
      <c r="B174" s="341" t="str">
        <f>Мат!B161</f>
        <v>Фольга ЛК золото 610мм</v>
      </c>
      <c r="C174" s="312"/>
      <c r="D174" s="313"/>
      <c r="E174" s="314"/>
      <c r="F174" s="335"/>
      <c r="G174" s="345"/>
      <c r="H174" s="315"/>
      <c r="I174" s="336" t="str">
        <f>Мат!E161</f>
        <v>кв.м.</v>
      </c>
      <c r="J174" s="776">
        <f>Мат!H161</f>
        <v>0</v>
      </c>
    </row>
    <row r="175" spans="1:10" s="235" customFormat="1" ht="15.95" hidden="1" customHeight="1" x14ac:dyDescent="0.2">
      <c r="A175" s="311">
        <f>Мат!A162</f>
        <v>43</v>
      </c>
      <c r="B175" s="341" t="str">
        <f>Мат!B162</f>
        <v>Фольга ЛК серебро 610мм</v>
      </c>
      <c r="C175" s="312"/>
      <c r="D175" s="313"/>
      <c r="E175" s="314"/>
      <c r="F175" s="335"/>
      <c r="G175" s="345"/>
      <c r="H175" s="315"/>
      <c r="I175" s="336" t="str">
        <f>Мат!E162</f>
        <v>кв.м.</v>
      </c>
      <c r="J175" s="776">
        <f>Мат!H162</f>
        <v>0</v>
      </c>
    </row>
    <row r="176" spans="1:10" s="235" customFormat="1" ht="15.95" hidden="1" customHeight="1" x14ac:dyDescent="0.2">
      <c r="A176" s="311">
        <f>Мат!A163</f>
        <v>44</v>
      </c>
      <c r="B176" s="341" t="str">
        <f>Мат!B163</f>
        <v>Фольга колорит 610мм</v>
      </c>
      <c r="C176" s="312"/>
      <c r="D176" s="313"/>
      <c r="E176" s="314"/>
      <c r="F176" s="335"/>
      <c r="G176" s="345"/>
      <c r="H176" s="315"/>
      <c r="I176" s="336" t="str">
        <f>Мат!E163</f>
        <v>кв.м.</v>
      </c>
      <c r="J176" s="776">
        <f>Мат!H163</f>
        <v>0</v>
      </c>
    </row>
    <row r="177" spans="1:10" s="235" customFormat="1" ht="15.95" hidden="1" customHeight="1" x14ac:dyDescent="0.2">
      <c r="A177" s="311">
        <f>Мат!A164</f>
        <v>45</v>
      </c>
      <c r="B177" s="341" t="str">
        <f>Мат!B164</f>
        <v>Фольга галографическая 610мм</v>
      </c>
      <c r="C177" s="312"/>
      <c r="D177" s="313"/>
      <c r="E177" s="314"/>
      <c r="F177" s="335"/>
      <c r="G177" s="345"/>
      <c r="H177" s="315"/>
      <c r="I177" s="336" t="str">
        <f>Мат!E164</f>
        <v>кв.м.</v>
      </c>
      <c r="J177" s="776">
        <f>Мат!H164</f>
        <v>0</v>
      </c>
    </row>
    <row r="178" spans="1:10" s="235" customFormat="1" ht="15.95" hidden="1" customHeight="1" x14ac:dyDescent="0.2">
      <c r="A178" s="311">
        <f>Мат!A165</f>
        <v>46</v>
      </c>
      <c r="B178" s="341" t="str">
        <f>Мат!B165</f>
        <v>Курсор синий/красный</v>
      </c>
      <c r="C178" s="312"/>
      <c r="D178" s="313"/>
      <c r="E178" s="314"/>
      <c r="F178" s="335"/>
      <c r="G178" s="345"/>
      <c r="H178" s="315"/>
      <c r="I178" s="336" t="str">
        <f>Мат!E165</f>
        <v>шт.</v>
      </c>
      <c r="J178" s="776">
        <f>Мат!H165</f>
        <v>0</v>
      </c>
    </row>
    <row r="179" spans="1:10" s="235" customFormat="1" ht="15.95" hidden="1" customHeight="1" x14ac:dyDescent="0.2">
      <c r="A179" s="311">
        <f>Мат!A166</f>
        <v>47</v>
      </c>
      <c r="B179" s="341" t="str">
        <f>Мат!B166</f>
        <v>Марля полиграфическая</v>
      </c>
      <c r="C179" s="312"/>
      <c r="D179" s="313"/>
      <c r="E179" s="314"/>
      <c r="F179" s="335"/>
      <c r="G179" s="345"/>
      <c r="H179" s="315"/>
      <c r="I179" s="336" t="str">
        <f>Мат!E166</f>
        <v>м.</v>
      </c>
      <c r="J179" s="776">
        <f>Мат!H166</f>
        <v>0</v>
      </c>
    </row>
    <row r="180" spans="1:10" s="235" customFormat="1" ht="15.95" hidden="1" customHeight="1" x14ac:dyDescent="0.2">
      <c r="A180" s="311">
        <f>Мат!A167</f>
        <v>48</v>
      </c>
      <c r="B180" s="341" t="str">
        <f>Мат!B167</f>
        <v>Пакеты полиэтиленовые</v>
      </c>
      <c r="C180" s="312"/>
      <c r="D180" s="313"/>
      <c r="E180" s="314"/>
      <c r="F180" s="335"/>
      <c r="G180" s="345"/>
      <c r="H180" s="315"/>
      <c r="I180" s="336" t="str">
        <f>Мат!E167</f>
        <v>шт.</v>
      </c>
      <c r="J180" s="776">
        <f>Мат!H167</f>
        <v>0</v>
      </c>
    </row>
    <row r="181" spans="1:10" s="235" customFormat="1" ht="15.95" hidden="1" customHeight="1" x14ac:dyDescent="0.2">
      <c r="A181" s="311">
        <f>Мат!A168</f>
        <v>49</v>
      </c>
      <c r="B181" s="341" t="str">
        <f>Мат!B168</f>
        <v>Нитки 50к суров. капрон</v>
      </c>
      <c r="C181" s="312"/>
      <c r="D181" s="313"/>
      <c r="E181" s="314"/>
      <c r="F181" s="335"/>
      <c r="G181" s="345"/>
      <c r="H181" s="315"/>
      <c r="I181" s="336" t="str">
        <f>Мат!E168</f>
        <v>кг.</v>
      </c>
      <c r="J181" s="776">
        <f>Мат!H168</f>
        <v>0</v>
      </c>
    </row>
    <row r="182" spans="1:10" s="235" customFormat="1" ht="15.95" hidden="1" customHeight="1" x14ac:dyDescent="0.2">
      <c r="A182" s="311">
        <f>Мат!A169</f>
        <v>50</v>
      </c>
      <c r="B182" s="341" t="str">
        <f>Мат!B169</f>
        <v>Каптал белый, импортный</v>
      </c>
      <c r="C182" s="312"/>
      <c r="D182" s="313"/>
      <c r="E182" s="314"/>
      <c r="F182" s="335"/>
      <c r="G182" s="345"/>
      <c r="H182" s="315"/>
      <c r="I182" s="336" t="str">
        <f>Мат!E169</f>
        <v>п.м.</v>
      </c>
      <c r="J182" s="776">
        <f>Мат!H169</f>
        <v>0</v>
      </c>
    </row>
    <row r="183" spans="1:10" s="235" customFormat="1" ht="15.95" hidden="1" customHeight="1" x14ac:dyDescent="0.2">
      <c r="A183" s="311">
        <f>Мат!A170</f>
        <v>51</v>
      </c>
      <c r="B183" s="341" t="str">
        <f>Мат!B170</f>
        <v>Каптал цветной, импортный</v>
      </c>
      <c r="C183" s="312"/>
      <c r="D183" s="313"/>
      <c r="E183" s="314"/>
      <c r="F183" s="335"/>
      <c r="G183" s="345"/>
      <c r="H183" s="315"/>
      <c r="I183" s="336" t="str">
        <f>Мат!E170</f>
        <v>п.м.</v>
      </c>
      <c r="J183" s="776">
        <f>Мат!H170</f>
        <v>0</v>
      </c>
    </row>
    <row r="184" spans="1:10" s="235" customFormat="1" ht="15.95" hidden="1" customHeight="1" x14ac:dyDescent="0.2">
      <c r="A184" s="311">
        <f>Мат!A171</f>
        <v>52</v>
      </c>
      <c r="B184" s="341" t="str">
        <f>Мат!B171</f>
        <v>Каптал белый, отечественный</v>
      </c>
      <c r="C184" s="312"/>
      <c r="D184" s="313"/>
      <c r="E184" s="314"/>
      <c r="F184" s="335"/>
      <c r="G184" s="345"/>
      <c r="H184" s="315"/>
      <c r="I184" s="336" t="str">
        <f>Мат!E171</f>
        <v>п.м.</v>
      </c>
      <c r="J184" s="776">
        <f>Мат!H171</f>
        <v>0</v>
      </c>
    </row>
    <row r="185" spans="1:10" s="235" customFormat="1" ht="15.95" hidden="1" customHeight="1" x14ac:dyDescent="0.2">
      <c r="A185" s="311">
        <f>Мат!A172</f>
        <v>53</v>
      </c>
      <c r="B185" s="341" t="str">
        <f>Мат!B172</f>
        <v>Пластины для клише  TF РР-145 297 х 420</v>
      </c>
      <c r="C185" s="312"/>
      <c r="D185" s="313"/>
      <c r="E185" s="314"/>
      <c r="F185" s="335"/>
      <c r="G185" s="345"/>
      <c r="H185" s="315"/>
      <c r="I185" s="336" t="str">
        <f>Мат!E172</f>
        <v>шт.</v>
      </c>
      <c r="J185" s="776">
        <f>Мат!H172</f>
        <v>0</v>
      </c>
    </row>
    <row r="186" spans="1:10" s="235" customFormat="1" ht="15.95" hidden="1" customHeight="1" x14ac:dyDescent="0.2">
      <c r="A186" s="311">
        <f>Мат!A173</f>
        <v>54</v>
      </c>
      <c r="B186" s="341" t="str">
        <f>Мат!B173</f>
        <v>Скотч упаковочный</v>
      </c>
      <c r="C186" s="312"/>
      <c r="D186" s="313"/>
      <c r="E186" s="314"/>
      <c r="F186" s="335"/>
      <c r="G186" s="345"/>
      <c r="H186" s="315"/>
      <c r="I186" s="336" t="str">
        <f>Мат!E173</f>
        <v>шт.</v>
      </c>
      <c r="J186" s="776">
        <f>Мат!H173</f>
        <v>0</v>
      </c>
    </row>
    <row r="187" spans="1:10" s="235" customFormat="1" ht="15.95" hidden="1" customHeight="1" x14ac:dyDescent="0.2">
      <c r="A187" s="311">
        <f>Мат!A174</f>
        <v>55</v>
      </c>
      <c r="B187" s="341" t="str">
        <f>Мат!B174</f>
        <v>Коленкор</v>
      </c>
      <c r="C187" s="312"/>
      <c r="D187" s="313"/>
      <c r="E187" s="314"/>
      <c r="F187" s="335"/>
      <c r="G187" s="345"/>
      <c r="H187" s="315"/>
      <c r="I187" s="336" t="str">
        <f>Мат!E174</f>
        <v>м.</v>
      </c>
      <c r="J187" s="776">
        <f>Мат!H174</f>
        <v>0</v>
      </c>
    </row>
    <row r="188" spans="1:10" s="235" customFormat="1" ht="15.95" hidden="1" customHeight="1" x14ac:dyDescent="0.2">
      <c r="A188" s="311">
        <f>Мат!A175</f>
        <v>56</v>
      </c>
      <c r="B188" s="341" t="str">
        <f>Мат!B175</f>
        <v>Атласная лента</v>
      </c>
      <c r="C188" s="312"/>
      <c r="D188" s="313"/>
      <c r="E188" s="314"/>
      <c r="F188" s="335"/>
      <c r="G188" s="345"/>
      <c r="H188" s="315"/>
      <c r="I188" s="336" t="str">
        <f>Мат!E175</f>
        <v>м.</v>
      </c>
      <c r="J188" s="776">
        <f>Мат!H175</f>
        <v>0</v>
      </c>
    </row>
    <row r="189" spans="1:10" s="235" customFormat="1" ht="15.95" customHeight="1" x14ac:dyDescent="0.2">
      <c r="A189" s="311">
        <f>Мат!A176</f>
        <v>57</v>
      </c>
      <c r="B189" s="341" t="str">
        <f>Мат!B176</f>
        <v>Лента упаковочная полипропиленовая 9мм х 0,5</v>
      </c>
      <c r="C189" s="312"/>
      <c r="D189" s="313"/>
      <c r="E189" s="314"/>
      <c r="F189" s="335"/>
      <c r="G189" s="345"/>
      <c r="H189" s="315"/>
      <c r="I189" s="336" t="str">
        <f>Мат!E176</f>
        <v>м.</v>
      </c>
      <c r="J189" s="776">
        <f>Мат!H176</f>
        <v>237.5</v>
      </c>
    </row>
    <row r="190" spans="1:10" s="235" customFormat="1" ht="15.95" hidden="1" customHeight="1" x14ac:dyDescent="0.2">
      <c r="A190" s="311">
        <f>Мат!A177</f>
        <v>58</v>
      </c>
      <c r="B190" s="341" t="str">
        <f>Мат!B177</f>
        <v xml:space="preserve">  *добавить материал</v>
      </c>
      <c r="C190" s="312"/>
      <c r="D190" s="313"/>
      <c r="E190" s="314"/>
      <c r="F190" s="335"/>
      <c r="G190" s="345"/>
      <c r="H190" s="315"/>
      <c r="I190" s="336">
        <f>Мат!E177</f>
        <v>0</v>
      </c>
      <c r="J190" s="776">
        <f>Мат!H177</f>
        <v>0</v>
      </c>
    </row>
    <row r="191" spans="1:10" s="235" customFormat="1" ht="15.95" hidden="1" customHeight="1" x14ac:dyDescent="0.2">
      <c r="A191" s="311">
        <f>Мат!A178</f>
        <v>59</v>
      </c>
      <c r="B191" s="341" t="str">
        <f>Мат!B178</f>
        <v xml:space="preserve">  *добавить материал</v>
      </c>
      <c r="C191" s="312"/>
      <c r="D191" s="313"/>
      <c r="E191" s="314"/>
      <c r="F191" s="335"/>
      <c r="G191" s="345"/>
      <c r="H191" s="315"/>
      <c r="I191" s="336">
        <f>Мат!E178</f>
        <v>0</v>
      </c>
      <c r="J191" s="776">
        <f>Мат!H178</f>
        <v>0</v>
      </c>
    </row>
    <row r="192" spans="1:10" s="235" customFormat="1" ht="15.95" hidden="1" customHeight="1" x14ac:dyDescent="0.2">
      <c r="A192" s="311">
        <f>Мат!A179</f>
        <v>60</v>
      </c>
      <c r="B192" s="341" t="str">
        <f>Мат!B179</f>
        <v xml:space="preserve">  *добавить материал</v>
      </c>
      <c r="C192" s="312"/>
      <c r="D192" s="313"/>
      <c r="E192" s="314"/>
      <c r="F192" s="335"/>
      <c r="G192" s="345"/>
      <c r="H192" s="315"/>
      <c r="I192" s="336">
        <f>Мат!E179</f>
        <v>0</v>
      </c>
      <c r="J192" s="776">
        <f>Мат!H179</f>
        <v>0</v>
      </c>
    </row>
    <row r="193" spans="1:10" s="235" customFormat="1" ht="15.95" hidden="1" customHeight="1" x14ac:dyDescent="0.2">
      <c r="A193" s="311">
        <f>Мат!A180</f>
        <v>61</v>
      </c>
      <c r="B193" s="341" t="str">
        <f>Мат!B180</f>
        <v xml:space="preserve">  *добавить материал</v>
      </c>
      <c r="C193" s="312"/>
      <c r="D193" s="313"/>
      <c r="E193" s="314"/>
      <c r="F193" s="335"/>
      <c r="G193" s="345"/>
      <c r="H193" s="315"/>
      <c r="I193" s="336">
        <f>Мат!E180</f>
        <v>0</v>
      </c>
      <c r="J193" s="776">
        <f>Мат!H180</f>
        <v>0</v>
      </c>
    </row>
    <row r="194" spans="1:10" s="235" customFormat="1" ht="15.95" hidden="1" customHeight="1" x14ac:dyDescent="0.2">
      <c r="A194" s="311">
        <f>Мат!A181</f>
        <v>62</v>
      </c>
      <c r="B194" s="341" t="str">
        <f>Мат!B181</f>
        <v xml:space="preserve">  *добавить материал</v>
      </c>
      <c r="C194" s="312"/>
      <c r="D194" s="313"/>
      <c r="E194" s="314"/>
      <c r="F194" s="335"/>
      <c r="G194" s="345"/>
      <c r="H194" s="315"/>
      <c r="I194" s="336">
        <f>Мат!E181</f>
        <v>0</v>
      </c>
      <c r="J194" s="776">
        <f>Мат!H181</f>
        <v>0</v>
      </c>
    </row>
    <row r="195" spans="1:10" s="235" customFormat="1" ht="15.95" hidden="1" customHeight="1" x14ac:dyDescent="0.2">
      <c r="A195" s="311">
        <f>Мат!A182</f>
        <v>63</v>
      </c>
      <c r="B195" s="341" t="str">
        <f>Мат!B182</f>
        <v xml:space="preserve">  *добавить материал</v>
      </c>
      <c r="C195" s="312"/>
      <c r="D195" s="313"/>
      <c r="E195" s="314"/>
      <c r="F195" s="335"/>
      <c r="G195" s="345"/>
      <c r="H195" s="315"/>
      <c r="I195" s="336">
        <f>Мат!E182</f>
        <v>0</v>
      </c>
      <c r="J195" s="776">
        <f>Мат!H182</f>
        <v>0</v>
      </c>
    </row>
    <row r="196" spans="1:10" s="235" customFormat="1" ht="15.95" hidden="1" customHeight="1" x14ac:dyDescent="0.2">
      <c r="A196" s="311">
        <f>Мат!A183</f>
        <v>64</v>
      </c>
      <c r="B196" s="341" t="str">
        <f>Мат!B183</f>
        <v xml:space="preserve">  *добавить материал</v>
      </c>
      <c r="C196" s="312"/>
      <c r="D196" s="313"/>
      <c r="E196" s="314"/>
      <c r="F196" s="335"/>
      <c r="G196" s="345"/>
      <c r="H196" s="315"/>
      <c r="I196" s="336">
        <f>Мат!E183</f>
        <v>0</v>
      </c>
      <c r="J196" s="776">
        <f>Мат!H183</f>
        <v>0</v>
      </c>
    </row>
    <row r="197" spans="1:10" s="235" customFormat="1" ht="15.95" hidden="1" customHeight="1" x14ac:dyDescent="0.2">
      <c r="A197" s="311">
        <f>Мат!A184</f>
        <v>65</v>
      </c>
      <c r="B197" s="341" t="str">
        <f>Мат!B184</f>
        <v xml:space="preserve">  *добавить материал</v>
      </c>
      <c r="C197" s="312"/>
      <c r="D197" s="313"/>
      <c r="E197" s="314"/>
      <c r="F197" s="335"/>
      <c r="G197" s="345"/>
      <c r="H197" s="315"/>
      <c r="I197" s="336">
        <f>Мат!E184</f>
        <v>0</v>
      </c>
      <c r="J197" s="776">
        <f>Мат!H184</f>
        <v>0</v>
      </c>
    </row>
    <row r="198" spans="1:10" s="235" customFormat="1" ht="15.95" hidden="1" customHeight="1" x14ac:dyDescent="0.2">
      <c r="A198" s="311">
        <f>Мат!A187</f>
        <v>0</v>
      </c>
      <c r="B198" s="341" t="str">
        <f>Мат!B187</f>
        <v xml:space="preserve">  *добавить материал</v>
      </c>
      <c r="C198" s="312"/>
      <c r="D198" s="313"/>
      <c r="E198" s="314"/>
      <c r="F198" s="335"/>
      <c r="G198" s="345"/>
      <c r="H198" s="315"/>
      <c r="I198" s="336">
        <f>Мат!E185</f>
        <v>0</v>
      </c>
      <c r="J198" s="776">
        <f>Мат!H185</f>
        <v>0</v>
      </c>
    </row>
    <row r="199" spans="1:10" s="235" customFormat="1" ht="15.95" hidden="1" customHeight="1" x14ac:dyDescent="0.25">
      <c r="A199" s="311">
        <f>Мат!A188</f>
        <v>0</v>
      </c>
      <c r="B199" s="777" t="str">
        <f>Мат!B188</f>
        <v>ИТОГО ПРОЧИЕ</v>
      </c>
      <c r="C199" s="330"/>
      <c r="D199" s="331"/>
      <c r="E199" s="317"/>
      <c r="F199" s="340"/>
      <c r="G199" s="333"/>
      <c r="H199" s="332"/>
      <c r="I199" s="336"/>
      <c r="J199" s="776"/>
    </row>
    <row r="200" spans="1:10" s="235" customFormat="1" ht="15.95" hidden="1" customHeight="1" x14ac:dyDescent="0.25">
      <c r="A200" s="311">
        <f>Мат!A189</f>
        <v>0</v>
      </c>
      <c r="B200" s="777" t="str">
        <f>Мат!B189</f>
        <v>ИТОГО ДРУГИЕ МАТЕРИАЛЫ</v>
      </c>
      <c r="C200" s="330"/>
      <c r="D200" s="331"/>
      <c r="E200" s="317"/>
      <c r="F200" s="340"/>
      <c r="G200" s="333"/>
      <c r="H200" s="332"/>
      <c r="I200" s="336"/>
      <c r="J200" s="776"/>
    </row>
    <row r="201" spans="1:10" s="235" customFormat="1" ht="15.95" customHeight="1" x14ac:dyDescent="0.2">
      <c r="A201" s="349">
        <v>0</v>
      </c>
      <c r="B201" s="350" t="s">
        <v>188</v>
      </c>
      <c r="C201" s="330"/>
      <c r="D201" s="331"/>
      <c r="E201" s="317"/>
      <c r="F201" s="351"/>
      <c r="G201" s="336" t="s">
        <v>248</v>
      </c>
      <c r="H201" s="352" t="s">
        <v>249</v>
      </c>
      <c r="I201" s="352" t="s">
        <v>445</v>
      </c>
      <c r="J201" s="353" t="s">
        <v>259</v>
      </c>
    </row>
    <row r="202" spans="1:10" s="235" customFormat="1" ht="15.95" hidden="1" customHeight="1" x14ac:dyDescent="0.2">
      <c r="A202" s="354">
        <f t="shared" ref="A202:A213" si="0">A201+1</f>
        <v>1</v>
      </c>
      <c r="B202" s="319" t="str">
        <f>Исх!C30</f>
        <v>газетная                              все форматы</v>
      </c>
      <c r="C202" s="314"/>
      <c r="D202" s="315"/>
      <c r="E202" s="313"/>
      <c r="F202" s="355"/>
      <c r="G202" s="362" t="str">
        <f>Исх!J30&amp;"X"&amp;Исх!K30</f>
        <v>66X57,8</v>
      </c>
      <c r="H202" s="363">
        <f>Исх!I30</f>
        <v>42</v>
      </c>
      <c r="I202" s="364">
        <f ca="1">ЯрлыкБ!F9</f>
        <v>29375</v>
      </c>
      <c r="J202" s="356">
        <f ca="1">ЯрлыкБ!G9</f>
        <v>470.65</v>
      </c>
    </row>
    <row r="203" spans="1:10" s="235" customFormat="1" ht="15.95" hidden="1" customHeight="1" x14ac:dyDescent="0.2">
      <c r="A203" s="357">
        <f t="shared" si="0"/>
        <v>2</v>
      </c>
      <c r="B203" s="319" t="str">
        <f>Исх!C31</f>
        <v>газетная.                             все форматы</v>
      </c>
      <c r="C203" s="314"/>
      <c r="D203" s="315"/>
      <c r="E203" s="313"/>
      <c r="F203" s="355"/>
      <c r="G203" s="362" t="str">
        <f>Исх!J31&amp;"X"&amp;Исх!K31</f>
        <v>33X57,8</v>
      </c>
      <c r="H203" s="363">
        <f>Исх!I31</f>
        <v>42</v>
      </c>
      <c r="I203" s="364">
        <f ca="1">ЯрлыкБ!F11</f>
        <v>29375</v>
      </c>
      <c r="J203" s="356">
        <f ca="1">ЯрлыкБ!G11</f>
        <v>235.32547500000001</v>
      </c>
    </row>
    <row r="204" spans="1:10" s="235" customFormat="1" ht="15.95" hidden="1" customHeight="1" x14ac:dyDescent="0.2">
      <c r="A204" s="357">
        <f t="shared" si="0"/>
        <v>3</v>
      </c>
      <c r="B204" s="319" t="str">
        <f>Исх!C32</f>
        <v xml:space="preserve"> </v>
      </c>
      <c r="C204" s="314"/>
      <c r="D204" s="315"/>
      <c r="E204" s="313"/>
      <c r="F204" s="355"/>
      <c r="G204" s="362" t="str">
        <f>Исх!J32&amp;"X"&amp;Исх!K32</f>
        <v>X</v>
      </c>
      <c r="H204" s="363">
        <f>Исх!I32</f>
        <v>0</v>
      </c>
      <c r="I204" s="364">
        <f>ЯрлыкБ!F13</f>
        <v>0</v>
      </c>
      <c r="J204" s="356">
        <f>ЯрлыкБ!G13</f>
        <v>0</v>
      </c>
    </row>
    <row r="205" spans="1:10" s="235" customFormat="1" ht="15.95" hidden="1" customHeight="1" x14ac:dyDescent="0.2">
      <c r="A205" s="357">
        <f t="shared" si="0"/>
        <v>4</v>
      </c>
      <c r="B205" s="319" t="str">
        <f>Исх!C33</f>
        <v xml:space="preserve"> </v>
      </c>
      <c r="C205" s="314"/>
      <c r="D205" s="315"/>
      <c r="E205" s="313"/>
      <c r="F205" s="355"/>
      <c r="G205" s="362" t="str">
        <f>Исх!J33&amp;"X"&amp;Исх!K33</f>
        <v>X</v>
      </c>
      <c r="H205" s="363">
        <f>Исх!I33</f>
        <v>0</v>
      </c>
      <c r="I205" s="364">
        <f>ЯрлыкБ!F15</f>
        <v>0</v>
      </c>
      <c r="J205" s="356">
        <f>ЯрлыкБ!G15</f>
        <v>0</v>
      </c>
    </row>
    <row r="206" spans="1:10" s="235" customFormat="1" ht="15.95" hidden="1" customHeight="1" x14ac:dyDescent="0.2">
      <c r="A206" s="357">
        <f t="shared" si="0"/>
        <v>5</v>
      </c>
      <c r="B206" s="319" t="str">
        <f>Исх!C34</f>
        <v xml:space="preserve"> </v>
      </c>
      <c r="C206" s="314"/>
      <c r="D206" s="315"/>
      <c r="E206" s="313"/>
      <c r="F206" s="355"/>
      <c r="G206" s="362" t="str">
        <f>Исх!J34&amp;"X"&amp;Исх!K34</f>
        <v>X</v>
      </c>
      <c r="H206" s="363">
        <f>Исх!I34</f>
        <v>0</v>
      </c>
      <c r="I206" s="364">
        <f>ЯрлыкБ!F17</f>
        <v>0</v>
      </c>
      <c r="J206" s="356">
        <f>ЯрлыкБ!G17</f>
        <v>0</v>
      </c>
    </row>
    <row r="207" spans="1:10" s="235" customFormat="1" ht="15.95" hidden="1" customHeight="1" x14ac:dyDescent="0.2">
      <c r="A207" s="357">
        <f t="shared" si="0"/>
        <v>6</v>
      </c>
      <c r="B207" s="319" t="str">
        <f>Исх!C35</f>
        <v xml:space="preserve"> </v>
      </c>
      <c r="C207" s="314"/>
      <c r="D207" s="315"/>
      <c r="E207" s="313"/>
      <c r="F207" s="355"/>
      <c r="G207" s="362" t="str">
        <f>Исх!J35&amp;"X"&amp;Исх!K35</f>
        <v>X</v>
      </c>
      <c r="H207" s="363">
        <f>Исх!I35</f>
        <v>0</v>
      </c>
      <c r="I207" s="364">
        <f>ЯрлыкБ!F19</f>
        <v>0</v>
      </c>
      <c r="J207" s="356">
        <f>ЯрлыкБ!G19</f>
        <v>0</v>
      </c>
    </row>
    <row r="208" spans="1:10" s="235" customFormat="1" ht="15.95" hidden="1" customHeight="1" x14ac:dyDescent="0.2">
      <c r="A208" s="357">
        <f t="shared" si="0"/>
        <v>7</v>
      </c>
      <c r="B208" s="319" t="str">
        <f>Исх!C36</f>
        <v xml:space="preserve"> </v>
      </c>
      <c r="C208" s="314"/>
      <c r="D208" s="315"/>
      <c r="E208" s="313"/>
      <c r="F208" s="355"/>
      <c r="G208" s="362" t="str">
        <f>Исх!J36&amp;"X"&amp;Исх!K36</f>
        <v>X</v>
      </c>
      <c r="H208" s="363">
        <f>Исх!I36</f>
        <v>0</v>
      </c>
      <c r="I208" s="364">
        <f>ЯрлыкБ!F21</f>
        <v>0</v>
      </c>
      <c r="J208" s="356">
        <f>ЯрлыкБ!G21</f>
        <v>0</v>
      </c>
    </row>
    <row r="209" spans="1:11" s="235" customFormat="1" ht="15.95" hidden="1" customHeight="1" x14ac:dyDescent="0.2">
      <c r="A209" s="357">
        <f t="shared" si="0"/>
        <v>8</v>
      </c>
      <c r="B209" s="319" t="str">
        <f>Исх!C37</f>
        <v xml:space="preserve"> </v>
      </c>
      <c r="C209" s="314"/>
      <c r="D209" s="315"/>
      <c r="E209" s="313"/>
      <c r="F209" s="355"/>
      <c r="G209" s="362" t="str">
        <f>Исх!J37&amp;"X"&amp;Исх!K37</f>
        <v>X</v>
      </c>
      <c r="H209" s="363">
        <f>Исх!I37</f>
        <v>0</v>
      </c>
      <c r="I209" s="364">
        <f>ЯрлыкБ!F23</f>
        <v>0</v>
      </c>
      <c r="J209" s="356">
        <f>ЯрлыкБ!G23</f>
        <v>0</v>
      </c>
    </row>
    <row r="210" spans="1:11" s="235" customFormat="1" ht="15.95" hidden="1" customHeight="1" x14ac:dyDescent="0.2">
      <c r="A210" s="357">
        <f t="shared" si="0"/>
        <v>9</v>
      </c>
      <c r="B210" s="319" t="str">
        <f>Исх!C38</f>
        <v xml:space="preserve"> </v>
      </c>
      <c r="C210" s="314"/>
      <c r="D210" s="315"/>
      <c r="E210" s="313"/>
      <c r="F210" s="355"/>
      <c r="G210" s="362" t="str">
        <f>Исх!J38&amp;"X"&amp;Исх!K38</f>
        <v>X</v>
      </c>
      <c r="H210" s="363">
        <f>Исх!I38</f>
        <v>0</v>
      </c>
      <c r="I210" s="364">
        <f>ЯрлыкБ!F25</f>
        <v>0</v>
      </c>
      <c r="J210" s="356">
        <f>ЯрлыкБ!G25</f>
        <v>0</v>
      </c>
    </row>
    <row r="211" spans="1:11" s="235" customFormat="1" ht="15.95" hidden="1" customHeight="1" x14ac:dyDescent="0.2">
      <c r="A211" s="357">
        <f t="shared" si="0"/>
        <v>10</v>
      </c>
      <c r="B211" s="319" t="str">
        <f>Исх!C39</f>
        <v xml:space="preserve"> </v>
      </c>
      <c r="C211" s="314"/>
      <c r="D211" s="315"/>
      <c r="E211" s="313"/>
      <c r="F211" s="355"/>
      <c r="G211" s="362" t="str">
        <f>Исх!J39&amp;"X"&amp;Исх!K39</f>
        <v>X</v>
      </c>
      <c r="H211" s="363">
        <f>Исх!I39</f>
        <v>0</v>
      </c>
      <c r="I211" s="364">
        <f>ЯрлыкБ!F27</f>
        <v>0</v>
      </c>
      <c r="J211" s="356">
        <f>ЯрлыкБ!G27</f>
        <v>0</v>
      </c>
    </row>
    <row r="212" spans="1:11" s="235" customFormat="1" ht="15.95" hidden="1" customHeight="1" x14ac:dyDescent="0.2">
      <c r="A212" s="357">
        <f t="shared" si="0"/>
        <v>11</v>
      </c>
      <c r="B212" s="319" t="str">
        <f>Исх!C40</f>
        <v xml:space="preserve"> </v>
      </c>
      <c r="C212" s="314"/>
      <c r="D212" s="315"/>
      <c r="E212" s="313"/>
      <c r="F212" s="355"/>
      <c r="G212" s="362" t="str">
        <f>Исх!J40&amp;"X"&amp;Исх!K40</f>
        <v>X</v>
      </c>
      <c r="H212" s="363">
        <f>Исх!I40</f>
        <v>0</v>
      </c>
      <c r="I212" s="364">
        <f>ЯрлыкБ!F29</f>
        <v>0</v>
      </c>
      <c r="J212" s="356">
        <f>ЯрлыкБ!G29</f>
        <v>0</v>
      </c>
    </row>
    <row r="213" spans="1:11" s="235" customFormat="1" ht="15.95" hidden="1" customHeight="1" x14ac:dyDescent="0.2">
      <c r="A213" s="357">
        <f t="shared" si="0"/>
        <v>12</v>
      </c>
      <c r="B213" s="319" t="str">
        <f>Исх!C41</f>
        <v xml:space="preserve"> </v>
      </c>
      <c r="C213" s="314"/>
      <c r="D213" s="315"/>
      <c r="E213" s="313"/>
      <c r="F213" s="355"/>
      <c r="G213" s="362" t="str">
        <f>Исх!J41&amp;"X"&amp;Исх!K41</f>
        <v>X</v>
      </c>
      <c r="H213" s="363">
        <f>Исх!I41</f>
        <v>0</v>
      </c>
      <c r="I213" s="364">
        <f>ЯрлыкБ!F31</f>
        <v>0</v>
      </c>
      <c r="J213" s="356">
        <f>ЯрлыкБ!G31</f>
        <v>0</v>
      </c>
      <c r="K213" s="57"/>
    </row>
    <row r="214" spans="1:11" ht="14.25" x14ac:dyDescent="0.2">
      <c r="A214" s="358"/>
      <c r="B214" s="359" t="s">
        <v>189</v>
      </c>
      <c r="C214" s="317"/>
      <c r="D214" s="331"/>
      <c r="E214" s="317"/>
      <c r="F214" s="332"/>
      <c r="G214" s="360"/>
      <c r="H214" s="332"/>
      <c r="I214" s="317"/>
      <c r="J214" s="318">
        <v>1</v>
      </c>
    </row>
    <row r="217" spans="1:11" x14ac:dyDescent="0.2">
      <c r="B217" s="31" t="s">
        <v>446</v>
      </c>
    </row>
    <row r="218" spans="1:11" x14ac:dyDescent="0.2">
      <c r="B218" s="31" t="str">
        <f>Заказ!C1</f>
        <v>О.А. Коврова</v>
      </c>
      <c r="G218" s="33" t="s">
        <v>72</v>
      </c>
      <c r="H218" s="2595">
        <f ca="1">NOW()</f>
        <v>44680.419855324071</v>
      </c>
      <c r="I218" s="2595"/>
    </row>
  </sheetData>
  <sheetProtection algorithmName="SHA-512" hashValue="vuxpVcAvBnRacPd6OpllcRxzJsDS6yswruO7r6rdxBdeClnfr4VGiV9o9YXUwxzUy84e4ZN5RwmFkmJu2tlUTA==" saltValue="CrYEdvvyQSH96UdqONYa2w==" spinCount="100000" sheet="1" objects="1" scenarios="1" formatRows="0"/>
  <mergeCells count="8">
    <mergeCell ref="H218:I218"/>
    <mergeCell ref="D1:I2"/>
    <mergeCell ref="B7:H7"/>
    <mergeCell ref="B4:I6"/>
    <mergeCell ref="C11:I11"/>
    <mergeCell ref="C13:I13"/>
    <mergeCell ref="C9:I9"/>
    <mergeCell ref="C10:I10"/>
  </mergeCells>
  <phoneticPr fontId="0" type="noConversion"/>
  <conditionalFormatting sqref="B201 C70">
    <cfRule type="expression" dxfId="6" priority="1" stopIfTrue="1">
      <formula>$G70+$J70</formula>
    </cfRule>
  </conditionalFormatting>
  <conditionalFormatting sqref="B202:B213">
    <cfRule type="expression" dxfId="5" priority="2" stopIfTrue="1">
      <formula>#REF!+$J202</formula>
    </cfRule>
  </conditionalFormatting>
  <pageMargins left="0.78740157480314965" right="0.39370078740157483" top="0.82677165354330717" bottom="0.70866141732283472" header="0.51181102362204722" footer="0.51181102362204722"/>
  <pageSetup paperSize="9" scale="63" fitToHeight="3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Развернуть_материалы_заявка">
                <anchor moveWithCells="1" sizeWithCells="1">
                  <from>
                    <xdr:col>1</xdr:col>
                    <xdr:colOff>2438400</xdr:colOff>
                    <xdr:row>1</xdr:row>
                    <xdr:rowOff>28575</xdr:rowOff>
                  </from>
                  <to>
                    <xdr:col>1</xdr:col>
                    <xdr:colOff>3514725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Скрыть_материалы_заявка">
                <anchor moveWithCells="1" sizeWithCells="1">
                  <from>
                    <xdr:col>1</xdr:col>
                    <xdr:colOff>866775</xdr:colOff>
                    <xdr:row>1</xdr:row>
                    <xdr:rowOff>38100</xdr:rowOff>
                  </from>
                  <to>
                    <xdr:col>1</xdr:col>
                    <xdr:colOff>1943100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O39"/>
  <sheetViews>
    <sheetView workbookViewId="0">
      <selection activeCell="H25" sqref="H25"/>
    </sheetView>
  </sheetViews>
  <sheetFormatPr defaultColWidth="8.85546875" defaultRowHeight="14.25" x14ac:dyDescent="0.2"/>
  <cols>
    <col min="1" max="1" width="8.85546875" style="42" customWidth="1"/>
    <col min="2" max="2" width="27.7109375" style="42" customWidth="1"/>
    <col min="3" max="3" width="13.5703125" style="42" customWidth="1"/>
    <col min="4" max="4" width="11.140625" style="42" customWidth="1"/>
    <col min="5" max="5" width="13.140625" style="42" customWidth="1"/>
    <col min="6" max="6" width="11.85546875" style="42" customWidth="1"/>
    <col min="7" max="7" width="10.85546875" style="42" customWidth="1"/>
    <col min="8" max="8" width="12.140625" style="1188" customWidth="1"/>
    <col min="9" max="9" width="9.7109375" style="1188" customWidth="1"/>
    <col min="10" max="10" width="12.140625" style="42" customWidth="1"/>
    <col min="11" max="11" width="9.7109375" style="42" customWidth="1"/>
    <col min="12" max="12" width="12.140625" style="1188" customWidth="1"/>
    <col min="13" max="13" width="9.7109375" style="1188" customWidth="1"/>
    <col min="14" max="14" width="10.140625" style="42" customWidth="1"/>
    <col min="15" max="15" width="11.5703125" style="42" hidden="1" customWidth="1"/>
    <col min="16" max="16384" width="8.85546875" style="42"/>
  </cols>
  <sheetData>
    <row r="1" spans="1:15" ht="15" x14ac:dyDescent="0.2">
      <c r="A1" s="2610" t="s">
        <v>70</v>
      </c>
      <c r="B1" s="2610"/>
      <c r="C1" s="2610"/>
      <c r="D1" s="2610"/>
      <c r="E1" s="2610"/>
      <c r="F1" s="2614" t="str">
        <f>Кальк!E10</f>
        <v>202210367</v>
      </c>
      <c r="G1" s="2615"/>
      <c r="H1" s="2615"/>
      <c r="I1" s="2615"/>
      <c r="K1" s="1268" t="str">
        <f>Заказ!E2</f>
        <v>ООО "Кировская областная типография"</v>
      </c>
      <c r="M1" s="1900"/>
      <c r="N1" s="1900"/>
      <c r="O1" s="42">
        <v>1</v>
      </c>
    </row>
    <row r="2" spans="1:15" x14ac:dyDescent="0.2">
      <c r="A2" s="41"/>
      <c r="B2" s="41"/>
      <c r="C2" s="41"/>
      <c r="D2" s="41"/>
      <c r="E2" s="41"/>
      <c r="F2" s="41"/>
      <c r="G2" s="41"/>
      <c r="H2" s="1187"/>
      <c r="I2" s="1187"/>
      <c r="J2" s="41"/>
      <c r="K2" s="41"/>
      <c r="L2" s="1187"/>
      <c r="M2" s="1187"/>
      <c r="N2" s="41"/>
      <c r="O2" s="42">
        <v>1</v>
      </c>
    </row>
    <row r="3" spans="1:15" ht="15" x14ac:dyDescent="0.2">
      <c r="A3" s="2611" t="s">
        <v>71</v>
      </c>
      <c r="B3" s="2611"/>
      <c r="C3" s="2611"/>
      <c r="D3" s="2611"/>
      <c r="E3" s="2611"/>
      <c r="F3" s="2611"/>
      <c r="G3" s="2611"/>
      <c r="H3" s="2611"/>
      <c r="I3" s="2611"/>
      <c r="J3" s="2611"/>
      <c r="K3" s="2611"/>
      <c r="L3" s="2611"/>
      <c r="M3" s="2611"/>
      <c r="N3" s="2611"/>
      <c r="O3" s="42">
        <v>1</v>
      </c>
    </row>
    <row r="4" spans="1:15" ht="29.25" customHeight="1" x14ac:dyDescent="0.2">
      <c r="A4" s="41"/>
      <c r="B4" s="162" t="str">
        <f>Заказ!B11</f>
        <v>Тираж</v>
      </c>
      <c r="C4" s="163">
        <f>Заказ!C11</f>
        <v>25000</v>
      </c>
      <c r="D4" s="41"/>
      <c r="E4" s="2616" t="str">
        <f>Заказ!D8</f>
        <v>Про город К-Чепецк № 13 от 02.04.2022</v>
      </c>
      <c r="F4" s="2617"/>
      <c r="G4" s="2617"/>
      <c r="H4" s="2617"/>
      <c r="I4" s="2617"/>
      <c r="J4" s="2617"/>
      <c r="K4" s="2617"/>
      <c r="L4" s="2617"/>
      <c r="M4" s="2617"/>
      <c r="N4" s="2618"/>
      <c r="O4" s="42">
        <v>1</v>
      </c>
    </row>
    <row r="5" spans="1:15" s="44" customFormat="1" x14ac:dyDescent="0.2">
      <c r="O5" s="44">
        <v>1</v>
      </c>
    </row>
    <row r="6" spans="1:15" ht="17.25" customHeight="1" x14ac:dyDescent="0.2">
      <c r="A6" s="2609" t="s">
        <v>72</v>
      </c>
      <c r="B6" s="2609" t="s">
        <v>73</v>
      </c>
      <c r="C6" s="2609" t="s">
        <v>227</v>
      </c>
      <c r="D6" s="2609" t="s">
        <v>58</v>
      </c>
      <c r="E6" s="2609" t="s">
        <v>65</v>
      </c>
      <c r="F6" s="2609" t="s">
        <v>939</v>
      </c>
      <c r="G6" s="2609"/>
      <c r="H6" s="2607" t="s">
        <v>938</v>
      </c>
      <c r="I6" s="2612"/>
      <c r="J6" s="2612"/>
      <c r="K6" s="2612"/>
      <c r="L6" s="2612"/>
      <c r="M6" s="2608"/>
      <c r="N6" s="2613" t="s">
        <v>48</v>
      </c>
      <c r="O6" s="153">
        <v>1</v>
      </c>
    </row>
    <row r="7" spans="1:15" ht="18.75" customHeight="1" x14ac:dyDescent="0.2">
      <c r="A7" s="2609"/>
      <c r="B7" s="2609"/>
      <c r="C7" s="2609"/>
      <c r="D7" s="2609"/>
      <c r="E7" s="2609"/>
      <c r="F7" s="2609"/>
      <c r="G7" s="2609"/>
      <c r="H7" s="2607" t="s">
        <v>67</v>
      </c>
      <c r="I7" s="2608"/>
      <c r="J7" s="2607" t="s">
        <v>940</v>
      </c>
      <c r="K7" s="2608"/>
      <c r="L7" s="2607" t="s">
        <v>941</v>
      </c>
      <c r="M7" s="2608"/>
      <c r="N7" s="2613"/>
      <c r="O7" s="42">
        <v>1</v>
      </c>
    </row>
    <row r="8" spans="1:15" x14ac:dyDescent="0.2">
      <c r="A8" s="1207"/>
      <c r="B8" s="1207"/>
      <c r="C8" s="1207"/>
      <c r="D8" s="1207"/>
      <c r="E8" s="1207"/>
      <c r="F8" s="1208" t="s">
        <v>136</v>
      </c>
      <c r="G8" s="1208" t="s">
        <v>259</v>
      </c>
      <c r="H8" s="1208" t="s">
        <v>136</v>
      </c>
      <c r="I8" s="1208" t="s">
        <v>259</v>
      </c>
      <c r="J8" s="1208" t="s">
        <v>136</v>
      </c>
      <c r="K8" s="1208" t="s">
        <v>259</v>
      </c>
      <c r="L8" s="1208" t="s">
        <v>136</v>
      </c>
      <c r="M8" s="1208" t="s">
        <v>259</v>
      </c>
      <c r="N8" s="1207"/>
      <c r="O8" s="42">
        <v>1</v>
      </c>
    </row>
    <row r="9" spans="1:15" ht="28.5" customHeight="1" x14ac:dyDescent="0.2">
      <c r="A9" s="41"/>
      <c r="B9" s="1507" t="str">
        <f>Исх!C30</f>
        <v>газетная                              все форматы</v>
      </c>
      <c r="C9" s="45" t="str">
        <f>Исх!J30&amp;"X"&amp;Исх!K30</f>
        <v>66X57,8</v>
      </c>
      <c r="D9" s="41">
        <f>Исх!L30</f>
        <v>8</v>
      </c>
      <c r="E9" s="2022">
        <f>Исх!I30</f>
        <v>42</v>
      </c>
      <c r="F9" s="1194">
        <f ca="1">Исх!Z30+Исх!AA30</f>
        <v>29375</v>
      </c>
      <c r="G9" s="1195">
        <f ca="1">ROUND(IF($D9&gt;0,Исх!$I30*Исх!$J30*Исх!$K30*$F9/10000000,0),2)</f>
        <v>470.65</v>
      </c>
      <c r="H9" s="1049">
        <f>Исх!Z30</f>
        <v>25000</v>
      </c>
      <c r="I9" s="1049">
        <f>ROUND(IF($D9&gt;0,Исх!$I30*Исх!$J30*Исх!$K30*$H9/10000000,0),2)</f>
        <v>400.55</v>
      </c>
      <c r="J9" s="1049">
        <f ca="1">IF(D9&gt;0,CEILING(Исх!Z30*Исх!AF30*Исх!X30/100,1),0)</f>
        <v>4375</v>
      </c>
      <c r="K9" s="151">
        <f ca="1">ROUND(Исх!I30*Исх!J30*Исх!K30*J9/10000000,2)</f>
        <v>70.099999999999994</v>
      </c>
      <c r="L9" s="1049">
        <f>Исх!Z30*Исх!N45</f>
        <v>0</v>
      </c>
      <c r="M9" s="151">
        <f>IF(D9&gt;0,Исх!I30*Исх!J30*Исх!K30*L9/10000000,0)</f>
        <v>0</v>
      </c>
      <c r="N9" s="41" t="str">
        <f>LOOKUP(Исх!E30,Исх!$B$13:$B$26,Исх!$C$13:$C$26)</f>
        <v>СityLine</v>
      </c>
      <c r="O9" s="42">
        <f ca="1">IF(F9&gt;0,1,0)</f>
        <v>1</v>
      </c>
    </row>
    <row r="10" spans="1:15" s="2021" customFormat="1" ht="28.5" customHeight="1" x14ac:dyDescent="0.2">
      <c r="A10" s="2020"/>
      <c r="B10" s="1507"/>
      <c r="C10" s="45"/>
      <c r="D10" s="2020"/>
      <c r="E10" s="2020"/>
      <c r="F10" s="1194"/>
      <c r="G10" s="1195"/>
      <c r="H10" s="1049"/>
      <c r="I10" s="1049"/>
      <c r="J10" s="1049"/>
      <c r="K10" s="151"/>
      <c r="L10" s="1049"/>
      <c r="M10" s="151"/>
      <c r="N10" s="2020"/>
      <c r="O10" s="2021">
        <f ca="1">IF(O9=1,1,0)</f>
        <v>1</v>
      </c>
    </row>
    <row r="11" spans="1:15" ht="28.5" customHeight="1" x14ac:dyDescent="0.2">
      <c r="A11" s="41"/>
      <c r="B11" s="1507" t="str">
        <f>Исх!C31</f>
        <v>газетная.                             все форматы</v>
      </c>
      <c r="C11" s="45" t="str">
        <f>Исх!J31&amp;"X"&amp;Исх!K31</f>
        <v>33X57,8</v>
      </c>
      <c r="D11" s="963">
        <f>Исх!L31</f>
        <v>4</v>
      </c>
      <c r="E11" s="963">
        <f>Исх!I31</f>
        <v>42</v>
      </c>
      <c r="F11" s="1194">
        <f ca="1">Исх!Z31+Исх!AA31</f>
        <v>29375</v>
      </c>
      <c r="G11" s="1195">
        <f ca="1">IF(D11&gt;0,Исх!I31*Исх!J31*Исх!K31*F11/10000000,0)</f>
        <v>235.32547500000001</v>
      </c>
      <c r="H11" s="1049">
        <f>Исх!Z31</f>
        <v>25000</v>
      </c>
      <c r="I11" s="1049">
        <f>IF($D11&gt;0,Исх!$I31*Исх!$J31*Исх!$K31*$H11/10000000,0)</f>
        <v>200.27699999999999</v>
      </c>
      <c r="J11" s="1049">
        <f ca="1">IF(D11&gt;0,CEILING(Исх!Z31*Исх!AF31*Исх!X31/100,1),0)</f>
        <v>4375</v>
      </c>
      <c r="K11" s="151">
        <f ca="1">Исх!I31*Исх!J31*Исх!K31*J11/10000000</f>
        <v>35.048475000000003</v>
      </c>
      <c r="L11" s="1049">
        <f>Исх!Z31*Исх!N46</f>
        <v>0</v>
      </c>
      <c r="M11" s="151">
        <f>IF(D11&gt;0,Исх!I31*Исх!J31*Исх!K31*L11/10000000,0)</f>
        <v>0</v>
      </c>
      <c r="N11" s="963" t="str">
        <f>LOOKUP(Исх!E31,Исх!$B$13:$B$26,Исх!$C$13:$C$26)</f>
        <v>СityLine</v>
      </c>
      <c r="O11" s="1078">
        <f t="shared" ref="O11:O31" ca="1" si="0">IF(F11&gt;0,1,0)</f>
        <v>1</v>
      </c>
    </row>
    <row r="12" spans="1:15" s="2021" customFormat="1" ht="28.5" customHeight="1" x14ac:dyDescent="0.2">
      <c r="A12" s="2020"/>
      <c r="B12" s="1507"/>
      <c r="C12" s="45"/>
      <c r="D12" s="2020"/>
      <c r="E12" s="2020"/>
      <c r="F12" s="1194"/>
      <c r="G12" s="1195"/>
      <c r="H12" s="1049"/>
      <c r="I12" s="1049"/>
      <c r="J12" s="1049"/>
      <c r="K12" s="151"/>
      <c r="L12" s="1049"/>
      <c r="M12" s="151"/>
      <c r="N12" s="2020"/>
      <c r="O12" s="2021">
        <f ca="1">IF(O11=1,1,0)</f>
        <v>1</v>
      </c>
    </row>
    <row r="13" spans="1:15" ht="28.5" hidden="1" customHeight="1" x14ac:dyDescent="0.2">
      <c r="A13" s="41"/>
      <c r="B13" s="1507" t="str">
        <f>Исх!C32</f>
        <v xml:space="preserve"> </v>
      </c>
      <c r="C13" s="45" t="str">
        <f>Исх!J32&amp;"X"&amp;Исх!K32</f>
        <v>X</v>
      </c>
      <c r="D13" s="963">
        <f>Исх!L32</f>
        <v>0</v>
      </c>
      <c r="E13" s="963">
        <f>Исх!I32</f>
        <v>0</v>
      </c>
      <c r="F13" s="1194">
        <f>Исх!Z32+Исх!AA32</f>
        <v>0</v>
      </c>
      <c r="G13" s="1195">
        <f>IF(D13&gt;0,Исх!I32*Исх!J32*Исх!K32*F13/10000000,0)</f>
        <v>0</v>
      </c>
      <c r="H13" s="1049">
        <f>Исх!Z32</f>
        <v>0</v>
      </c>
      <c r="I13" s="1049">
        <f>IF($D13&gt;0,Исх!$I32*Исх!$J32*Исх!$K32*$H13/10000000,0)</f>
        <v>0</v>
      </c>
      <c r="J13" s="1049">
        <f>IF(D13&gt;0,CEILING(Исх!Z32*Исх!AF32*Исх!X32/100,1),0)</f>
        <v>0</v>
      </c>
      <c r="K13" s="151">
        <f>Исх!I32*Исх!J32*Исх!K32*J13/10000000</f>
        <v>0</v>
      </c>
      <c r="L13" s="1049">
        <f>Исх!Z32*Исх!N47</f>
        <v>0</v>
      </c>
      <c r="M13" s="151">
        <f>IF(D13&gt;0,Исх!I32*Исх!J32*Исх!K32*L13/10000000,0)</f>
        <v>0</v>
      </c>
      <c r="N13" s="963" t="str">
        <f>LOOKUP(Исх!E32,Исх!$B$13:$B$26,Исх!$C$13:$C$26)</f>
        <v xml:space="preserve"> </v>
      </c>
      <c r="O13" s="1078">
        <f t="shared" si="0"/>
        <v>0</v>
      </c>
    </row>
    <row r="14" spans="1:15" s="2021" customFormat="1" ht="28.5" hidden="1" customHeight="1" x14ac:dyDescent="0.2">
      <c r="A14" s="2020"/>
      <c r="B14" s="1507"/>
      <c r="C14" s="45"/>
      <c r="D14" s="2020"/>
      <c r="E14" s="2020"/>
      <c r="F14" s="1194"/>
      <c r="G14" s="1195"/>
      <c r="H14" s="1049"/>
      <c r="I14" s="1049"/>
      <c r="J14" s="1049"/>
      <c r="K14" s="151"/>
      <c r="L14" s="1049"/>
      <c r="M14" s="151"/>
      <c r="N14" s="2020"/>
      <c r="O14" s="2021">
        <f>IF(O13=1,1,0)</f>
        <v>0</v>
      </c>
    </row>
    <row r="15" spans="1:15" ht="28.5" hidden="1" customHeight="1" x14ac:dyDescent="0.2">
      <c r="A15" s="41"/>
      <c r="B15" s="1507" t="str">
        <f>Исх!C33</f>
        <v xml:space="preserve"> </v>
      </c>
      <c r="C15" s="45" t="str">
        <f>Исх!J33&amp;"X"&amp;Исх!K33</f>
        <v>X</v>
      </c>
      <c r="D15" s="963">
        <f>Исх!L33</f>
        <v>0</v>
      </c>
      <c r="E15" s="963">
        <f>Исх!I33</f>
        <v>0</v>
      </c>
      <c r="F15" s="1194">
        <f>Исх!Z33+Исх!AA33</f>
        <v>0</v>
      </c>
      <c r="G15" s="1195">
        <f>IF(D15&gt;0,Исх!I33*Исх!J33*Исх!K33*F15/10000000,0)</f>
        <v>0</v>
      </c>
      <c r="H15" s="1049">
        <f>Исх!Z33</f>
        <v>0</v>
      </c>
      <c r="I15" s="1049">
        <f>IF($D15&gt;0,Исх!$I33*Исх!$J33*Исх!$K33*$H15/10000000,0)</f>
        <v>0</v>
      </c>
      <c r="J15" s="1049">
        <f>IF(D15&gt;0,CEILING(Исх!Z33*Исх!AF33*Исх!X33/100,1),0)</f>
        <v>0</v>
      </c>
      <c r="K15" s="151">
        <f>Исх!I33*Исх!J33*Исх!K33*J15/10000000</f>
        <v>0</v>
      </c>
      <c r="L15" s="1049">
        <f>Исх!Z33*Исх!N48</f>
        <v>0</v>
      </c>
      <c r="M15" s="151">
        <f>IF(D15&gt;0,Исх!I33*Исх!J33*Исх!K33*L15/10000000,0)</f>
        <v>0</v>
      </c>
      <c r="N15" s="963" t="str">
        <f>LOOKUP(Исх!E33,Исх!$B$13:$B$26,Исх!$C$13:$C$26)</f>
        <v xml:space="preserve"> </v>
      </c>
      <c r="O15" s="1078">
        <f t="shared" si="0"/>
        <v>0</v>
      </c>
    </row>
    <row r="16" spans="1:15" s="2021" customFormat="1" ht="28.5" hidden="1" customHeight="1" x14ac:dyDescent="0.2">
      <c r="A16" s="2020"/>
      <c r="B16" s="1507"/>
      <c r="C16" s="45"/>
      <c r="D16" s="2020"/>
      <c r="E16" s="2020"/>
      <c r="F16" s="1194"/>
      <c r="G16" s="1195"/>
      <c r="H16" s="1049"/>
      <c r="I16" s="1049"/>
      <c r="J16" s="1049"/>
      <c r="K16" s="151"/>
      <c r="L16" s="1049"/>
      <c r="M16" s="151"/>
      <c r="N16" s="2020"/>
      <c r="O16" s="2021">
        <f>IF(O15=1,1,0)</f>
        <v>0</v>
      </c>
    </row>
    <row r="17" spans="1:15" ht="28.5" hidden="1" customHeight="1" x14ac:dyDescent="0.2">
      <c r="A17" s="41"/>
      <c r="B17" s="1507" t="str">
        <f>Исх!C34</f>
        <v xml:space="preserve"> </v>
      </c>
      <c r="C17" s="45" t="str">
        <f>Исх!J34&amp;"X"&amp;Исх!K34</f>
        <v>X</v>
      </c>
      <c r="D17" s="963">
        <f>Исх!L34</f>
        <v>0</v>
      </c>
      <c r="E17" s="963">
        <f>Исх!I34</f>
        <v>0</v>
      </c>
      <c r="F17" s="1194">
        <f>Исх!Z34+Исх!AA34</f>
        <v>0</v>
      </c>
      <c r="G17" s="1195">
        <f>IF(D17&gt;0,Исх!I34*Исх!J34*Исх!K34*F17/10000000,0)</f>
        <v>0</v>
      </c>
      <c r="H17" s="1049">
        <f>Исх!Z34</f>
        <v>0</v>
      </c>
      <c r="I17" s="1049">
        <f>IF($D17&gt;0,Исх!$I34*Исх!$J34*Исх!$K34*$H17/10000000,0)</f>
        <v>0</v>
      </c>
      <c r="J17" s="1049">
        <f>IF(D17&gt;0,CEILING(Исх!Z34*Исх!AF34*Исх!X34/100,1),0)</f>
        <v>0</v>
      </c>
      <c r="K17" s="151">
        <f>Исх!I34*Исх!J34*Исх!K34*J17/10000000</f>
        <v>0</v>
      </c>
      <c r="L17" s="1049">
        <f>Исх!Z34*Исх!N49</f>
        <v>0</v>
      </c>
      <c r="M17" s="151">
        <f>IF(D17&gt;0,Исх!I34*Исх!J34*Исх!K34*L17/10000000,0)</f>
        <v>0</v>
      </c>
      <c r="N17" s="963" t="str">
        <f>LOOKUP(Исх!E34,Исх!$B$13:$B$26,Исх!$C$13:$C$26)</f>
        <v xml:space="preserve"> </v>
      </c>
      <c r="O17" s="1078">
        <f t="shared" si="0"/>
        <v>0</v>
      </c>
    </row>
    <row r="18" spans="1:15" s="2021" customFormat="1" ht="28.5" hidden="1" customHeight="1" x14ac:dyDescent="0.2">
      <c r="A18" s="2020"/>
      <c r="B18" s="1507"/>
      <c r="C18" s="45"/>
      <c r="D18" s="2020"/>
      <c r="E18" s="2020"/>
      <c r="F18" s="1194"/>
      <c r="G18" s="1195"/>
      <c r="H18" s="1049"/>
      <c r="I18" s="1049"/>
      <c r="J18" s="1049"/>
      <c r="K18" s="151"/>
      <c r="L18" s="1049"/>
      <c r="M18" s="151"/>
      <c r="N18" s="2020"/>
      <c r="O18" s="2021">
        <f>IF(O17=1,1,0)</f>
        <v>0</v>
      </c>
    </row>
    <row r="19" spans="1:15" s="962" customFormat="1" ht="28.5" hidden="1" customHeight="1" x14ac:dyDescent="0.2">
      <c r="A19" s="963"/>
      <c r="B19" s="1507" t="str">
        <f>Исх!C35</f>
        <v xml:space="preserve"> </v>
      </c>
      <c r="C19" s="45" t="str">
        <f>Исх!J35&amp;"X"&amp;Исх!K35</f>
        <v>X</v>
      </c>
      <c r="D19" s="963">
        <f>Исх!L35</f>
        <v>0</v>
      </c>
      <c r="E19" s="963">
        <f>Исх!I35</f>
        <v>0</v>
      </c>
      <c r="F19" s="1194">
        <f>Исх!Z35+Исх!AA35</f>
        <v>0</v>
      </c>
      <c r="G19" s="1195">
        <f>IF(D19&gt;0,Исх!I35*Исх!J35*Исх!K35*F19/10000000,0)</f>
        <v>0</v>
      </c>
      <c r="H19" s="1049">
        <f>Исх!Z35</f>
        <v>0</v>
      </c>
      <c r="I19" s="1049">
        <f>IF($D19&gt;0,Исх!$I35*Исх!$J35*Исх!$K35*$H19/10000000,0)</f>
        <v>0</v>
      </c>
      <c r="J19" s="1049">
        <f>IF(D19&gt;0,CEILING(Исх!Z35*Исх!AF35*Исх!X35/100,1),0)</f>
        <v>0</v>
      </c>
      <c r="K19" s="151">
        <f>Исх!I35*Исх!J35*Исх!K35*J19/10000000</f>
        <v>0</v>
      </c>
      <c r="L19" s="1049">
        <f>Исх!Z35*Исх!N50</f>
        <v>0</v>
      </c>
      <c r="M19" s="151">
        <f>IF(D19&gt;0,Исх!I35*Исх!J35*Исх!K35*L19/10000000,0)</f>
        <v>0</v>
      </c>
      <c r="N19" s="963" t="str">
        <f>LOOKUP(Исх!E35,Исх!$B$13:$B$26,Исх!$C$13:$C$26)</f>
        <v xml:space="preserve"> </v>
      </c>
      <c r="O19" s="1078">
        <f t="shared" si="0"/>
        <v>0</v>
      </c>
    </row>
    <row r="20" spans="1:15" s="2021" customFormat="1" ht="28.5" hidden="1" customHeight="1" x14ac:dyDescent="0.2">
      <c r="A20" s="2020"/>
      <c r="B20" s="1507"/>
      <c r="C20" s="45"/>
      <c r="D20" s="2020"/>
      <c r="E20" s="2020"/>
      <c r="F20" s="1194"/>
      <c r="G20" s="1195"/>
      <c r="H20" s="1049"/>
      <c r="I20" s="1049"/>
      <c r="J20" s="1049"/>
      <c r="K20" s="151"/>
      <c r="L20" s="1049"/>
      <c r="M20" s="151"/>
      <c r="N20" s="2020"/>
      <c r="O20" s="2021">
        <f>IF(O19=1,1,0)</f>
        <v>0</v>
      </c>
    </row>
    <row r="21" spans="1:15" s="962" customFormat="1" ht="28.5" hidden="1" customHeight="1" x14ac:dyDescent="0.2">
      <c r="A21" s="963"/>
      <c r="B21" s="1507" t="str">
        <f>Исх!C36</f>
        <v xml:space="preserve"> </v>
      </c>
      <c r="C21" s="45" t="str">
        <f>Исх!J36&amp;"X"&amp;Исх!K36</f>
        <v>X</v>
      </c>
      <c r="D21" s="963">
        <f>Исх!L36</f>
        <v>0</v>
      </c>
      <c r="E21" s="963">
        <f>Исх!I36</f>
        <v>0</v>
      </c>
      <c r="F21" s="1194">
        <f>Исх!Z36+Исх!AA36</f>
        <v>0</v>
      </c>
      <c r="G21" s="1195">
        <f>IF(D21&gt;0,Исх!I36*Исх!J36*Исх!K36*F21/10000000,0)</f>
        <v>0</v>
      </c>
      <c r="H21" s="1049">
        <f>Исх!Z36</f>
        <v>0</v>
      </c>
      <c r="I21" s="1049">
        <f>IF($D21&gt;0,Исх!$I36*Исх!$J36*Исх!$K36*$H21/10000000,0)</f>
        <v>0</v>
      </c>
      <c r="J21" s="1049">
        <f>IF(D21&gt;0,CEILING(Исх!Z36*Исх!AF36*Исх!X36/100,1),0)</f>
        <v>0</v>
      </c>
      <c r="K21" s="151">
        <f>Исх!I36*Исх!J36*Исх!K36*J21/10000000</f>
        <v>0</v>
      </c>
      <c r="L21" s="1049">
        <f>Исх!Z36*Исх!N51</f>
        <v>0</v>
      </c>
      <c r="M21" s="151">
        <f>IF(D21&gt;0,Исх!I36*Исх!J36*Исх!K36*L21/10000000,0)</f>
        <v>0</v>
      </c>
      <c r="N21" s="963" t="str">
        <f>LOOKUP(Исх!E36,Исх!$B$13:$B$26,Исх!$C$13:$C$26)</f>
        <v xml:space="preserve"> </v>
      </c>
      <c r="O21" s="1078">
        <f t="shared" si="0"/>
        <v>0</v>
      </c>
    </row>
    <row r="22" spans="1:15" s="2021" customFormat="1" ht="28.5" hidden="1" customHeight="1" x14ac:dyDescent="0.2">
      <c r="A22" s="2020"/>
      <c r="B22" s="1507"/>
      <c r="C22" s="45"/>
      <c r="D22" s="2020"/>
      <c r="E22" s="2020"/>
      <c r="F22" s="1194"/>
      <c r="G22" s="1195"/>
      <c r="H22" s="1049"/>
      <c r="I22" s="1049"/>
      <c r="J22" s="1049"/>
      <c r="K22" s="151"/>
      <c r="L22" s="1049"/>
      <c r="M22" s="151"/>
      <c r="N22" s="2020"/>
      <c r="O22" s="2021">
        <f>IF(O21=1,1,0)</f>
        <v>0</v>
      </c>
    </row>
    <row r="23" spans="1:15" s="962" customFormat="1" ht="28.5" hidden="1" customHeight="1" x14ac:dyDescent="0.2">
      <c r="A23" s="963"/>
      <c r="B23" s="1507" t="str">
        <f>Исх!C37</f>
        <v xml:space="preserve"> </v>
      </c>
      <c r="C23" s="45" t="str">
        <f>Исх!J37&amp;"X"&amp;Исх!K37</f>
        <v>X</v>
      </c>
      <c r="D23" s="963">
        <f>Исх!L37</f>
        <v>0</v>
      </c>
      <c r="E23" s="963">
        <f>Исх!I37</f>
        <v>0</v>
      </c>
      <c r="F23" s="1194">
        <f>Исх!Z37+Исх!AA37</f>
        <v>0</v>
      </c>
      <c r="G23" s="1195">
        <f>IF(D23&gt;0,Исх!I37*Исх!J37*Исх!K37*F23/10000000,0)</f>
        <v>0</v>
      </c>
      <c r="H23" s="1049">
        <f>Исх!Z37</f>
        <v>0</v>
      </c>
      <c r="I23" s="1049">
        <f>IF($D23&gt;0,Исх!$I37*Исх!$J37*Исх!$K37*$H23/10000000,0)</f>
        <v>0</v>
      </c>
      <c r="J23" s="1049">
        <f>IF(D23&gt;0,CEILING(Исх!Z37*Исх!AF37*Исх!X37/100,1),0)</f>
        <v>0</v>
      </c>
      <c r="K23" s="151">
        <f>Исх!I37*Исх!J37*Исх!K37*J23/10000000</f>
        <v>0</v>
      </c>
      <c r="L23" s="1049">
        <f>Исх!Z37*Исх!N52</f>
        <v>0</v>
      </c>
      <c r="M23" s="151">
        <f>IF(D23&gt;0,Исх!I37*Исх!J37*Исх!K37*L23/10000000,0)</f>
        <v>0</v>
      </c>
      <c r="N23" s="963" t="str">
        <f>LOOKUP(Исх!E37,Исх!$B$13:$B$26,Исх!$C$13:$C$26)</f>
        <v xml:space="preserve"> </v>
      </c>
      <c r="O23" s="1078">
        <f t="shared" si="0"/>
        <v>0</v>
      </c>
    </row>
    <row r="24" spans="1:15" s="2021" customFormat="1" ht="28.5" hidden="1" customHeight="1" x14ac:dyDescent="0.2">
      <c r="A24" s="2020"/>
      <c r="B24" s="1507"/>
      <c r="C24" s="45"/>
      <c r="D24" s="2020"/>
      <c r="E24" s="2020"/>
      <c r="F24" s="1194"/>
      <c r="G24" s="1195"/>
      <c r="H24" s="1049"/>
      <c r="I24" s="1049"/>
      <c r="J24" s="1049"/>
      <c r="K24" s="151"/>
      <c r="L24" s="1049"/>
      <c r="M24" s="151"/>
      <c r="N24" s="2020"/>
      <c r="O24" s="2021">
        <f>IF(O23=1,1,0)</f>
        <v>0</v>
      </c>
    </row>
    <row r="25" spans="1:15" s="962" customFormat="1" ht="28.5" hidden="1" customHeight="1" x14ac:dyDescent="0.2">
      <c r="A25" s="963"/>
      <c r="B25" s="1507" t="str">
        <f>Исх!C38</f>
        <v xml:space="preserve"> </v>
      </c>
      <c r="C25" s="45" t="str">
        <f>Исх!J38&amp;"X"&amp;Исх!K38</f>
        <v>X</v>
      </c>
      <c r="D25" s="963">
        <f>Исх!L38</f>
        <v>0</v>
      </c>
      <c r="E25" s="963">
        <f>Исх!I38</f>
        <v>0</v>
      </c>
      <c r="F25" s="1194">
        <f>Исх!Z38+Исх!AA38</f>
        <v>0</v>
      </c>
      <c r="G25" s="1195">
        <f>IF(D25&gt;0,Исх!I38*Исх!J38*Исх!K38*F25/10000000,0)</f>
        <v>0</v>
      </c>
      <c r="H25" s="1049">
        <f>Исх!Z38</f>
        <v>0</v>
      </c>
      <c r="I25" s="1049">
        <f>IF($D25&gt;0,Исх!$I38*Исх!$J38*Исх!$K38*$H25/10000000,0)</f>
        <v>0</v>
      </c>
      <c r="J25" s="1049">
        <f>IF(D25&gt;0,CEILING(Исх!Z38*Исх!AF38*Исх!X38/100,1),0)</f>
        <v>0</v>
      </c>
      <c r="K25" s="151">
        <f>Исх!I38*Исх!J38*Исх!K38*J25/10000000</f>
        <v>0</v>
      </c>
      <c r="L25" s="1049">
        <f>Исх!Z38*Исх!N53</f>
        <v>0</v>
      </c>
      <c r="M25" s="151">
        <f>IF(D25&gt;0,Исх!I38*Исх!J38*Исх!K38*L25/10000000,0)</f>
        <v>0</v>
      </c>
      <c r="N25" s="963" t="str">
        <f>LOOKUP(Исх!E38,Исх!$B$13:$B$26,Исх!$C$13:$C$26)</f>
        <v xml:space="preserve"> </v>
      </c>
      <c r="O25" s="1078">
        <f t="shared" si="0"/>
        <v>0</v>
      </c>
    </row>
    <row r="26" spans="1:15" s="2021" customFormat="1" ht="28.5" hidden="1" customHeight="1" x14ac:dyDescent="0.2">
      <c r="A26" s="2020"/>
      <c r="B26" s="1507"/>
      <c r="C26" s="45"/>
      <c r="D26" s="2020"/>
      <c r="E26" s="2020"/>
      <c r="F26" s="1194"/>
      <c r="G26" s="1195"/>
      <c r="H26" s="1049"/>
      <c r="I26" s="1049"/>
      <c r="J26" s="1049"/>
      <c r="K26" s="151"/>
      <c r="L26" s="1049"/>
      <c r="M26" s="151"/>
      <c r="N26" s="2020"/>
      <c r="O26" s="2021">
        <f>IF(O25=1,1,0)</f>
        <v>0</v>
      </c>
    </row>
    <row r="27" spans="1:15" s="962" customFormat="1" ht="28.5" hidden="1" customHeight="1" x14ac:dyDescent="0.2">
      <c r="A27" s="963"/>
      <c r="B27" s="1507" t="str">
        <f>Исх!C39</f>
        <v xml:space="preserve"> </v>
      </c>
      <c r="C27" s="45" t="str">
        <f>Исх!J39&amp;"X"&amp;Исх!K39</f>
        <v>X</v>
      </c>
      <c r="D27" s="963">
        <f>Исх!L39</f>
        <v>0</v>
      </c>
      <c r="E27" s="963">
        <f>Исх!I39</f>
        <v>0</v>
      </c>
      <c r="F27" s="1194">
        <f>Исх!Z39+Исх!AA39</f>
        <v>0</v>
      </c>
      <c r="G27" s="1195">
        <f>IF(D27&gt;0,Исх!I39*Исх!J39*Исх!K39*F27/10000000,0)</f>
        <v>0</v>
      </c>
      <c r="H27" s="1049">
        <f>Исх!Z39</f>
        <v>0</v>
      </c>
      <c r="I27" s="1049">
        <f>IF($D27&gt;0,Исх!$I39*Исх!$J39*Исх!$K39*$H27/10000000,0)</f>
        <v>0</v>
      </c>
      <c r="J27" s="1049">
        <f>IF(D27&gt;0,CEILING(Исх!Z39*Исх!AF39*Исх!X39/100,1),0)</f>
        <v>0</v>
      </c>
      <c r="K27" s="151">
        <f>Исх!I39*Исх!J39*Исх!K39*J27/10000000</f>
        <v>0</v>
      </c>
      <c r="L27" s="1049">
        <f>Исх!Z39*Исх!N54</f>
        <v>0</v>
      </c>
      <c r="M27" s="151">
        <f>IF(D27&gt;0,Исх!I39*Исх!J39*Исх!K39*L27/10000000,0)</f>
        <v>0</v>
      </c>
      <c r="N27" s="963" t="str">
        <f>LOOKUP(Исх!E39,Исх!$B$13:$B$26,Исх!$C$13:$C$26)</f>
        <v xml:space="preserve"> </v>
      </c>
      <c r="O27" s="1078">
        <f t="shared" si="0"/>
        <v>0</v>
      </c>
    </row>
    <row r="28" spans="1:15" s="2021" customFormat="1" ht="28.5" hidden="1" customHeight="1" x14ac:dyDescent="0.2">
      <c r="A28" s="2020"/>
      <c r="B28" s="1507"/>
      <c r="C28" s="45"/>
      <c r="D28" s="2020"/>
      <c r="E28" s="2020"/>
      <c r="F28" s="1194"/>
      <c r="G28" s="1195"/>
      <c r="H28" s="1049"/>
      <c r="I28" s="1049"/>
      <c r="J28" s="1049"/>
      <c r="K28" s="151"/>
      <c r="L28" s="1049"/>
      <c r="M28" s="151"/>
      <c r="N28" s="2020"/>
      <c r="O28" s="2021">
        <f>IF(O27=1,1,0)</f>
        <v>0</v>
      </c>
    </row>
    <row r="29" spans="1:15" ht="28.5" hidden="1" customHeight="1" x14ac:dyDescent="0.2">
      <c r="A29" s="41"/>
      <c r="B29" s="1507" t="str">
        <f>Исх!C40</f>
        <v xml:space="preserve"> </v>
      </c>
      <c r="C29" s="45" t="str">
        <f>Исх!J40&amp;"X"&amp;Исх!K40</f>
        <v>X</v>
      </c>
      <c r="D29" s="963">
        <f>Исх!L40</f>
        <v>0</v>
      </c>
      <c r="E29" s="963">
        <f>Исх!I40</f>
        <v>0</v>
      </c>
      <c r="F29" s="1194">
        <f>Исх!Z40+Исх!AA40</f>
        <v>0</v>
      </c>
      <c r="G29" s="1195">
        <f>IF(D29&gt;0,Исх!I40*Исх!J40*Исх!K40*F29/10000000,0)</f>
        <v>0</v>
      </c>
      <c r="H29" s="1049">
        <f>Исх!Z40</f>
        <v>0</v>
      </c>
      <c r="I29" s="1049">
        <f>IF($D29&gt;0,Исх!$I40*Исх!$J40*Исх!$K40*$H29/10000000,0)</f>
        <v>0</v>
      </c>
      <c r="J29" s="1049">
        <f>IF(D29&gt;0,CEILING(Исх!Z40*Исх!AF40*Исх!X40/100,1),0)</f>
        <v>0</v>
      </c>
      <c r="K29" s="151">
        <f>Исх!I40*Исх!J40*Исх!K40*J29/10000000</f>
        <v>0</v>
      </c>
      <c r="L29" s="1049">
        <f>Исх!Z40*Исх!N55</f>
        <v>0</v>
      </c>
      <c r="M29" s="151">
        <f>IF(D29&gt;0,Исх!I40*Исх!J40*Исх!K40*L29/10000000,0)</f>
        <v>0</v>
      </c>
      <c r="N29" s="963" t="str">
        <f>LOOKUP(Исх!E40,Исх!$B$13:$B$26,Исх!$C$13:$C$26)</f>
        <v xml:space="preserve"> </v>
      </c>
      <c r="O29" s="1078">
        <f t="shared" si="0"/>
        <v>0</v>
      </c>
    </row>
    <row r="30" spans="1:15" s="2021" customFormat="1" ht="28.5" hidden="1" customHeight="1" x14ac:dyDescent="0.2">
      <c r="A30" s="2020"/>
      <c r="B30" s="1507"/>
      <c r="C30" s="45"/>
      <c r="D30" s="2020"/>
      <c r="E30" s="2020"/>
      <c r="F30" s="1194"/>
      <c r="G30" s="1195"/>
      <c r="H30" s="1049"/>
      <c r="I30" s="1049"/>
      <c r="J30" s="1049"/>
      <c r="K30" s="151"/>
      <c r="L30" s="1049"/>
      <c r="M30" s="151"/>
      <c r="N30" s="2020"/>
      <c r="O30" s="2021">
        <f>IF(O29=1,1,0)</f>
        <v>0</v>
      </c>
    </row>
    <row r="31" spans="1:15" s="939" customFormat="1" ht="28.5" hidden="1" customHeight="1" x14ac:dyDescent="0.2">
      <c r="A31" s="940"/>
      <c r="B31" s="1507" t="str">
        <f>Исх!C41</f>
        <v xml:space="preserve"> </v>
      </c>
      <c r="C31" s="45" t="str">
        <f>Исх!J41&amp;"X"&amp;Исх!K41</f>
        <v>X</v>
      </c>
      <c r="D31" s="963">
        <f>Исх!L41</f>
        <v>0</v>
      </c>
      <c r="E31" s="963">
        <f>Исх!I41</f>
        <v>0</v>
      </c>
      <c r="F31" s="1194">
        <f>Исх!Z41+Исх!AA41</f>
        <v>0</v>
      </c>
      <c r="G31" s="1195">
        <f>IF(D31&gt;0,Исх!I41*Исх!J41*Исх!K41*F31/10000000,0)</f>
        <v>0</v>
      </c>
      <c r="H31" s="1049">
        <f>Исх!Z41</f>
        <v>0</v>
      </c>
      <c r="I31" s="1049">
        <f>IF($D31&gt;0,Исх!$I41*Исх!$J41*Исх!$K41*$H31/10000000,0)</f>
        <v>0</v>
      </c>
      <c r="J31" s="1049">
        <f>IF(D31&gt;0,CEILING(Исх!Z41*Исх!AF41*Исх!X41/100,1),0)</f>
        <v>0</v>
      </c>
      <c r="K31" s="151">
        <f>Исх!I41*Исх!J41*Исх!K41*J31/10000000</f>
        <v>0</v>
      </c>
      <c r="L31" s="1049">
        <f>Исх!Z41*Исх!N56</f>
        <v>0</v>
      </c>
      <c r="M31" s="151">
        <f>IF(D31&gt;0,Исх!I41*Исх!J41*Исх!K41*L31/10000000,0)</f>
        <v>0</v>
      </c>
      <c r="N31" s="963" t="str">
        <f>LOOKUP(Исх!E41,Исх!$B$13:$B$26,Исх!$C$13:$C$26)</f>
        <v xml:space="preserve"> </v>
      </c>
      <c r="O31" s="1078">
        <f t="shared" si="0"/>
        <v>0</v>
      </c>
    </row>
    <row r="32" spans="1:15" ht="28.5" hidden="1" customHeight="1" x14ac:dyDescent="0.2">
      <c r="A32" s="41"/>
      <c r="B32" s="1507"/>
      <c r="C32" s="45"/>
      <c r="D32" s="41"/>
      <c r="E32" s="41"/>
      <c r="F32" s="150"/>
      <c r="G32" s="1049"/>
      <c r="H32" s="1049"/>
      <c r="I32" s="151"/>
      <c r="J32" s="1049"/>
      <c r="K32" s="151"/>
      <c r="L32" s="1049"/>
      <c r="M32" s="151"/>
      <c r="N32" s="41"/>
      <c r="O32" s="2021">
        <f>IF(O31=1,1,0)</f>
        <v>0</v>
      </c>
    </row>
    <row r="33" spans="1:15" ht="15" x14ac:dyDescent="0.2">
      <c r="A33" s="43"/>
      <c r="B33" s="43"/>
      <c r="C33" s="43"/>
      <c r="D33" s="61"/>
      <c r="E33" s="61"/>
      <c r="F33" s="61"/>
      <c r="G33" s="1190">
        <f ca="1">SUM(G9:G32)</f>
        <v>705.97547499999996</v>
      </c>
      <c r="H33" s="137"/>
      <c r="I33" s="1209">
        <f>SUM(I9:I32)</f>
        <v>600.827</v>
      </c>
      <c r="J33" s="137"/>
      <c r="K33" s="1209">
        <f ca="1">SUM(K9:K32)</f>
        <v>105.14847499999999</v>
      </c>
      <c r="L33" s="137"/>
      <c r="M33" s="1209">
        <f>SUM(M9:M32)</f>
        <v>0</v>
      </c>
      <c r="N33" s="43"/>
      <c r="O33" s="1078">
        <v>1</v>
      </c>
    </row>
    <row r="34" spans="1:15" ht="15" x14ac:dyDescent="0.2">
      <c r="A34" s="43"/>
      <c r="B34" s="43"/>
      <c r="C34" s="846" t="str">
        <f>IF(C4&lt;9900,"Тираж меньше 9900экз.","Тираж больше 9900экз.")</f>
        <v>Тираж больше 9900экз.</v>
      </c>
      <c r="D34" s="43"/>
      <c r="E34" s="43"/>
      <c r="F34" s="43"/>
      <c r="G34" s="845">
        <f ca="1">G33+Исх!$N$1</f>
        <v>705.97547499999996</v>
      </c>
      <c r="H34" s="136"/>
      <c r="I34" s="136"/>
      <c r="J34" s="136"/>
      <c r="K34" s="136"/>
      <c r="L34" s="136"/>
      <c r="M34" s="136"/>
      <c r="N34" s="43"/>
      <c r="O34" s="1078">
        <v>1</v>
      </c>
    </row>
    <row r="35" spans="1:15" ht="39.75" customHeight="1" x14ac:dyDescent="0.2">
      <c r="A35" s="1292" t="s">
        <v>78</v>
      </c>
      <c r="B35" s="1292"/>
      <c r="C35" s="42" t="s">
        <v>51</v>
      </c>
      <c r="D35" s="2605" t="str">
        <f>Заказ!C6</f>
        <v>Чепецк Инфо, ООО</v>
      </c>
      <c r="E35" s="2606"/>
      <c r="F35" s="2606"/>
      <c r="G35" s="1196" t="s">
        <v>79</v>
      </c>
      <c r="H35" s="47"/>
      <c r="I35" s="46" t="str">
        <f>Исх!II1</f>
        <v>О.А. Коврова</v>
      </c>
      <c r="J35" s="47"/>
      <c r="L35" s="46"/>
      <c r="M35" s="46"/>
      <c r="N35" s="47"/>
      <c r="O35" s="42">
        <v>1</v>
      </c>
    </row>
    <row r="36" spans="1:15" ht="15" x14ac:dyDescent="0.2"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5" ht="15" x14ac:dyDescent="0.2"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9" spans="1:15" x14ac:dyDescent="0.2">
      <c r="C39" s="1078"/>
      <c r="D39" s="1078"/>
      <c r="E39" s="1078"/>
      <c r="F39" s="1078"/>
      <c r="G39" s="1078"/>
      <c r="J39" s="1078"/>
      <c r="K39" s="1078"/>
      <c r="N39" s="1078"/>
      <c r="O39" s="1078"/>
    </row>
  </sheetData>
  <customSheetViews>
    <customSheetView guid="{DFC1AA5A-BB58-4864-A1E0-C1D77A337997}" fitToPage="1" hiddenColumns="1" showRuler="0">
      <selection activeCell="B17" sqref="B17"/>
      <pageMargins left="0.19685039370078741" right="0.19685039370078741" top="0.39370078740157483" bottom="0.19685039370078741" header="0.51181102362204722" footer="0.51181102362204722"/>
      <pageSetup paperSize="9" orientation="landscape" horizontalDpi="300" verticalDpi="300" r:id="rId1"/>
      <headerFooter alignWithMargins="0"/>
    </customSheetView>
  </customSheetViews>
  <mergeCells count="16">
    <mergeCell ref="A1:E1"/>
    <mergeCell ref="A3:N3"/>
    <mergeCell ref="A6:A7"/>
    <mergeCell ref="B6:B7"/>
    <mergeCell ref="C6:C7"/>
    <mergeCell ref="H7:I7"/>
    <mergeCell ref="L7:M7"/>
    <mergeCell ref="H6:M6"/>
    <mergeCell ref="N6:N7"/>
    <mergeCell ref="F1:I1"/>
    <mergeCell ref="E4:N4"/>
    <mergeCell ref="D35:F35"/>
    <mergeCell ref="J7:K7"/>
    <mergeCell ref="D6:D7"/>
    <mergeCell ref="E6:E7"/>
    <mergeCell ref="F6:G7"/>
  </mergeCells>
  <phoneticPr fontId="0" type="noConversion"/>
  <conditionalFormatting sqref="A9:N31">
    <cfRule type="expression" dxfId="4" priority="3">
      <formula>$F9&gt;0</formula>
    </cfRule>
  </conditionalFormatting>
  <conditionalFormatting sqref="F9:G31">
    <cfRule type="expression" dxfId="3" priority="2">
      <formula>$E9&gt;0</formula>
    </cfRule>
  </conditionalFormatting>
  <pageMargins left="0.19685039370078741" right="0.19685039370078741" top="0.48" bottom="0.19685039370078741" header="0.39" footer="0.4"/>
  <pageSetup paperSize="9" scale="85" orientation="landscape" horizontalDpi="300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Кнопка5_СкрытьЯрлыкБ">
                <anchor moveWithCells="1" sizeWithCells="1">
                  <from>
                    <xdr:col>9</xdr:col>
                    <xdr:colOff>742950</xdr:colOff>
                    <xdr:row>1</xdr:row>
                    <xdr:rowOff>57150</xdr:rowOff>
                  </from>
                  <to>
                    <xdr:col>11</xdr:col>
                    <xdr:colOff>561975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Кнопка6_РазвернутьЯрлыкБ">
                <anchor moveWithCells="1" sizeWithCells="1">
                  <from>
                    <xdr:col>11</xdr:col>
                    <xdr:colOff>781050</xdr:colOff>
                    <xdr:row>1</xdr:row>
                    <xdr:rowOff>57150</xdr:rowOff>
                  </from>
                  <to>
                    <xdr:col>13</xdr:col>
                    <xdr:colOff>638175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K25"/>
  <sheetViews>
    <sheetView workbookViewId="0">
      <selection activeCell="E1" sqref="E1:F1"/>
    </sheetView>
  </sheetViews>
  <sheetFormatPr defaultColWidth="8.85546875" defaultRowHeight="14.25" x14ac:dyDescent="0.2"/>
  <cols>
    <col min="1" max="1" width="8.85546875" style="42" customWidth="1"/>
    <col min="2" max="2" width="27.7109375" style="42" customWidth="1"/>
    <col min="3" max="3" width="13.5703125" style="42" customWidth="1"/>
    <col min="4" max="4" width="11.140625" style="42" customWidth="1"/>
    <col min="5" max="5" width="13.140625" style="42" customWidth="1"/>
    <col min="6" max="6" width="12.85546875" style="42" customWidth="1"/>
    <col min="7" max="7" width="10.85546875" style="42" customWidth="1"/>
    <col min="8" max="8" width="10.140625" style="42" customWidth="1"/>
    <col min="9" max="9" width="17.28515625" style="42" customWidth="1"/>
    <col min="10" max="10" width="8.28515625" style="42" hidden="1" customWidth="1"/>
    <col min="11" max="11" width="11.5703125" style="42" customWidth="1"/>
    <col min="12" max="16384" width="8.85546875" style="42"/>
  </cols>
  <sheetData>
    <row r="1" spans="1:11" ht="15" x14ac:dyDescent="0.2">
      <c r="A1" s="2622" t="s">
        <v>70</v>
      </c>
      <c r="B1" s="2623"/>
      <c r="C1" s="2623"/>
      <c r="D1" s="2624"/>
      <c r="E1" s="2614" t="str">
        <f>Кальк!E10</f>
        <v>202210367</v>
      </c>
      <c r="F1" s="2625"/>
      <c r="G1" s="2619" t="str">
        <f>Заказ!E2</f>
        <v>ООО "Кировская областная типография"</v>
      </c>
      <c r="H1" s="2620"/>
      <c r="I1" s="2621"/>
      <c r="J1" s="41"/>
    </row>
    <row r="2" spans="1:11" x14ac:dyDescent="0.2">
      <c r="A2" s="41"/>
      <c r="B2" s="41"/>
      <c r="C2" s="41"/>
      <c r="D2" s="41"/>
      <c r="E2" s="41"/>
      <c r="F2" s="41"/>
      <c r="G2" s="41"/>
      <c r="H2" s="41"/>
      <c r="I2" s="41"/>
      <c r="J2" s="41"/>
    </row>
    <row r="3" spans="1:11" ht="15" x14ac:dyDescent="0.2">
      <c r="A3" s="2611" t="s">
        <v>158</v>
      </c>
      <c r="B3" s="2611"/>
      <c r="C3" s="2611"/>
      <c r="D3" s="2611"/>
      <c r="E3" s="2611"/>
      <c r="F3" s="2611"/>
      <c r="G3" s="2611"/>
      <c r="H3" s="2611"/>
      <c r="I3" s="2611"/>
      <c r="J3" s="2611"/>
    </row>
    <row r="4" spans="1:11" x14ac:dyDescent="0.2">
      <c r="A4" s="41"/>
      <c r="B4" s="41"/>
      <c r="C4" s="41"/>
      <c r="D4" s="41"/>
      <c r="E4" s="41"/>
      <c r="F4" s="41"/>
      <c r="G4" s="41"/>
      <c r="H4" s="41"/>
      <c r="I4" s="41"/>
      <c r="J4" s="43"/>
    </row>
    <row r="5" spans="1:11" s="44" customFormat="1" x14ac:dyDescent="0.2"/>
    <row r="6" spans="1:11" ht="25.5" customHeight="1" x14ac:dyDescent="0.2">
      <c r="A6" s="2628" t="s">
        <v>72</v>
      </c>
      <c r="B6" s="2628" t="s">
        <v>73</v>
      </c>
      <c r="C6" s="2628" t="s">
        <v>227</v>
      </c>
      <c r="D6" s="2628" t="s">
        <v>58</v>
      </c>
      <c r="E6" s="2628" t="s">
        <v>65</v>
      </c>
      <c r="F6" s="2628" t="s">
        <v>254</v>
      </c>
      <c r="G6" s="2628"/>
      <c r="H6" s="2629" t="s">
        <v>68</v>
      </c>
      <c r="I6" s="2628" t="s">
        <v>74</v>
      </c>
      <c r="J6" s="2628"/>
    </row>
    <row r="7" spans="1:11" x14ac:dyDescent="0.2">
      <c r="A7" s="2628"/>
      <c r="B7" s="2628"/>
      <c r="C7" s="2628"/>
      <c r="D7" s="2628"/>
      <c r="E7" s="2628"/>
      <c r="F7" s="2628"/>
      <c r="G7" s="2628"/>
      <c r="H7" s="2629"/>
      <c r="I7" s="48" t="s">
        <v>75</v>
      </c>
      <c r="J7" s="48" t="s">
        <v>76</v>
      </c>
    </row>
    <row r="8" spans="1:11" x14ac:dyDescent="0.2">
      <c r="A8" s="41"/>
      <c r="B8" s="41"/>
      <c r="C8" s="41"/>
      <c r="D8" s="41"/>
      <c r="E8" s="41"/>
      <c r="F8" s="45" t="s">
        <v>77</v>
      </c>
      <c r="G8" s="45" t="s">
        <v>259</v>
      </c>
      <c r="H8" s="41"/>
      <c r="I8" s="41"/>
      <c r="J8" s="41"/>
    </row>
    <row r="9" spans="1:11" ht="28.5" customHeight="1" x14ac:dyDescent="0.2">
      <c r="A9" s="41"/>
      <c r="B9" s="1507" t="str">
        <f>Исх!C30</f>
        <v>газетная                              все форматы</v>
      </c>
      <c r="C9" s="45" t="str">
        <f>Исх!J30&amp;"X"&amp;Исх!K30</f>
        <v>66X57,8</v>
      </c>
      <c r="D9" s="41">
        <f>Исх!L30</f>
        <v>8</v>
      </c>
      <c r="E9" s="41">
        <f>Исх!I30</f>
        <v>42</v>
      </c>
      <c r="F9" s="1048">
        <f>Исх!Z30*Исх!N45</f>
        <v>0</v>
      </c>
      <c r="G9" s="1050">
        <f>IF(D9&gt;0,Исх!I30*Исх!J30*Исх!K30*F9/10000000,0)</f>
        <v>0</v>
      </c>
      <c r="H9" s="41" t="str">
        <f>LOOKUP(Исх!E30,Исх!$B$13:$B$26,Исх!$C$13:$C$26)</f>
        <v>СityLine</v>
      </c>
      <c r="I9" s="41"/>
      <c r="J9" s="41"/>
      <c r="K9" s="59">
        <v>1</v>
      </c>
    </row>
    <row r="10" spans="1:11" ht="28.5" customHeight="1" x14ac:dyDescent="0.2">
      <c r="A10" s="41"/>
      <c r="B10" s="1507" t="str">
        <f>Исх!C31</f>
        <v>газетная.                             все форматы</v>
      </c>
      <c r="C10" s="45" t="str">
        <f>Исх!J31&amp;"X"&amp;Исх!K31</f>
        <v>33X57,8</v>
      </c>
      <c r="D10" s="963">
        <f>Исх!L31</f>
        <v>4</v>
      </c>
      <c r="E10" s="963">
        <f>Исх!I31</f>
        <v>42</v>
      </c>
      <c r="F10" s="1048">
        <f>Исх!Z31*Исх!N46</f>
        <v>0</v>
      </c>
      <c r="G10" s="1050">
        <f>IF(D10&gt;0,Исх!I31*Исх!J31*Исх!K31*F10/10000000,0)</f>
        <v>0</v>
      </c>
      <c r="H10" s="940" t="str">
        <f>LOOKUP(Исх!E31,Исх!$B$13:$B$26,Исх!$C$13:$C$26)</f>
        <v>СityLine</v>
      </c>
      <c r="I10" s="940"/>
      <c r="J10" s="41"/>
      <c r="K10" s="59">
        <v>2</v>
      </c>
    </row>
    <row r="11" spans="1:11" ht="28.5" customHeight="1" x14ac:dyDescent="0.2">
      <c r="A11" s="41"/>
      <c r="B11" s="1507" t="str">
        <f>Исх!C32</f>
        <v xml:space="preserve"> </v>
      </c>
      <c r="C11" s="45" t="str">
        <f>Исх!J32&amp;"X"&amp;Исх!K32</f>
        <v>X</v>
      </c>
      <c r="D11" s="963">
        <f>Исх!L32</f>
        <v>0</v>
      </c>
      <c r="E11" s="963">
        <f>Исх!I32</f>
        <v>0</v>
      </c>
      <c r="F11" s="1048">
        <f>Исх!Z32*Исх!N47</f>
        <v>0</v>
      </c>
      <c r="G11" s="1050">
        <f>IF(D11&gt;0,Исх!I32*Исх!J32*Исх!K32*F11/10000000,0)</f>
        <v>0</v>
      </c>
      <c r="H11" s="940" t="str">
        <f>LOOKUP(Исх!E32,Исх!$B$13:$B$26,Исх!$C$13:$C$26)</f>
        <v xml:space="preserve"> </v>
      </c>
      <c r="I11" s="940"/>
      <c r="J11" s="41"/>
      <c r="K11" s="59">
        <v>3</v>
      </c>
    </row>
    <row r="12" spans="1:11" ht="28.5" customHeight="1" x14ac:dyDescent="0.2">
      <c r="A12" s="41"/>
      <c r="B12" s="1507" t="str">
        <f>Исх!C33</f>
        <v xml:space="preserve"> </v>
      </c>
      <c r="C12" s="45" t="str">
        <f>Исх!J33&amp;"X"&amp;Исх!K33</f>
        <v>X</v>
      </c>
      <c r="D12" s="963">
        <f>Исх!L33</f>
        <v>0</v>
      </c>
      <c r="E12" s="963">
        <f>Исх!I33</f>
        <v>0</v>
      </c>
      <c r="F12" s="1048">
        <f>Исх!Z33*Исх!N48</f>
        <v>0</v>
      </c>
      <c r="G12" s="1050">
        <f>IF(D12&gt;0,Исх!I33*Исх!J33*Исх!K33*F12/10000000,0)</f>
        <v>0</v>
      </c>
      <c r="H12" s="940" t="str">
        <f>LOOKUP(Исх!E33,Исх!$B$13:$B$26,Исх!$C$13:$C$26)</f>
        <v xml:space="preserve"> </v>
      </c>
      <c r="I12" s="940"/>
      <c r="J12" s="41"/>
      <c r="K12" s="59">
        <v>4</v>
      </c>
    </row>
    <row r="13" spans="1:11" s="939" customFormat="1" ht="28.5" customHeight="1" x14ac:dyDescent="0.2">
      <c r="A13" s="940"/>
      <c r="B13" s="1507" t="str">
        <f>Исх!C34</f>
        <v xml:space="preserve"> </v>
      </c>
      <c r="C13" s="45" t="str">
        <f>Исх!J34&amp;"X"&amp;Исх!K34</f>
        <v>X</v>
      </c>
      <c r="D13" s="963">
        <f>Исх!L34</f>
        <v>0</v>
      </c>
      <c r="E13" s="963">
        <f>Исх!I34</f>
        <v>0</v>
      </c>
      <c r="F13" s="1048">
        <f>Исх!Z34*Исх!N49</f>
        <v>0</v>
      </c>
      <c r="G13" s="1050">
        <f>IF(D13&gt;0,Исх!I34*Исх!J34*Исх!K34*F13/10000000,0)</f>
        <v>0</v>
      </c>
      <c r="H13" s="940" t="str">
        <f>LOOKUP(Исх!E34,Исх!$B$13:$B$26,Исх!$C$13:$C$26)</f>
        <v xml:space="preserve"> </v>
      </c>
      <c r="I13" s="940"/>
      <c r="J13" s="43"/>
      <c r="K13" s="59">
        <v>5</v>
      </c>
    </row>
    <row r="14" spans="1:11" s="939" customFormat="1" ht="28.5" customHeight="1" x14ac:dyDescent="0.2">
      <c r="A14" s="940"/>
      <c r="B14" s="1507" t="str">
        <f>Исх!C35</f>
        <v xml:space="preserve"> </v>
      </c>
      <c r="C14" s="45" t="str">
        <f>Исх!J35&amp;"X"&amp;Исх!K35</f>
        <v>X</v>
      </c>
      <c r="D14" s="963">
        <f>Исх!L35</f>
        <v>0</v>
      </c>
      <c r="E14" s="963">
        <f>Исх!I35</f>
        <v>0</v>
      </c>
      <c r="F14" s="1048">
        <f>Исх!Z35*Исх!N50</f>
        <v>0</v>
      </c>
      <c r="G14" s="1050">
        <f>IF(D14&gt;0,Исх!I35*Исх!J35*Исх!K35*F14/10000000,0)</f>
        <v>0</v>
      </c>
      <c r="H14" s="940" t="str">
        <f>LOOKUP(Исх!E35,Исх!$B$13:$B$26,Исх!$C$13:$C$26)</f>
        <v xml:space="preserve"> </v>
      </c>
      <c r="I14" s="940"/>
      <c r="J14" s="43"/>
      <c r="K14" s="59">
        <v>6</v>
      </c>
    </row>
    <row r="15" spans="1:11" s="939" customFormat="1" ht="28.5" customHeight="1" x14ac:dyDescent="0.2">
      <c r="A15" s="940"/>
      <c r="B15" s="1507" t="str">
        <f>Исх!C36</f>
        <v xml:space="preserve"> </v>
      </c>
      <c r="C15" s="45" t="str">
        <f>Исх!J36&amp;"X"&amp;Исх!K36</f>
        <v>X</v>
      </c>
      <c r="D15" s="963">
        <f>Исх!L36</f>
        <v>0</v>
      </c>
      <c r="E15" s="963">
        <f>Исх!I36</f>
        <v>0</v>
      </c>
      <c r="F15" s="1048">
        <f>Исх!Z36*Исх!N51</f>
        <v>0</v>
      </c>
      <c r="G15" s="1050">
        <f>IF(D15&gt;0,Исх!I36*Исх!J36*Исх!K36*F15/10000000,0)</f>
        <v>0</v>
      </c>
      <c r="H15" s="940" t="str">
        <f>LOOKUP(Исх!E36,Исх!$B$13:$B$26,Исх!$C$13:$C$26)</f>
        <v xml:space="preserve"> </v>
      </c>
      <c r="I15" s="940"/>
      <c r="J15" s="43"/>
      <c r="K15" s="59">
        <v>7</v>
      </c>
    </row>
    <row r="16" spans="1:11" ht="28.5" customHeight="1" x14ac:dyDescent="0.2">
      <c r="A16" s="41"/>
      <c r="B16" s="1507" t="str">
        <f>Исх!C37</f>
        <v xml:space="preserve"> </v>
      </c>
      <c r="C16" s="45" t="str">
        <f>Исх!J37&amp;"X"&amp;Исх!K37</f>
        <v>X</v>
      </c>
      <c r="D16" s="963">
        <f>Исх!L37</f>
        <v>0</v>
      </c>
      <c r="E16" s="963">
        <f>Исх!I37</f>
        <v>0</v>
      </c>
      <c r="F16" s="1048">
        <f>Исх!Z37*Исх!N52</f>
        <v>0</v>
      </c>
      <c r="G16" s="1050">
        <f>IF(D16&gt;0,Исх!I37*Исх!J37*Исх!K37*F16/10000000,0)</f>
        <v>0</v>
      </c>
      <c r="H16" s="940" t="str">
        <f>LOOKUP(Исх!E37,Исх!$B$13:$B$26,Исх!$C$13:$C$26)</f>
        <v xml:space="preserve"> </v>
      </c>
      <c r="I16" s="940"/>
      <c r="J16" s="43"/>
      <c r="K16" s="59">
        <v>5</v>
      </c>
    </row>
    <row r="17" spans="1:11" ht="28.5" customHeight="1" x14ac:dyDescent="0.2">
      <c r="A17" s="41"/>
      <c r="B17" s="1507" t="str">
        <f>Исх!C38</f>
        <v xml:space="preserve"> </v>
      </c>
      <c r="C17" s="45" t="str">
        <f>Исх!J38&amp;"X"&amp;Исх!K38</f>
        <v>X</v>
      </c>
      <c r="D17" s="963">
        <f>Исх!L38</f>
        <v>0</v>
      </c>
      <c r="E17" s="963">
        <f>Исх!I38</f>
        <v>0</v>
      </c>
      <c r="F17" s="1048">
        <f>Исх!Z38*Исх!N53</f>
        <v>0</v>
      </c>
      <c r="G17" s="1050">
        <f>IF(D17&gt;0,Исх!I38*Исх!J38*Исх!K38*F17/10000000,0)</f>
        <v>0</v>
      </c>
      <c r="H17" s="940" t="str">
        <f>LOOKUP(Исх!E38,Исх!$B$13:$B$26,Исх!$C$13:$C$26)</f>
        <v xml:space="preserve"> </v>
      </c>
      <c r="I17" s="940"/>
      <c r="J17" s="43"/>
      <c r="K17" s="59">
        <v>6</v>
      </c>
    </row>
    <row r="18" spans="1:11" ht="28.5" customHeight="1" x14ac:dyDescent="0.2">
      <c r="A18" s="41"/>
      <c r="B18" s="1507" t="str">
        <f>Исх!C39</f>
        <v xml:space="preserve"> </v>
      </c>
      <c r="C18" s="45" t="str">
        <f>Исх!J39&amp;"X"&amp;Исх!K39</f>
        <v>X</v>
      </c>
      <c r="D18" s="963">
        <f>Исх!L39</f>
        <v>0</v>
      </c>
      <c r="E18" s="963">
        <f>Исх!I39</f>
        <v>0</v>
      </c>
      <c r="F18" s="1048">
        <f>Исх!Z39*Исх!N54</f>
        <v>0</v>
      </c>
      <c r="G18" s="1050">
        <f>IF(D18&gt;0,Исх!I39*Исх!J39*Исх!K39*F18/10000000,0)</f>
        <v>0</v>
      </c>
      <c r="H18" s="940" t="str">
        <f>LOOKUP(Исх!E39,Исх!$B$13:$B$26,Исх!$C$13:$C$26)</f>
        <v xml:space="preserve"> </v>
      </c>
      <c r="I18" s="940"/>
      <c r="J18" s="43"/>
      <c r="K18" s="59">
        <v>7</v>
      </c>
    </row>
    <row r="19" spans="1:11" ht="28.5" customHeight="1" x14ac:dyDescent="0.2">
      <c r="A19" s="41"/>
      <c r="B19" s="1507" t="str">
        <f>Исх!C40</f>
        <v xml:space="preserve"> </v>
      </c>
      <c r="C19" s="45" t="str">
        <f>Исх!J40&amp;"X"&amp;Исх!K40</f>
        <v>X</v>
      </c>
      <c r="D19" s="963">
        <f>Исх!L40</f>
        <v>0</v>
      </c>
      <c r="E19" s="963">
        <f>Исх!I40</f>
        <v>0</v>
      </c>
      <c r="F19" s="1048">
        <f>Исх!Z40*Исх!N55</f>
        <v>0</v>
      </c>
      <c r="G19" s="1050">
        <f>IF(D19&gt;0,Исх!I40*Исх!J40*Исх!K40*F19/10000000,0)</f>
        <v>0</v>
      </c>
      <c r="H19" s="940" t="str">
        <f>LOOKUP(Исх!E40,Исх!$B$13:$B$26,Исх!$C$13:$C$26)</f>
        <v xml:space="preserve"> </v>
      </c>
      <c r="I19" s="940"/>
      <c r="J19" s="43"/>
      <c r="K19" s="59">
        <v>8</v>
      </c>
    </row>
    <row r="20" spans="1:11" ht="28.5" customHeight="1" x14ac:dyDescent="0.2">
      <c r="A20" s="41"/>
      <c r="B20" s="1507" t="str">
        <f>Исх!C41</f>
        <v xml:space="preserve"> </v>
      </c>
      <c r="C20" s="45" t="str">
        <f>Исх!J41&amp;"X"&amp;Исх!K41</f>
        <v>X</v>
      </c>
      <c r="D20" s="963">
        <f>Исх!L41</f>
        <v>0</v>
      </c>
      <c r="E20" s="963">
        <f>Исх!I41</f>
        <v>0</v>
      </c>
      <c r="F20" s="1048">
        <f>Исх!Z41*Исх!N56</f>
        <v>0</v>
      </c>
      <c r="G20" s="1050">
        <f>IF(D20&gt;0,Исх!I41*Исх!J41*Исх!K41*F20/10000000,0)</f>
        <v>0</v>
      </c>
      <c r="H20" s="940" t="str">
        <f>LOOKUP(Исх!E41,Исх!$B$13:$B$26,Исх!$C$13:$C$26)</f>
        <v xml:space="preserve"> </v>
      </c>
      <c r="I20" s="940"/>
      <c r="J20" s="43"/>
      <c r="K20" s="59">
        <v>9</v>
      </c>
    </row>
    <row r="21" spans="1:11" ht="15" x14ac:dyDescent="0.2">
      <c r="A21" s="43"/>
      <c r="B21" s="43"/>
      <c r="C21" s="141"/>
      <c r="D21" s="61"/>
      <c r="E21" s="61"/>
      <c r="F21" s="61"/>
      <c r="G21" s="1193">
        <f>SUM(G9:G20)</f>
        <v>0</v>
      </c>
      <c r="H21" s="43"/>
      <c r="I21" s="43"/>
      <c r="J21" s="43"/>
      <c r="K21" s="59"/>
    </row>
    <row r="22" spans="1:11" x14ac:dyDescent="0.2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59"/>
    </row>
    <row r="23" spans="1:11" ht="20.25" customHeight="1" x14ac:dyDescent="0.2">
      <c r="A23" s="2626" t="s">
        <v>78</v>
      </c>
      <c r="B23" s="2626"/>
      <c r="C23" s="42" t="s">
        <v>51</v>
      </c>
      <c r="D23" s="2605" t="str">
        <f>Заказ!C6</f>
        <v>Чепецк Инфо, ООО</v>
      </c>
      <c r="E23" s="2606"/>
      <c r="F23" s="2606"/>
      <c r="G23" s="2627" t="s">
        <v>79</v>
      </c>
      <c r="H23" s="2627"/>
      <c r="I23" s="46" t="str">
        <f>Исх!II1</f>
        <v>О.А. Коврова</v>
      </c>
    </row>
    <row r="24" spans="1:11" ht="15" x14ac:dyDescent="0.2">
      <c r="B24" s="47"/>
      <c r="C24" s="47"/>
      <c r="D24" s="47"/>
      <c r="E24" s="47"/>
      <c r="F24" s="47"/>
      <c r="G24" s="47"/>
    </row>
    <row r="25" spans="1:11" ht="15" x14ac:dyDescent="0.2">
      <c r="B25" s="47"/>
      <c r="C25" s="47"/>
      <c r="D25" s="47"/>
      <c r="E25" s="47"/>
      <c r="F25" s="47"/>
      <c r="G25" s="47"/>
    </row>
  </sheetData>
  <mergeCells count="15">
    <mergeCell ref="G1:I1"/>
    <mergeCell ref="A1:D1"/>
    <mergeCell ref="E1:F1"/>
    <mergeCell ref="A23:B23"/>
    <mergeCell ref="D23:F23"/>
    <mergeCell ref="G23:H23"/>
    <mergeCell ref="A3:J3"/>
    <mergeCell ref="A6:A7"/>
    <mergeCell ref="B6:B7"/>
    <mergeCell ref="C6:C7"/>
    <mergeCell ref="D6:D7"/>
    <mergeCell ref="E6:E7"/>
    <mergeCell ref="F6:G7"/>
    <mergeCell ref="H6:H7"/>
    <mergeCell ref="I6:J6"/>
  </mergeCells>
  <phoneticPr fontId="0" type="noConversion"/>
  <pageMargins left="0.19685039370078741" right="0.19685039370078741" top="0.39370078740157483" bottom="0.19685039370078741" header="0.51181102362204722" footer="0.51181102362204722"/>
  <pageSetup paperSize="9" orientation="landscape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K15"/>
  <sheetViews>
    <sheetView workbookViewId="0">
      <selection activeCell="O3" sqref="N3:O3"/>
    </sheetView>
  </sheetViews>
  <sheetFormatPr defaultRowHeight="12.75" x14ac:dyDescent="0.2"/>
  <cols>
    <col min="1" max="1" width="13.42578125" customWidth="1"/>
    <col min="2" max="2" width="30" customWidth="1"/>
    <col min="3" max="3" width="7.7109375" customWidth="1"/>
    <col min="4" max="4" width="13.7109375" customWidth="1"/>
    <col min="5" max="5" width="6.5703125" customWidth="1"/>
    <col min="6" max="6" width="9.5703125" customWidth="1"/>
    <col min="7" max="7" width="13.42578125" customWidth="1"/>
    <col min="8" max="8" width="26.85546875" customWidth="1"/>
    <col min="9" max="9" width="7.7109375" customWidth="1"/>
    <col min="10" max="10" width="12.140625" customWidth="1"/>
    <col min="11" max="11" width="6.5703125" customWidth="1"/>
  </cols>
  <sheetData>
    <row r="1" spans="1:11" ht="15.75" customHeight="1" x14ac:dyDescent="0.25">
      <c r="A1" s="271"/>
      <c r="B1" s="2630" t="s">
        <v>1016</v>
      </c>
      <c r="C1" s="2630"/>
      <c r="D1" s="2630"/>
      <c r="E1" s="272"/>
      <c r="G1" s="271"/>
      <c r="H1" s="2630" t="str">
        <f>B1</f>
        <v>Не бросать!</v>
      </c>
      <c r="I1" s="2630"/>
      <c r="J1" s="2630"/>
      <c r="K1" s="272"/>
    </row>
    <row r="2" spans="1:11" ht="54.75" customHeight="1" x14ac:dyDescent="0.2">
      <c r="A2" s="273"/>
      <c r="B2" s="2631" t="str">
        <f>Заказ!C6</f>
        <v>Чепецк Инфо, ООО</v>
      </c>
      <c r="C2" s="2632"/>
      <c r="D2" s="2633"/>
      <c r="E2" s="2637" t="str">
        <f>Заказ!P1</f>
        <v>202210367</v>
      </c>
      <c r="G2" s="273"/>
      <c r="H2" s="2631" t="str">
        <f>B2</f>
        <v>Чепецк Инфо, ООО</v>
      </c>
      <c r="I2" s="2632"/>
      <c r="J2" s="2633"/>
      <c r="K2" s="2637" t="str">
        <f>E2</f>
        <v>202210367</v>
      </c>
    </row>
    <row r="3" spans="1:11" ht="80.099999999999994" customHeight="1" x14ac:dyDescent="0.2">
      <c r="A3" s="273"/>
      <c r="B3" s="2197" t="str">
        <f>Заказ!D8</f>
        <v>Про город К-Чепецк № 13 от 02.04.2022</v>
      </c>
      <c r="C3" s="2638" t="s">
        <v>1953</v>
      </c>
      <c r="D3" s="2639"/>
      <c r="E3" s="2637"/>
      <c r="G3" s="273"/>
      <c r="H3" s="2197" t="str">
        <f>B3</f>
        <v>Про город К-Чепецк № 13 от 02.04.2022</v>
      </c>
      <c r="I3" s="2638" t="s">
        <v>1954</v>
      </c>
      <c r="J3" s="2639"/>
      <c r="K3" s="2637"/>
    </row>
    <row r="4" spans="1:11" ht="23.25" customHeight="1" x14ac:dyDescent="0.2">
      <c r="A4" s="273"/>
      <c r="B4" s="1335" t="s">
        <v>214</v>
      </c>
      <c r="C4" s="1333">
        <v>60</v>
      </c>
      <c r="D4" s="1336" t="s">
        <v>215</v>
      </c>
      <c r="E4" s="2636" t="s">
        <v>239</v>
      </c>
      <c r="G4" s="273"/>
      <c r="H4" s="1335" t="s">
        <v>214</v>
      </c>
      <c r="I4" s="1333">
        <v>30</v>
      </c>
      <c r="J4" s="1337" t="s">
        <v>215</v>
      </c>
      <c r="K4" s="2636" t="s">
        <v>239</v>
      </c>
    </row>
    <row r="5" spans="1:11" ht="18.75" customHeight="1" x14ac:dyDescent="0.2">
      <c r="A5" s="273"/>
      <c r="B5" s="2634" t="str">
        <f>Заказ!E2</f>
        <v>ООО "Кировская областная типография"</v>
      </c>
      <c r="C5" s="2634"/>
      <c r="D5" s="2634"/>
      <c r="E5" s="2636"/>
      <c r="G5" s="273"/>
      <c r="H5" s="2634" t="str">
        <f>B5</f>
        <v>ООО "Кировская областная типография"</v>
      </c>
      <c r="I5" s="2634"/>
      <c r="J5" s="2634"/>
      <c r="K5" s="2636"/>
    </row>
    <row r="6" spans="1:11" ht="18" customHeight="1" x14ac:dyDescent="0.2">
      <c r="A6" s="273"/>
      <c r="B6" s="2635" t="s">
        <v>1009</v>
      </c>
      <c r="C6" s="2635"/>
      <c r="D6" s="2635"/>
      <c r="E6" s="2636"/>
      <c r="G6" s="273"/>
      <c r="H6" s="2635" t="str">
        <f>B6</f>
        <v>РОССИЯ, 610004, г.Киров, ул.Мостовая 32/7.</v>
      </c>
      <c r="I6" s="2635"/>
      <c r="J6" s="2635"/>
      <c r="K6" s="2636"/>
    </row>
    <row r="7" spans="1:11" ht="25.5" customHeight="1" thickBot="1" x14ac:dyDescent="0.25">
      <c r="A7" s="276"/>
      <c r="B7" s="2494">
        <f>Заказ!F1</f>
        <v>2022</v>
      </c>
      <c r="C7" s="2491"/>
      <c r="D7" s="2493"/>
      <c r="E7" s="276"/>
      <c r="G7" s="276"/>
      <c r="H7" s="2494">
        <f>B7</f>
        <v>2022</v>
      </c>
      <c r="I7" s="2491"/>
      <c r="J7" s="2493"/>
      <c r="K7" s="276"/>
    </row>
    <row r="8" spans="1:11" ht="49.5" customHeight="1" thickBot="1" x14ac:dyDescent="0.25"/>
    <row r="9" spans="1:11" ht="16.5" customHeight="1" x14ac:dyDescent="0.25">
      <c r="A9" s="271"/>
      <c r="B9" s="2630" t="str">
        <f>B1</f>
        <v>Не бросать!</v>
      </c>
      <c r="C9" s="2630"/>
      <c r="D9" s="2630"/>
      <c r="E9" s="271"/>
      <c r="G9" s="271"/>
      <c r="H9" s="2630" t="str">
        <f>B1</f>
        <v>Не бросать!</v>
      </c>
      <c r="I9" s="2630"/>
      <c r="J9" s="2630"/>
      <c r="K9" s="271"/>
    </row>
    <row r="10" spans="1:11" ht="54.75" customHeight="1" x14ac:dyDescent="0.2">
      <c r="A10" s="273"/>
      <c r="B10" s="2640" t="str">
        <f t="shared" ref="B10:B15" si="0">B2</f>
        <v>Чепецк Инфо, ООО</v>
      </c>
      <c r="C10" s="2632"/>
      <c r="D10" s="2633"/>
      <c r="E10" s="2637" t="str">
        <f>E2</f>
        <v>202210367</v>
      </c>
      <c r="G10" s="273"/>
      <c r="H10" s="2631" t="str">
        <f>B2</f>
        <v>Чепецк Инфо, ООО</v>
      </c>
      <c r="I10" s="2632"/>
      <c r="J10" s="2633"/>
      <c r="K10" s="2637" t="str">
        <f>E2</f>
        <v>202210367</v>
      </c>
    </row>
    <row r="11" spans="1:11" ht="80.099999999999994" customHeight="1" x14ac:dyDescent="0.2">
      <c r="A11" s="273"/>
      <c r="B11" s="2198" t="str">
        <f t="shared" si="0"/>
        <v>Про город К-Чепецк № 13 от 02.04.2022</v>
      </c>
      <c r="C11" s="2641" t="s">
        <v>1952</v>
      </c>
      <c r="D11" s="2639"/>
      <c r="E11" s="2637"/>
      <c r="G11" s="273"/>
      <c r="H11" s="2198" t="str">
        <f>H3</f>
        <v>Про город К-Чепецк № 13 от 02.04.2022</v>
      </c>
      <c r="I11" s="2641"/>
      <c r="J11" s="2639"/>
      <c r="K11" s="2637"/>
    </row>
    <row r="12" spans="1:11" ht="21" customHeight="1" x14ac:dyDescent="0.2">
      <c r="A12" s="273"/>
      <c r="B12" s="1338" t="str">
        <f t="shared" si="0"/>
        <v>в пачке</v>
      </c>
      <c r="C12" s="1334">
        <v>135</v>
      </c>
      <c r="D12" s="1339" t="str">
        <f>D4</f>
        <v>экз.</v>
      </c>
      <c r="E12" s="2636" t="s">
        <v>239</v>
      </c>
      <c r="G12" s="273"/>
      <c r="H12" s="1338" t="str">
        <f>H4</f>
        <v>в пачке</v>
      </c>
      <c r="I12" s="1334"/>
      <c r="J12" s="1339" t="str">
        <f>J4</f>
        <v>экз.</v>
      </c>
      <c r="K12" s="2636" t="s">
        <v>239</v>
      </c>
    </row>
    <row r="13" spans="1:11" ht="15.75" customHeight="1" x14ac:dyDescent="0.2">
      <c r="A13" s="273"/>
      <c r="B13" s="2634" t="str">
        <f>B5</f>
        <v>ООО "Кировская областная типография"</v>
      </c>
      <c r="C13" s="2634"/>
      <c r="D13" s="2634"/>
      <c r="E13" s="2636"/>
      <c r="G13" s="273"/>
      <c r="H13" s="2634" t="str">
        <f>B5</f>
        <v>ООО "Кировская областная типография"</v>
      </c>
      <c r="I13" s="2634"/>
      <c r="J13" s="2634"/>
      <c r="K13" s="2636"/>
    </row>
    <row r="14" spans="1:11" ht="18" customHeight="1" x14ac:dyDescent="0.2">
      <c r="A14" s="273"/>
      <c r="B14" s="2635" t="str">
        <f>B6</f>
        <v>РОССИЯ, 610004, г.Киров, ул.Мостовая 32/7.</v>
      </c>
      <c r="C14" s="2635"/>
      <c r="D14" s="2635"/>
      <c r="E14" s="2636"/>
      <c r="G14" s="273"/>
      <c r="H14" s="2635" t="str">
        <f>B6</f>
        <v>РОССИЯ, 610004, г.Киров, ул.Мостовая 32/7.</v>
      </c>
      <c r="I14" s="2635"/>
      <c r="J14" s="2635"/>
      <c r="K14" s="2636"/>
    </row>
    <row r="15" spans="1:11" ht="26.25" customHeight="1" thickBot="1" x14ac:dyDescent="0.25">
      <c r="A15" s="276"/>
      <c r="B15" s="2491">
        <f t="shared" si="0"/>
        <v>2022</v>
      </c>
      <c r="C15" s="2491"/>
      <c r="D15" s="2491"/>
      <c r="E15" s="276"/>
      <c r="G15" s="276"/>
      <c r="H15" s="2491">
        <f>B7</f>
        <v>2022</v>
      </c>
      <c r="I15" s="2491"/>
      <c r="J15" s="2491"/>
      <c r="K15" s="276"/>
    </row>
  </sheetData>
  <mergeCells count="32">
    <mergeCell ref="K2:K3"/>
    <mergeCell ref="K10:K11"/>
    <mergeCell ref="K4:K6"/>
    <mergeCell ref="K12:K14"/>
    <mergeCell ref="H13:J13"/>
    <mergeCell ref="H14:J14"/>
    <mergeCell ref="H6:J6"/>
    <mergeCell ref="H10:J10"/>
    <mergeCell ref="B15:D15"/>
    <mergeCell ref="E12:E14"/>
    <mergeCell ref="H7:J7"/>
    <mergeCell ref="H9:J9"/>
    <mergeCell ref="H15:J15"/>
    <mergeCell ref="B13:D13"/>
    <mergeCell ref="B14:D14"/>
    <mergeCell ref="B9:D9"/>
    <mergeCell ref="B10:D10"/>
    <mergeCell ref="E10:E11"/>
    <mergeCell ref="I11:J11"/>
    <mergeCell ref="C11:D11"/>
    <mergeCell ref="H1:J1"/>
    <mergeCell ref="H2:J2"/>
    <mergeCell ref="H5:J5"/>
    <mergeCell ref="B7:D7"/>
    <mergeCell ref="B1:D1"/>
    <mergeCell ref="B2:D2"/>
    <mergeCell ref="B5:D5"/>
    <mergeCell ref="B6:D6"/>
    <mergeCell ref="E4:E6"/>
    <mergeCell ref="E2:E3"/>
    <mergeCell ref="C3:D3"/>
    <mergeCell ref="I3:J3"/>
  </mergeCells>
  <phoneticPr fontId="63" type="noConversion"/>
  <pageMargins left="0.59055118110236227" right="0.59055118110236227" top="0.51181102362204722" bottom="0.39370078740157483" header="0.35433070866141736" footer="0.51181102362204722"/>
  <pageSetup paperSize="9" scale="92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B050"/>
    <pageSetUpPr fitToPage="1"/>
  </sheetPr>
  <dimension ref="A1:K15"/>
  <sheetViews>
    <sheetView workbookViewId="0">
      <selection activeCell="P10" sqref="P10"/>
    </sheetView>
  </sheetViews>
  <sheetFormatPr defaultRowHeight="12.75" x14ac:dyDescent="0.2"/>
  <cols>
    <col min="1" max="1" width="13.42578125" customWidth="1"/>
    <col min="2" max="2" width="27.28515625" customWidth="1"/>
    <col min="3" max="4" width="7.7109375" customWidth="1"/>
    <col min="5" max="5" width="6.5703125" customWidth="1"/>
    <col min="6" max="6" width="9.5703125" customWidth="1"/>
    <col min="7" max="7" width="13.42578125" customWidth="1"/>
    <col min="8" max="8" width="27.28515625" customWidth="1"/>
    <col min="9" max="10" width="7.7109375" customWidth="1"/>
    <col min="11" max="11" width="6.5703125" customWidth="1"/>
  </cols>
  <sheetData>
    <row r="1" spans="1:11" ht="15.75" customHeight="1" x14ac:dyDescent="0.25">
      <c r="A1" s="271"/>
      <c r="B1" s="2630" t="s">
        <v>1016</v>
      </c>
      <c r="C1" s="2630"/>
      <c r="D1" s="2630"/>
      <c r="E1" s="272"/>
      <c r="G1" s="271"/>
      <c r="H1" s="2630" t="str">
        <f>B1</f>
        <v>Не бросать!</v>
      </c>
      <c r="I1" s="2630"/>
      <c r="J1" s="2630"/>
      <c r="K1" s="272"/>
    </row>
    <row r="2" spans="1:11" ht="54.75" customHeight="1" x14ac:dyDescent="0.2">
      <c r="A2" s="273"/>
      <c r="B2" s="2631" t="str">
        <f>Заказ!C6</f>
        <v>Чепецк Инфо, ООО</v>
      </c>
      <c r="C2" s="2632"/>
      <c r="D2" s="2633"/>
      <c r="E2" s="2637" t="str">
        <f>Заказ!P1</f>
        <v>202210367</v>
      </c>
      <c r="G2" s="273"/>
      <c r="H2" s="2631" t="str">
        <f>B2</f>
        <v>Чепецк Инфо, ООО</v>
      </c>
      <c r="I2" s="2632"/>
      <c r="J2" s="2633"/>
      <c r="K2" s="2637" t="str">
        <f>E2</f>
        <v>202210367</v>
      </c>
    </row>
    <row r="3" spans="1:11" ht="80.099999999999994" customHeight="1" x14ac:dyDescent="0.2">
      <c r="A3" s="273"/>
      <c r="B3" s="2638" t="str">
        <f>Заказ!D8</f>
        <v>Про город К-Чепецк № 13 от 02.04.2022</v>
      </c>
      <c r="C3" s="2638"/>
      <c r="D3" s="2638"/>
      <c r="E3" s="2637"/>
      <c r="G3" s="273"/>
      <c r="H3" s="2638" t="str">
        <f>B3</f>
        <v>Про город К-Чепецк № 13 от 02.04.2022</v>
      </c>
      <c r="I3" s="2638"/>
      <c r="J3" s="2638"/>
      <c r="K3" s="2637"/>
    </row>
    <row r="4" spans="1:11" ht="23.25" customHeight="1" x14ac:dyDescent="0.2">
      <c r="A4" s="273"/>
      <c r="B4" s="1335" t="s">
        <v>214</v>
      </c>
      <c r="C4" s="1333">
        <f>Заказ!K58</f>
        <v>200</v>
      </c>
      <c r="D4" s="1336" t="s">
        <v>215</v>
      </c>
      <c r="E4" s="2636" t="s">
        <v>239</v>
      </c>
      <c r="G4" s="273"/>
      <c r="H4" s="1335" t="s">
        <v>214</v>
      </c>
      <c r="I4" s="1333">
        <f>C4</f>
        <v>200</v>
      </c>
      <c r="J4" s="1337" t="s">
        <v>215</v>
      </c>
      <c r="K4" s="2636" t="s">
        <v>239</v>
      </c>
    </row>
    <row r="5" spans="1:11" ht="18.75" customHeight="1" x14ac:dyDescent="0.2">
      <c r="A5" s="273"/>
      <c r="B5" s="2634" t="str">
        <f>Заказ!E2</f>
        <v>ООО "Кировская областная типография"</v>
      </c>
      <c r="C5" s="2634"/>
      <c r="D5" s="2634"/>
      <c r="E5" s="2636"/>
      <c r="G5" s="273"/>
      <c r="H5" s="2634" t="str">
        <f>B5</f>
        <v>ООО "Кировская областная типография"</v>
      </c>
      <c r="I5" s="2634"/>
      <c r="J5" s="2634"/>
      <c r="K5" s="2636"/>
    </row>
    <row r="6" spans="1:11" ht="18" customHeight="1" x14ac:dyDescent="0.2">
      <c r="A6" s="273"/>
      <c r="B6" s="2635" t="s">
        <v>1009</v>
      </c>
      <c r="C6" s="2635"/>
      <c r="D6" s="2635"/>
      <c r="E6" s="2636"/>
      <c r="G6" s="273"/>
      <c r="H6" s="2635" t="str">
        <f>B6</f>
        <v>РОССИЯ, 610004, г.Киров, ул.Мостовая 32/7.</v>
      </c>
      <c r="I6" s="2635"/>
      <c r="J6" s="2635"/>
      <c r="K6" s="2636"/>
    </row>
    <row r="7" spans="1:11" ht="25.5" customHeight="1" thickBot="1" x14ac:dyDescent="0.25">
      <c r="A7" s="276"/>
      <c r="B7" s="2494">
        <f>Заказ!F1</f>
        <v>2022</v>
      </c>
      <c r="C7" s="2491"/>
      <c r="D7" s="2493"/>
      <c r="E7" s="276"/>
      <c r="G7" s="276"/>
      <c r="H7" s="2494">
        <f>B7</f>
        <v>2022</v>
      </c>
      <c r="I7" s="2491"/>
      <c r="J7" s="2493"/>
      <c r="K7" s="276"/>
    </row>
    <row r="8" spans="1:11" ht="49.5" customHeight="1" thickBot="1" x14ac:dyDescent="0.25"/>
    <row r="9" spans="1:11" ht="16.5" customHeight="1" x14ac:dyDescent="0.25">
      <c r="A9" s="271"/>
      <c r="B9" s="2630" t="str">
        <f>B1</f>
        <v>Не бросать!</v>
      </c>
      <c r="C9" s="2630"/>
      <c r="D9" s="2630"/>
      <c r="E9" s="271"/>
      <c r="G9" s="271"/>
      <c r="H9" s="2630" t="str">
        <f>B1</f>
        <v>Не бросать!</v>
      </c>
      <c r="I9" s="2630"/>
      <c r="J9" s="2630"/>
      <c r="K9" s="271"/>
    </row>
    <row r="10" spans="1:11" ht="54.75" customHeight="1" x14ac:dyDescent="0.2">
      <c r="A10" s="273"/>
      <c r="B10" s="2640" t="str">
        <f t="shared" ref="B10:B15" si="0">B2</f>
        <v>Чепецк Инфо, ООО</v>
      </c>
      <c r="C10" s="2632"/>
      <c r="D10" s="2633"/>
      <c r="E10" s="2637" t="str">
        <f>E2</f>
        <v>202210367</v>
      </c>
      <c r="G10" s="273"/>
      <c r="H10" s="2631" t="str">
        <f>B2</f>
        <v>Чепецк Инфо, ООО</v>
      </c>
      <c r="I10" s="2632"/>
      <c r="J10" s="2633"/>
      <c r="K10" s="2637" t="str">
        <f>E2</f>
        <v>202210367</v>
      </c>
    </row>
    <row r="11" spans="1:11" ht="80.099999999999994" customHeight="1" x14ac:dyDescent="0.2">
      <c r="A11" s="273"/>
      <c r="B11" s="2641" t="str">
        <f t="shared" si="0"/>
        <v>Про город К-Чепецк № 13 от 02.04.2022</v>
      </c>
      <c r="C11" s="2641"/>
      <c r="D11" s="2641"/>
      <c r="E11" s="2637"/>
      <c r="G11" s="273"/>
      <c r="H11" s="2641" t="str">
        <f>H3</f>
        <v>Про город К-Чепецк № 13 от 02.04.2022</v>
      </c>
      <c r="I11" s="2641"/>
      <c r="J11" s="2641"/>
      <c r="K11" s="2637"/>
    </row>
    <row r="12" spans="1:11" ht="21" customHeight="1" x14ac:dyDescent="0.2">
      <c r="A12" s="273"/>
      <c r="B12" s="1338" t="str">
        <f t="shared" si="0"/>
        <v>в пачке</v>
      </c>
      <c r="C12" s="1334">
        <f>C4</f>
        <v>200</v>
      </c>
      <c r="D12" s="1339" t="str">
        <f>D4</f>
        <v>экз.</v>
      </c>
      <c r="E12" s="2636" t="s">
        <v>239</v>
      </c>
      <c r="G12" s="273"/>
      <c r="H12" s="1338" t="str">
        <f>H4</f>
        <v>в пачке</v>
      </c>
      <c r="I12" s="1334">
        <f>C4</f>
        <v>200</v>
      </c>
      <c r="J12" s="1339" t="str">
        <f>J4</f>
        <v>экз.</v>
      </c>
      <c r="K12" s="2636" t="s">
        <v>239</v>
      </c>
    </row>
    <row r="13" spans="1:11" ht="15.75" customHeight="1" x14ac:dyDescent="0.2">
      <c r="A13" s="273"/>
      <c r="B13" s="2634" t="str">
        <f>B5</f>
        <v>ООО "Кировская областная типография"</v>
      </c>
      <c r="C13" s="2634"/>
      <c r="D13" s="2634"/>
      <c r="E13" s="2636"/>
      <c r="G13" s="273"/>
      <c r="H13" s="2634" t="str">
        <f>B5</f>
        <v>ООО "Кировская областная типография"</v>
      </c>
      <c r="I13" s="2634"/>
      <c r="J13" s="2634"/>
      <c r="K13" s="2636"/>
    </row>
    <row r="14" spans="1:11" ht="18" customHeight="1" x14ac:dyDescent="0.2">
      <c r="A14" s="273"/>
      <c r="B14" s="2635" t="str">
        <f>B6</f>
        <v>РОССИЯ, 610004, г.Киров, ул.Мостовая 32/7.</v>
      </c>
      <c r="C14" s="2635"/>
      <c r="D14" s="2635"/>
      <c r="E14" s="2636"/>
      <c r="G14" s="273"/>
      <c r="H14" s="2635" t="str">
        <f>B6</f>
        <v>РОССИЯ, 610004, г.Киров, ул.Мостовая 32/7.</v>
      </c>
      <c r="I14" s="2635"/>
      <c r="J14" s="2635"/>
      <c r="K14" s="2636"/>
    </row>
    <row r="15" spans="1:11" ht="26.25" customHeight="1" thickBot="1" x14ac:dyDescent="0.25">
      <c r="A15" s="276"/>
      <c r="B15" s="2491">
        <f t="shared" si="0"/>
        <v>2022</v>
      </c>
      <c r="C15" s="2491"/>
      <c r="D15" s="2491"/>
      <c r="E15" s="276"/>
      <c r="G15" s="276"/>
      <c r="H15" s="2491">
        <f>B7</f>
        <v>2022</v>
      </c>
      <c r="I15" s="2491"/>
      <c r="J15" s="2491"/>
      <c r="K15" s="276"/>
    </row>
  </sheetData>
  <mergeCells count="32">
    <mergeCell ref="K2:K3"/>
    <mergeCell ref="E10:E11"/>
    <mergeCell ref="K10:K11"/>
    <mergeCell ref="B15:D15"/>
    <mergeCell ref="H15:J15"/>
    <mergeCell ref="B11:D11"/>
    <mergeCell ref="H11:J11"/>
    <mergeCell ref="E12:E14"/>
    <mergeCell ref="K12:K14"/>
    <mergeCell ref="B13:D13"/>
    <mergeCell ref="H13:J13"/>
    <mergeCell ref="B14:D14"/>
    <mergeCell ref="H14:J14"/>
    <mergeCell ref="B7:D7"/>
    <mergeCell ref="H7:J7"/>
    <mergeCell ref="B9:D9"/>
    <mergeCell ref="H9:J9"/>
    <mergeCell ref="B10:D10"/>
    <mergeCell ref="H10:J10"/>
    <mergeCell ref="E4:E6"/>
    <mergeCell ref="K4:K6"/>
    <mergeCell ref="B5:D5"/>
    <mergeCell ref="H5:J5"/>
    <mergeCell ref="B6:D6"/>
    <mergeCell ref="H6:J6"/>
    <mergeCell ref="B1:D1"/>
    <mergeCell ref="H1:J1"/>
    <mergeCell ref="B2:D2"/>
    <mergeCell ref="H2:J2"/>
    <mergeCell ref="B3:D3"/>
    <mergeCell ref="H3:J3"/>
    <mergeCell ref="E2:E3"/>
  </mergeCells>
  <pageMargins left="0.59055118110236227" right="0.59055118110236227" top="0.51181102362204722" bottom="0.39370078740157483" header="0.35433070866141736" footer="0.51181102362204722"/>
  <pageSetup paperSize="9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A1:G29"/>
  <sheetViews>
    <sheetView workbookViewId="0">
      <selection activeCell="B24" sqref="B24"/>
    </sheetView>
  </sheetViews>
  <sheetFormatPr defaultColWidth="8.85546875" defaultRowHeight="14.25" x14ac:dyDescent="0.2"/>
  <cols>
    <col min="1" max="1" width="8.85546875" style="42" customWidth="1"/>
    <col min="2" max="2" width="50.42578125" style="42" customWidth="1"/>
    <col min="3" max="3" width="13.5703125" style="42" customWidth="1"/>
    <col min="4" max="4" width="11.140625" style="42" customWidth="1"/>
    <col min="5" max="5" width="13.140625" style="42" customWidth="1"/>
    <col min="6" max="6" width="12.85546875" style="42" customWidth="1"/>
    <col min="7" max="7" width="8.28515625" style="42" hidden="1" customWidth="1"/>
    <col min="8" max="8" width="11.5703125" style="42" customWidth="1"/>
    <col min="9" max="16384" width="8.85546875" style="42"/>
  </cols>
  <sheetData>
    <row r="1" spans="1:7" ht="15" x14ac:dyDescent="0.2">
      <c r="A1" s="2610" t="s">
        <v>70</v>
      </c>
      <c r="B1" s="2610"/>
      <c r="C1" s="2610"/>
      <c r="D1" s="2610"/>
      <c r="E1" s="2610"/>
      <c r="F1" s="40">
        <f>Заказ!I1</f>
        <v>0</v>
      </c>
      <c r="G1" s="41"/>
    </row>
    <row r="2" spans="1:7" x14ac:dyDescent="0.2">
      <c r="A2" s="41"/>
      <c r="B2" s="41"/>
      <c r="C2" s="41"/>
      <c r="D2" s="41"/>
      <c r="E2" s="41"/>
      <c r="F2" s="41"/>
      <c r="G2" s="41"/>
    </row>
    <row r="3" spans="1:7" ht="15" x14ac:dyDescent="0.2">
      <c r="A3" s="2642" t="s">
        <v>71</v>
      </c>
      <c r="B3" s="2643"/>
      <c r="C3" s="2643"/>
      <c r="D3" s="2643"/>
      <c r="E3" s="2643"/>
      <c r="F3" s="2643"/>
      <c r="G3" s="2644"/>
    </row>
    <row r="4" spans="1:7" x14ac:dyDescent="0.2">
      <c r="A4" s="41"/>
      <c r="B4" s="41"/>
      <c r="C4" s="41"/>
      <c r="D4" s="41"/>
      <c r="E4" s="41"/>
      <c r="F4" s="41"/>
      <c r="G4" s="43"/>
    </row>
    <row r="5" spans="1:7" s="71" customFormat="1" x14ac:dyDescent="0.2"/>
    <row r="6" spans="1:7" ht="25.5" customHeight="1" x14ac:dyDescent="0.2">
      <c r="A6" s="2628" t="s">
        <v>72</v>
      </c>
      <c r="B6" s="2628" t="s">
        <v>159</v>
      </c>
      <c r="C6" s="2645" t="s">
        <v>254</v>
      </c>
      <c r="D6" s="2629" t="s">
        <v>68</v>
      </c>
      <c r="E6" s="2628" t="s">
        <v>74</v>
      </c>
      <c r="F6" s="2628"/>
    </row>
    <row r="7" spans="1:7" x14ac:dyDescent="0.2">
      <c r="A7" s="2628"/>
      <c r="B7" s="2628"/>
      <c r="C7" s="2646"/>
      <c r="D7" s="2629"/>
      <c r="E7" s="48" t="s">
        <v>75</v>
      </c>
      <c r="F7" s="48" t="s">
        <v>76</v>
      </c>
    </row>
    <row r="8" spans="1:7" x14ac:dyDescent="0.2">
      <c r="A8" s="41"/>
      <c r="B8" s="41"/>
      <c r="C8" s="45" t="s">
        <v>259</v>
      </c>
      <c r="D8" s="41"/>
      <c r="E8" s="41"/>
      <c r="F8" s="41"/>
    </row>
    <row r="9" spans="1:7" x14ac:dyDescent="0.2">
      <c r="A9" s="41"/>
      <c r="B9" s="41" t="str">
        <f>LOOKUP($F9,Исх!$A$60:$A$88,Исх!C$60:C$88)</f>
        <v>Краска ролевая (черная)</v>
      </c>
      <c r="C9" s="62">
        <f ca="1">LOOKUP($F9,Исх!$A$60:$A$88,Исх!$S$88:$S$88)</f>
        <v>0</v>
      </c>
      <c r="D9" s="41" t="str">
        <f>LOOKUP(LOOKUP($F9,Исх!$A$60:$A$88,Исх!$K$60:$K$88),Исх!$B$13:$B$26,Исх!$C$13:$C$26)</f>
        <v xml:space="preserve">   </v>
      </c>
      <c r="E9" s="41"/>
      <c r="F9" s="69">
        <v>1</v>
      </c>
    </row>
    <row r="10" spans="1:7" x14ac:dyDescent="0.2">
      <c r="A10" s="41"/>
      <c r="B10" s="41" t="str">
        <f>LOOKUP($F10,Исх!$A$60:$A$88,Исх!C$60:C$88)</f>
        <v>Краска ролевая (пурпурная)</v>
      </c>
      <c r="C10" s="62">
        <f ca="1">LOOKUP($F10,Исх!$A$60:$A$88,Исх!$S$88:$S$88)</f>
        <v>0</v>
      </c>
      <c r="D10" s="41" t="str">
        <f>LOOKUP(LOOKUP($F10,Исх!$A$60:$A$88,Исх!$K$60:$K$88),Исх!$B$13:$B$26,Исх!$C$13:$C$26)</f>
        <v xml:space="preserve">   </v>
      </c>
      <c r="E10" s="41"/>
      <c r="F10" s="69">
        <v>2</v>
      </c>
    </row>
    <row r="11" spans="1:7" x14ac:dyDescent="0.2">
      <c r="A11" s="41"/>
      <c r="B11" s="41" t="str">
        <f>LOOKUP($F11,Исх!$A$60:$A$88,Исх!C$60:C$88)</f>
        <v>Краска ролевая (голубая)</v>
      </c>
      <c r="C11" s="62">
        <f ca="1">LOOKUP($F11,Исх!$A$60:$A$88,Исх!$S$88:$S$88)</f>
        <v>0</v>
      </c>
      <c r="D11" s="41" t="str">
        <f>LOOKUP(LOOKUP($F11,Исх!$A$60:$A$88,Исх!$K$60:$K$88),Исх!$B$13:$B$26,Исх!$C$13:$C$26)</f>
        <v xml:space="preserve">   </v>
      </c>
      <c r="E11" s="41"/>
      <c r="F11" s="69">
        <v>3</v>
      </c>
    </row>
    <row r="12" spans="1:7" x14ac:dyDescent="0.2">
      <c r="A12" s="41"/>
      <c r="B12" s="41" t="str">
        <f>LOOKUP($F12,Исх!$A$60:$A$88,Исх!C$60:C$88)</f>
        <v>Краска ролевая (желтая)</v>
      </c>
      <c r="C12" s="62">
        <f ca="1">LOOKUP($F12,Исх!$A$60:$A$88,Исх!$S$88:$S$88)</f>
        <v>0</v>
      </c>
      <c r="D12" s="41" t="str">
        <f>LOOKUP(LOOKUP($F12,Исх!$A$60:$A$88,Исх!$K$60:$K$88),Исх!$B$13:$B$26,Исх!$C$13:$C$26)</f>
        <v xml:space="preserve">   </v>
      </c>
      <c r="E12" s="41"/>
      <c r="F12" s="69">
        <v>4</v>
      </c>
    </row>
    <row r="13" spans="1:7" x14ac:dyDescent="0.2">
      <c r="A13" s="41"/>
      <c r="B13" s="41" t="str">
        <f>LOOKUP($F13,Исх!$A$60:$A$88,Исх!C$60:C$88)</f>
        <v xml:space="preserve">  </v>
      </c>
      <c r="C13" s="62">
        <f ca="1">LOOKUP($F13,Исх!$A$60:$A$88,Исх!$S$88:$S$88)</f>
        <v>0</v>
      </c>
      <c r="D13" s="41" t="str">
        <f>LOOKUP(LOOKUP($F13,Исх!$A$60:$A$88,Исх!$K$60:$K$88),Исх!$B$13:$B$26,Исх!$C$13:$C$26)</f>
        <v xml:space="preserve"> </v>
      </c>
      <c r="E13" s="41"/>
      <c r="F13" s="69">
        <v>5</v>
      </c>
    </row>
    <row r="14" spans="1:7" x14ac:dyDescent="0.2">
      <c r="A14" s="41"/>
      <c r="B14" s="41" t="str">
        <f>LOOKUP($F14,Исх!$A$60:$A$88,Исх!C$60:C$88)</f>
        <v xml:space="preserve">  </v>
      </c>
      <c r="C14" s="62">
        <f ca="1">LOOKUP($F14,Исх!$A$60:$A$88,Исх!$S$88:$S$88)</f>
        <v>0</v>
      </c>
      <c r="D14" s="41" t="str">
        <f>LOOKUP(LOOKUP($F14,Исх!$A$60:$A$88,Исх!$K$60:$K$88),Исх!$B$13:$B$26,Исх!$C$13:$C$26)</f>
        <v xml:space="preserve"> </v>
      </c>
      <c r="E14" s="41"/>
      <c r="F14" s="69">
        <v>6</v>
      </c>
    </row>
    <row r="15" spans="1:7" x14ac:dyDescent="0.2">
      <c r="A15" s="41"/>
      <c r="B15" s="41" t="str">
        <f>LOOKUP($F15,Исх!$A$60:$A$88,Исх!C$60:C$88)</f>
        <v xml:space="preserve">  </v>
      </c>
      <c r="C15" s="62">
        <f ca="1">LOOKUP($F15,Исх!$A$60:$A$88,Исх!$S$88:$S$88)</f>
        <v>0</v>
      </c>
      <c r="D15" s="41" t="str">
        <f>LOOKUP(LOOKUP($F15,Исх!$A$60:$A$88,Исх!$K$60:$K$88),Исх!$B$13:$B$26,Исх!$C$13:$C$26)</f>
        <v xml:space="preserve"> </v>
      </c>
      <c r="E15" s="41"/>
      <c r="F15" s="69">
        <v>7</v>
      </c>
    </row>
    <row r="16" spans="1:7" x14ac:dyDescent="0.2">
      <c r="A16" s="41"/>
      <c r="B16" s="41" t="str">
        <f>LOOKUP($F16,Исх!$A$60:$A$88,Исх!C$60:C$88)</f>
        <v xml:space="preserve">  </v>
      </c>
      <c r="C16" s="62">
        <f ca="1">LOOKUP($F16,Исх!$A$60:$A$88,Исх!$S$88:$S$88)</f>
        <v>0</v>
      </c>
      <c r="D16" s="41" t="str">
        <f>LOOKUP(LOOKUP($F16,Исх!$A$60:$A$88,Исх!$K$60:$K$88),Исх!$B$13:$B$26,Исх!$C$13:$C$26)</f>
        <v xml:space="preserve"> </v>
      </c>
      <c r="E16" s="41"/>
      <c r="F16" s="69">
        <v>8</v>
      </c>
    </row>
    <row r="17" spans="1:6" x14ac:dyDescent="0.2">
      <c r="A17" s="41"/>
      <c r="B17" s="41" t="str">
        <f>LOOKUP($F17,Исх!$A$60:$A$88,Исх!C$60:C$88)</f>
        <v xml:space="preserve">  </v>
      </c>
      <c r="C17" s="62">
        <f ca="1">LOOKUP($F17,Исх!$A$60:$A$88,Исх!$S$88:$S$88)</f>
        <v>0</v>
      </c>
      <c r="D17" s="41" t="str">
        <f>LOOKUP(LOOKUP($F17,Исх!$A$60:$A$88,Исх!$K$60:$K$88),Исх!$B$13:$B$26,Исх!$C$13:$C$26)</f>
        <v xml:space="preserve"> </v>
      </c>
      <c r="E17" s="41"/>
      <c r="F17" s="69">
        <v>9</v>
      </c>
    </row>
    <row r="18" spans="1:6" x14ac:dyDescent="0.2">
      <c r="A18" s="41"/>
      <c r="B18" s="41" t="str">
        <f>LOOKUP($F18,Исх!$A$60:$A$88,Исх!C$60:C$88)</f>
        <v xml:space="preserve">  </v>
      </c>
      <c r="C18" s="62">
        <f ca="1">LOOKUP($F18,Исх!$A$60:$A$88,Исх!$S$88:$S$88)</f>
        <v>0</v>
      </c>
      <c r="D18" s="41" t="str">
        <f>LOOKUP(LOOKUP($F18,Исх!$A$60:$A$88,Исх!$K$60:$K$88),Исх!$B$13:$B$26,Исх!$C$13:$C$26)</f>
        <v xml:space="preserve"> </v>
      </c>
      <c r="E18" s="41"/>
      <c r="F18" s="69">
        <v>10</v>
      </c>
    </row>
    <row r="19" spans="1:6" x14ac:dyDescent="0.2">
      <c r="A19" s="41"/>
      <c r="B19" s="41" t="str">
        <f>LOOKUP($F19,Исх!$A$60:$A$88,Исх!C$60:C$88)</f>
        <v xml:space="preserve">  </v>
      </c>
      <c r="C19" s="62">
        <f ca="1">LOOKUP($F19,Исх!$A$60:$A$88,Исх!$S$88:$S$88)</f>
        <v>0</v>
      </c>
      <c r="D19" s="41" t="str">
        <f>LOOKUP(LOOKUP($F19,Исх!$A$60:$A$88,Исх!$K$60:$K$88),Исх!$B$13:$B$26,Исх!$C$13:$C$26)</f>
        <v xml:space="preserve"> </v>
      </c>
      <c r="E19" s="41"/>
      <c r="F19" s="69">
        <v>11</v>
      </c>
    </row>
    <row r="20" spans="1:6" x14ac:dyDescent="0.2">
      <c r="A20" s="41"/>
      <c r="B20" s="41" t="str">
        <f>LOOKUP($F20,Исх!$A$60:$A$88,Исх!C$60:C$88)</f>
        <v xml:space="preserve">  </v>
      </c>
      <c r="C20" s="62">
        <f ca="1">LOOKUP($F20,Исх!$A$60:$A$88,Исх!$S$88:$S$88)</f>
        <v>0</v>
      </c>
      <c r="D20" s="41" t="str">
        <f>LOOKUP(LOOKUP($F20,Исх!$A$60:$A$88,Исх!$K$60:$K$88),Исх!$B$13:$B$26,Исх!$C$13:$C$26)</f>
        <v xml:space="preserve"> </v>
      </c>
      <c r="E20" s="41"/>
      <c r="F20" s="69">
        <v>12</v>
      </c>
    </row>
    <row r="21" spans="1:6" x14ac:dyDescent="0.2">
      <c r="A21" s="41"/>
      <c r="B21" s="41" t="str">
        <f>LOOKUP($F21,Исх!$A$60:$A$88,Исх!C$60:C$88)</f>
        <v xml:space="preserve">  </v>
      </c>
      <c r="C21" s="62">
        <f ca="1">LOOKUP($F21,Исх!$A$60:$A$88,Исх!$S$88:$S$88)</f>
        <v>0</v>
      </c>
      <c r="D21" s="41" t="str">
        <f>LOOKUP(LOOKUP($F21,Исх!$A$60:$A$88,Исх!$K$60:$K$88),Исх!$B$13:$B$26,Исх!$C$13:$C$26)</f>
        <v xml:space="preserve"> </v>
      </c>
      <c r="E21" s="41"/>
      <c r="F21" s="69">
        <v>13</v>
      </c>
    </row>
    <row r="22" spans="1:6" x14ac:dyDescent="0.2">
      <c r="A22" s="41"/>
      <c r="B22" s="41" t="str">
        <f>LOOKUP($F22,Исх!$A$60:$A$88,Исх!C$60:C$88)</f>
        <v xml:space="preserve">  </v>
      </c>
      <c r="C22" s="62">
        <f ca="1">LOOKUP($F22,Исх!$A$60:$A$88,Исх!$S$88:$S$88)</f>
        <v>0</v>
      </c>
      <c r="D22" s="41" t="str">
        <f>LOOKUP(LOOKUP($F22,Исх!$A$60:$A$88,Исх!$K$60:$K$88),Исх!$B$13:$B$26,Исх!$C$13:$C$26)</f>
        <v xml:space="preserve"> </v>
      </c>
      <c r="E22" s="41"/>
      <c r="F22" s="69">
        <v>14</v>
      </c>
    </row>
    <row r="23" spans="1:6" x14ac:dyDescent="0.2">
      <c r="A23" s="41"/>
      <c r="B23" s="41" t="str">
        <f>LOOKUP($F23,Исх!$A$60:$A$88,Исх!C$60:C$88)</f>
        <v xml:space="preserve">  </v>
      </c>
      <c r="C23" s="62">
        <f ca="1">LOOKUP($F23,Исх!$A$60:$A$88,Исх!$S$88:$S$88)</f>
        <v>0</v>
      </c>
      <c r="D23" s="41" t="str">
        <f>LOOKUP(LOOKUP($F23,Исх!$A$60:$A$88,Исх!$K$60:$K$88),Исх!$B$13:$B$26,Исх!$C$13:$C$26)</f>
        <v xml:space="preserve"> </v>
      </c>
      <c r="E23" s="41"/>
      <c r="F23" s="69">
        <v>15</v>
      </c>
    </row>
    <row r="24" spans="1:6" x14ac:dyDescent="0.2">
      <c r="A24" s="41"/>
      <c r="B24" s="41" t="str">
        <f>LOOKUP($F24,Исх!$A$60:$A$88,Исх!C$60:C$88)</f>
        <v xml:space="preserve">  </v>
      </c>
      <c r="C24" s="62">
        <f ca="1">LOOKUP($F24,Исх!$A$60:$A$88,Исх!$S$88:$S$88)</f>
        <v>0</v>
      </c>
      <c r="D24" s="41" t="str">
        <f>LOOKUP(LOOKUP($F24,Исх!$A$60:$A$88,Исх!$K$60:$K$88),Исх!$B$13:$B$26,Исх!$C$13:$C$26)</f>
        <v xml:space="preserve"> </v>
      </c>
      <c r="E24" s="41"/>
      <c r="F24" s="69">
        <v>16</v>
      </c>
    </row>
    <row r="25" spans="1:6" x14ac:dyDescent="0.2">
      <c r="A25" s="43"/>
      <c r="B25" s="43"/>
      <c r="C25" s="61"/>
      <c r="D25" s="43"/>
      <c r="E25" s="43"/>
      <c r="F25" s="43"/>
    </row>
    <row r="26" spans="1:6" x14ac:dyDescent="0.2">
      <c r="A26" s="2626" t="s">
        <v>78</v>
      </c>
      <c r="B26" s="2626"/>
      <c r="C26" s="43"/>
      <c r="D26" s="43"/>
      <c r="E26" s="43"/>
      <c r="F26" s="43"/>
    </row>
    <row r="27" spans="1:6" ht="20.25" customHeight="1" x14ac:dyDescent="0.2">
      <c r="B27" s="42" t="s">
        <v>51</v>
      </c>
      <c r="D27" s="15" t="s">
        <v>79</v>
      </c>
      <c r="F27" s="70" t="str">
        <f>Исх!II1</f>
        <v>О.А. Коврова</v>
      </c>
    </row>
    <row r="28" spans="1:6" ht="15" x14ac:dyDescent="0.2">
      <c r="B28" s="72" t="str">
        <f>Заказ!C6</f>
        <v>Чепецк Инфо, ООО</v>
      </c>
      <c r="C28" s="47"/>
      <c r="D28" s="47"/>
      <c r="E28" s="47"/>
      <c r="F28" s="47"/>
    </row>
    <row r="29" spans="1:6" ht="15" x14ac:dyDescent="0.2">
      <c r="B29" s="47"/>
      <c r="C29" s="47"/>
      <c r="D29" s="47"/>
      <c r="E29" s="47"/>
      <c r="F29" s="47"/>
    </row>
  </sheetData>
  <mergeCells count="8">
    <mergeCell ref="D6:D7"/>
    <mergeCell ref="E6:F6"/>
    <mergeCell ref="A26:B26"/>
    <mergeCell ref="A1:E1"/>
    <mergeCell ref="A3:G3"/>
    <mergeCell ref="A6:A7"/>
    <mergeCell ref="B6:B7"/>
    <mergeCell ref="C6:C7"/>
  </mergeCells>
  <phoneticPr fontId="0" type="noConversion"/>
  <pageMargins left="0.39370078740157483" right="0.39370078740157483" top="0.39370078740157483" bottom="0.39370078740157483" header="0.51181102362204722" footer="0.51181102362204722"/>
  <pageSetup paperSize="9" scale="88" orientation="portrait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O44"/>
  <sheetViews>
    <sheetView topLeftCell="A5" zoomScale="85" zoomScaleNormal="85" zoomScaleSheetLayoutView="75" workbookViewId="0">
      <selection activeCell="A28" sqref="A28"/>
    </sheetView>
  </sheetViews>
  <sheetFormatPr defaultRowHeight="12.75" x14ac:dyDescent="0.2"/>
  <cols>
    <col min="1" max="1" width="12.85546875" customWidth="1"/>
    <col min="2" max="2" width="4.140625" customWidth="1"/>
    <col min="3" max="3" width="18.140625" customWidth="1"/>
    <col min="4" max="4" width="4" style="248" customWidth="1"/>
    <col min="5" max="5" width="52.42578125" customWidth="1"/>
    <col min="6" max="6" width="9.140625" hidden="1" customWidth="1"/>
    <col min="7" max="7" width="6.5703125" customWidth="1"/>
    <col min="8" max="8" width="15.7109375" customWidth="1"/>
    <col min="9" max="9" width="10.85546875" hidden="1" customWidth="1"/>
    <col min="10" max="10" width="15.7109375" customWidth="1"/>
    <col min="11" max="12" width="9.7109375" customWidth="1"/>
    <col min="13" max="14" width="10.28515625" customWidth="1"/>
    <col min="15" max="15" width="13.85546875" customWidth="1"/>
  </cols>
  <sheetData>
    <row r="1" spans="1:15" hidden="1" x14ac:dyDescent="0.2">
      <c r="J1" t="s">
        <v>374</v>
      </c>
    </row>
    <row r="2" spans="1:15" hidden="1" x14ac:dyDescent="0.2">
      <c r="J2" t="s">
        <v>375</v>
      </c>
    </row>
    <row r="3" spans="1:15" hidden="1" x14ac:dyDescent="0.2">
      <c r="J3" t="s">
        <v>376</v>
      </c>
    </row>
    <row r="4" spans="1:15" hidden="1" x14ac:dyDescent="0.2">
      <c r="J4" t="s">
        <v>244</v>
      </c>
    </row>
    <row r="5" spans="1:15" ht="15" x14ac:dyDescent="0.2">
      <c r="B5" s="4"/>
      <c r="C5" s="4"/>
      <c r="E5" s="4"/>
      <c r="F5" s="4"/>
      <c r="K5" s="247" t="s">
        <v>161</v>
      </c>
    </row>
    <row r="7" spans="1:15" hidden="1" x14ac:dyDescent="0.2"/>
    <row r="8" spans="1:15" hidden="1" x14ac:dyDescent="0.2"/>
    <row r="9" spans="1:15" hidden="1" x14ac:dyDescent="0.2"/>
    <row r="10" spans="1:15" hidden="1" x14ac:dyDescent="0.2"/>
    <row r="11" spans="1:15" ht="20.25" x14ac:dyDescent="0.3">
      <c r="E11" s="253" t="s">
        <v>438</v>
      </c>
      <c r="F11" s="254"/>
      <c r="G11" s="782">
        <f>Заказ!I1</f>
        <v>0</v>
      </c>
      <c r="H11" s="254"/>
      <c r="I11" s="34"/>
      <c r="K11" s="10" t="s">
        <v>447</v>
      </c>
      <c r="M11" s="10" t="str">
        <f>Заказ!B9</f>
        <v>ГАЗЕТЫ</v>
      </c>
      <c r="O11" t="str">
        <f>IF((Трудозатраты!H73+Трудозатраты!H110)&gt;0,"CityLine"," ")</f>
        <v>CityLine</v>
      </c>
    </row>
    <row r="12" spans="1:15" ht="21" customHeight="1" x14ac:dyDescent="0.2"/>
    <row r="13" spans="1:15" ht="14.25" x14ac:dyDescent="0.2">
      <c r="A13" t="s">
        <v>125</v>
      </c>
      <c r="C13" t="s">
        <v>3</v>
      </c>
      <c r="E13" s="255" t="s">
        <v>421</v>
      </c>
      <c r="G13" s="243" t="str">
        <f>Заказ!D8</f>
        <v>Про город К-Чепецк № 13 от 02.04.2022</v>
      </c>
      <c r="J13" s="4"/>
      <c r="L13" t="s">
        <v>439</v>
      </c>
      <c r="M13" s="249">
        <f>Заказ!C11</f>
        <v>25000</v>
      </c>
    </row>
    <row r="14" spans="1:15" ht="21" customHeight="1" thickBot="1" x14ac:dyDescent="0.25">
      <c r="A14" s="244"/>
      <c r="B14" s="244"/>
      <c r="C14" s="244"/>
      <c r="D14" s="250"/>
      <c r="E14" s="244"/>
      <c r="F14" s="244"/>
      <c r="G14" s="244"/>
      <c r="H14" s="244"/>
      <c r="I14" s="244"/>
      <c r="J14" s="245"/>
      <c r="K14" s="245"/>
      <c r="L14" s="245"/>
      <c r="M14" s="245"/>
      <c r="N14" s="244"/>
      <c r="O14" s="244"/>
    </row>
    <row r="15" spans="1:15" ht="42.75" customHeight="1" x14ac:dyDescent="0.2">
      <c r="A15" s="2453" t="s">
        <v>72</v>
      </c>
      <c r="B15" s="2455" t="s">
        <v>377</v>
      </c>
      <c r="C15" s="2453" t="s">
        <v>126</v>
      </c>
      <c r="D15" s="2457"/>
      <c r="E15" s="2459" t="s">
        <v>422</v>
      </c>
      <c r="F15" s="387" t="s">
        <v>378</v>
      </c>
      <c r="G15" s="2461" t="s">
        <v>380</v>
      </c>
      <c r="H15" s="2459" t="s">
        <v>202</v>
      </c>
      <c r="I15" s="2459" t="s">
        <v>127</v>
      </c>
      <c r="J15" s="2463" t="s">
        <v>128</v>
      </c>
      <c r="K15" s="2465" t="s">
        <v>379</v>
      </c>
      <c r="L15" s="2466"/>
      <c r="M15" s="2467" t="s">
        <v>175</v>
      </c>
      <c r="N15" s="2468"/>
      <c r="O15" s="2459" t="s">
        <v>440</v>
      </c>
    </row>
    <row r="16" spans="1:15" ht="17.25" customHeight="1" thickBot="1" x14ac:dyDescent="0.25">
      <c r="A16" s="2454"/>
      <c r="B16" s="2456"/>
      <c r="C16" s="2454"/>
      <c r="D16" s="2458"/>
      <c r="E16" s="2460"/>
      <c r="F16" s="143"/>
      <c r="G16" s="2462"/>
      <c r="H16" s="2460"/>
      <c r="I16" s="2460"/>
      <c r="J16" s="2464"/>
      <c r="K16" s="144" t="s">
        <v>381</v>
      </c>
      <c r="L16" s="144" t="s">
        <v>382</v>
      </c>
      <c r="M16" s="144" t="s">
        <v>381</v>
      </c>
      <c r="N16" s="144" t="s">
        <v>382</v>
      </c>
      <c r="O16" s="2460"/>
    </row>
    <row r="17" spans="1:15" x14ac:dyDescent="0.2">
      <c r="A17" s="35"/>
      <c r="B17" s="35"/>
      <c r="C17" s="35"/>
      <c r="D17" s="256"/>
      <c r="E17" s="38"/>
      <c r="F17" s="35"/>
      <c r="G17" s="257"/>
      <c r="H17" s="251"/>
      <c r="I17" s="36"/>
      <c r="J17" s="35"/>
      <c r="K17" s="388"/>
      <c r="L17" s="35"/>
      <c r="M17" s="389"/>
      <c r="N17" s="149"/>
      <c r="O17" s="35"/>
    </row>
    <row r="18" spans="1:15" s="11" customFormat="1" x14ac:dyDescent="0.2">
      <c r="A18" s="99"/>
      <c r="B18" s="99"/>
      <c r="C18" s="99"/>
      <c r="D18" s="258"/>
      <c r="E18" s="259"/>
      <c r="F18" s="99"/>
      <c r="G18" s="102"/>
      <c r="H18" s="260"/>
      <c r="I18" s="261"/>
      <c r="J18" s="99"/>
      <c r="K18" s="970"/>
      <c r="L18" s="99"/>
      <c r="M18" s="390"/>
      <c r="N18" s="262"/>
      <c r="O18" s="99"/>
    </row>
    <row r="19" spans="1:15" s="11" customFormat="1" x14ac:dyDescent="0.2">
      <c r="A19" s="99"/>
      <c r="B19" s="99"/>
      <c r="C19" s="99"/>
      <c r="D19" s="258">
        <v>87</v>
      </c>
      <c r="E19" s="259" t="s">
        <v>1934</v>
      </c>
      <c r="F19" s="99"/>
      <c r="G19" s="2061"/>
      <c r="H19" s="260" t="s">
        <v>842</v>
      </c>
      <c r="I19" s="261"/>
      <c r="J19" s="99" t="s">
        <v>1405</v>
      </c>
      <c r="K19" s="970">
        <v>30000</v>
      </c>
      <c r="L19" s="99"/>
      <c r="M19" s="390">
        <v>6.9444444444444434E-2</v>
      </c>
      <c r="N19" s="262"/>
      <c r="O19" s="262"/>
    </row>
    <row r="20" spans="1:15" s="11" customFormat="1" x14ac:dyDescent="0.2">
      <c r="A20" s="99"/>
      <c r="B20" s="99"/>
      <c r="C20" s="99"/>
      <c r="D20" s="258">
        <v>88</v>
      </c>
      <c r="E20" s="259" t="s">
        <v>1935</v>
      </c>
      <c r="F20" s="99"/>
      <c r="G20" s="2188"/>
      <c r="H20" s="260" t="s">
        <v>842</v>
      </c>
      <c r="I20" s="261"/>
      <c r="J20" s="99" t="s">
        <v>1405</v>
      </c>
      <c r="K20" s="970">
        <v>30000</v>
      </c>
      <c r="L20" s="99"/>
      <c r="M20" s="390">
        <v>6.9444444444444434E-2</v>
      </c>
      <c r="N20" s="262"/>
      <c r="O20" s="262"/>
    </row>
    <row r="21" spans="1:15" s="11" customFormat="1" x14ac:dyDescent="0.2">
      <c r="A21" s="99"/>
      <c r="B21" s="99"/>
      <c r="C21" s="99"/>
      <c r="D21" s="258">
        <v>89</v>
      </c>
      <c r="E21" s="259" t="s">
        <v>1936</v>
      </c>
      <c r="F21" s="99"/>
      <c r="G21" s="2188"/>
      <c r="H21" s="260" t="s">
        <v>842</v>
      </c>
      <c r="I21" s="261"/>
      <c r="J21" s="99" t="s">
        <v>1405</v>
      </c>
      <c r="K21" s="970">
        <v>30000</v>
      </c>
      <c r="L21" s="99"/>
      <c r="M21" s="390">
        <v>6.9444444444444434E-2</v>
      </c>
      <c r="N21" s="262"/>
      <c r="O21" s="262"/>
    </row>
    <row r="22" spans="1:15" s="11" customFormat="1" x14ac:dyDescent="0.2">
      <c r="A22" s="99"/>
      <c r="B22" s="99"/>
      <c r="C22" s="99"/>
      <c r="D22" s="258">
        <v>90</v>
      </c>
      <c r="E22" s="259" t="s">
        <v>1936</v>
      </c>
      <c r="F22" s="99"/>
      <c r="G22" s="2188"/>
      <c r="H22" s="260" t="s">
        <v>842</v>
      </c>
      <c r="I22" s="261"/>
      <c r="J22" s="99" t="s">
        <v>1405</v>
      </c>
      <c r="K22" s="970">
        <v>30000</v>
      </c>
      <c r="L22" s="99"/>
      <c r="M22" s="390">
        <v>6.9444444444444434E-2</v>
      </c>
      <c r="N22" s="262"/>
      <c r="O22" s="262"/>
    </row>
    <row r="23" spans="1:15" s="11" customFormat="1" x14ac:dyDescent="0.2">
      <c r="A23" s="99"/>
      <c r="B23" s="99"/>
      <c r="C23" s="99"/>
      <c r="D23" s="258">
        <v>99</v>
      </c>
      <c r="E23" s="259" t="s">
        <v>1937</v>
      </c>
      <c r="F23" s="99"/>
      <c r="G23" s="2188"/>
      <c r="H23" s="260" t="s">
        <v>842</v>
      </c>
      <c r="I23" s="261"/>
      <c r="J23" s="99" t="s">
        <v>303</v>
      </c>
      <c r="K23" s="970">
        <v>16</v>
      </c>
      <c r="L23" s="99"/>
      <c r="M23" s="390">
        <v>4.4444444444444446E-2</v>
      </c>
      <c r="N23" s="262"/>
      <c r="O23" s="262"/>
    </row>
    <row r="24" spans="1:15" s="11" customFormat="1" x14ac:dyDescent="0.2">
      <c r="A24" s="99"/>
      <c r="B24" s="99"/>
      <c r="C24" s="99"/>
      <c r="D24" s="258">
        <v>100</v>
      </c>
      <c r="E24" s="259" t="s">
        <v>1938</v>
      </c>
      <c r="F24" s="99"/>
      <c r="G24" s="2188"/>
      <c r="H24" s="260" t="s">
        <v>842</v>
      </c>
      <c r="I24" s="261"/>
      <c r="J24" s="99" t="s">
        <v>303</v>
      </c>
      <c r="K24" s="970">
        <v>16</v>
      </c>
      <c r="L24" s="99"/>
      <c r="M24" s="390">
        <v>4.4444444444444446E-2</v>
      </c>
      <c r="N24" s="262"/>
      <c r="O24" s="262"/>
    </row>
    <row r="25" spans="1:15" s="11" customFormat="1" x14ac:dyDescent="0.2">
      <c r="A25" s="99"/>
      <c r="B25" s="99"/>
      <c r="C25" s="99"/>
      <c r="D25" s="258">
        <v>101</v>
      </c>
      <c r="E25" s="259" t="s">
        <v>1939</v>
      </c>
      <c r="F25" s="99"/>
      <c r="G25" s="2188"/>
      <c r="H25" s="260" t="s">
        <v>842</v>
      </c>
      <c r="I25" s="261"/>
      <c r="J25" s="99" t="s">
        <v>303</v>
      </c>
      <c r="K25" s="970">
        <v>16</v>
      </c>
      <c r="L25" s="99"/>
      <c r="M25" s="390">
        <v>4.4444444444444446E-2</v>
      </c>
      <c r="N25" s="262"/>
      <c r="O25" s="262"/>
    </row>
    <row r="26" spans="1:15" s="11" customFormat="1" x14ac:dyDescent="0.2">
      <c r="A26" s="99"/>
      <c r="B26" s="99"/>
      <c r="C26" s="99"/>
      <c r="D26" s="258">
        <v>102</v>
      </c>
      <c r="E26" s="259" t="s">
        <v>1939</v>
      </c>
      <c r="F26" s="99"/>
      <c r="G26" s="2188"/>
      <c r="H26" s="260" t="s">
        <v>842</v>
      </c>
      <c r="I26" s="261"/>
      <c r="J26" s="99" t="s">
        <v>303</v>
      </c>
      <c r="K26" s="970">
        <v>16</v>
      </c>
      <c r="L26" s="99"/>
      <c r="M26" s="390">
        <v>4.4444444444444446E-2</v>
      </c>
      <c r="N26" s="262"/>
      <c r="O26" s="262"/>
    </row>
    <row r="27" spans="1:15" s="11" customFormat="1" x14ac:dyDescent="0.2">
      <c r="A27" s="99"/>
      <c r="B27" s="99"/>
      <c r="C27" s="99"/>
      <c r="D27" s="258">
        <v>103</v>
      </c>
      <c r="E27" s="259" t="s">
        <v>213</v>
      </c>
      <c r="F27" s="99"/>
      <c r="G27" s="2188"/>
      <c r="H27" s="260"/>
      <c r="I27" s="261"/>
      <c r="J27" s="99"/>
      <c r="K27" s="970"/>
      <c r="L27" s="99"/>
      <c r="M27" s="390">
        <v>0.11458333333333333</v>
      </c>
      <c r="N27" s="262"/>
      <c r="O27" s="262"/>
    </row>
    <row r="28" spans="1:15" s="11" customFormat="1" x14ac:dyDescent="0.2">
      <c r="A28" s="99"/>
      <c r="B28" s="99"/>
      <c r="C28" s="99"/>
      <c r="D28" s="258"/>
      <c r="E28" s="259"/>
      <c r="F28" s="99"/>
      <c r="G28" s="2188"/>
      <c r="H28" s="260"/>
      <c r="I28" s="261"/>
      <c r="J28" s="99"/>
      <c r="K28" s="970"/>
      <c r="L28" s="99"/>
      <c r="M28" s="390"/>
      <c r="N28" s="262"/>
      <c r="O28" s="262"/>
    </row>
    <row r="29" spans="1:15" s="11" customFormat="1" x14ac:dyDescent="0.2">
      <c r="A29" s="99"/>
      <c r="B29" s="99"/>
      <c r="C29" s="99"/>
      <c r="D29" s="258"/>
      <c r="E29" s="259"/>
      <c r="F29" s="99"/>
      <c r="G29" s="2057"/>
      <c r="H29" s="260"/>
      <c r="I29" s="261"/>
      <c r="J29" s="99"/>
      <c r="K29" s="970"/>
      <c r="L29" s="99"/>
      <c r="M29" s="390"/>
      <c r="N29" s="262"/>
      <c r="O29" s="262"/>
    </row>
    <row r="30" spans="1:15" s="11" customFormat="1" x14ac:dyDescent="0.2">
      <c r="A30" s="99"/>
      <c r="B30" s="99"/>
      <c r="C30" s="99"/>
      <c r="D30" s="258"/>
      <c r="E30" s="259"/>
      <c r="F30" s="99"/>
      <c r="G30" s="102"/>
      <c r="H30" s="260"/>
      <c r="I30" s="261"/>
      <c r="J30" s="99"/>
      <c r="K30" s="970"/>
      <c r="L30" s="99"/>
      <c r="M30" s="390"/>
      <c r="N30" s="262"/>
      <c r="O30" s="262"/>
    </row>
    <row r="31" spans="1:15" s="11" customFormat="1" x14ac:dyDescent="0.2">
      <c r="A31" s="99"/>
      <c r="B31" s="99"/>
      <c r="C31" s="99"/>
      <c r="D31" s="258"/>
      <c r="E31" s="259"/>
      <c r="F31" s="99"/>
      <c r="G31" s="102"/>
      <c r="H31" s="260"/>
      <c r="I31" s="261"/>
      <c r="J31" s="99"/>
      <c r="K31" s="970"/>
      <c r="L31" s="99"/>
      <c r="M31" s="390"/>
      <c r="N31" s="262"/>
      <c r="O31" s="262"/>
    </row>
    <row r="32" spans="1:15" s="11" customFormat="1" x14ac:dyDescent="0.2">
      <c r="A32" s="99"/>
      <c r="B32" s="99"/>
      <c r="C32" s="99"/>
      <c r="D32" s="258"/>
      <c r="E32" s="259"/>
      <c r="F32" s="99"/>
      <c r="G32" s="102"/>
      <c r="H32" s="260"/>
      <c r="I32" s="261"/>
      <c r="J32" s="99"/>
      <c r="K32" s="970"/>
      <c r="L32" s="99"/>
      <c r="M32" s="390"/>
      <c r="N32" s="262"/>
      <c r="O32" s="262"/>
    </row>
    <row r="33" spans="1:15" s="11" customFormat="1" x14ac:dyDescent="0.2">
      <c r="A33" s="99"/>
      <c r="B33" s="99"/>
      <c r="C33" s="99"/>
      <c r="D33" s="258"/>
      <c r="E33" s="259"/>
      <c r="F33" s="99"/>
      <c r="G33" s="102"/>
      <c r="H33" s="260"/>
      <c r="I33" s="261"/>
      <c r="J33" s="99"/>
      <c r="K33" s="970"/>
      <c r="L33" s="99"/>
      <c r="M33" s="390"/>
      <c r="N33" s="262"/>
      <c r="O33" s="262"/>
    </row>
    <row r="34" spans="1:15" s="11" customFormat="1" x14ac:dyDescent="0.2">
      <c r="A34" s="99"/>
      <c r="B34" s="99"/>
      <c r="C34" s="99"/>
      <c r="D34" s="258"/>
      <c r="E34" s="259"/>
      <c r="F34" s="99"/>
      <c r="G34" s="102"/>
      <c r="H34" s="260"/>
      <c r="I34" s="261"/>
      <c r="J34" s="99"/>
      <c r="K34" s="970"/>
      <c r="L34" s="99"/>
      <c r="M34" s="390"/>
      <c r="N34" s="262"/>
      <c r="O34" s="262"/>
    </row>
    <row r="35" spans="1:15" s="11" customFormat="1" x14ac:dyDescent="0.2">
      <c r="A35" s="99"/>
      <c r="B35" s="99"/>
      <c r="C35" s="99"/>
      <c r="D35" s="258"/>
      <c r="E35" s="259"/>
      <c r="F35" s="99"/>
      <c r="G35" s="102"/>
      <c r="H35" s="260"/>
      <c r="I35" s="261"/>
      <c r="J35" s="99"/>
      <c r="K35" s="970"/>
      <c r="L35" s="99"/>
      <c r="M35" s="390"/>
      <c r="N35" s="262"/>
      <c r="O35" s="262"/>
    </row>
    <row r="36" spans="1:15" s="11" customFormat="1" x14ac:dyDescent="0.2">
      <c r="A36" s="99"/>
      <c r="B36" s="99"/>
      <c r="C36" s="99"/>
      <c r="D36" s="258"/>
      <c r="E36" s="259"/>
      <c r="F36" s="99"/>
      <c r="G36" s="102"/>
      <c r="H36" s="260"/>
      <c r="I36" s="261"/>
      <c r="J36" s="99"/>
      <c r="K36" s="970"/>
      <c r="L36" s="99"/>
      <c r="M36" s="390"/>
      <c r="N36" s="262"/>
      <c r="O36" s="262"/>
    </row>
    <row r="37" spans="1:15" s="11" customFormat="1" x14ac:dyDescent="0.2">
      <c r="A37" s="99"/>
      <c r="B37" s="99"/>
      <c r="C37" s="99"/>
      <c r="D37" s="258"/>
      <c r="E37" s="259"/>
      <c r="F37" s="99"/>
      <c r="G37" s="102"/>
      <c r="H37" s="260"/>
      <c r="I37" s="261"/>
      <c r="J37" s="99"/>
      <c r="K37" s="970"/>
      <c r="L37" s="99"/>
      <c r="M37" s="390"/>
      <c r="N37" s="262"/>
      <c r="O37" s="262"/>
    </row>
    <row r="38" spans="1:15" x14ac:dyDescent="0.2">
      <c r="A38" s="37"/>
      <c r="B38" s="37"/>
      <c r="C38" s="37"/>
      <c r="D38" s="252"/>
      <c r="E38" s="145"/>
      <c r="F38" s="37"/>
      <c r="G38" s="146"/>
      <c r="H38" s="146"/>
      <c r="I38" s="146"/>
      <c r="J38" s="37"/>
      <c r="K38" s="37"/>
      <c r="L38" s="37"/>
      <c r="M38" s="37"/>
      <c r="N38" s="37"/>
      <c r="O38" s="37"/>
    </row>
    <row r="39" spans="1:15" x14ac:dyDescent="0.2">
      <c r="A39" s="37"/>
      <c r="B39" t="s">
        <v>140</v>
      </c>
      <c r="C39" s="37"/>
      <c r="D39" s="252"/>
      <c r="E39" s="246" t="str">
        <f>Заказ!C1</f>
        <v>О.А. Коврова</v>
      </c>
      <c r="F39" s="37"/>
      <c r="G39" t="s">
        <v>235</v>
      </c>
      <c r="H39" s="146"/>
      <c r="I39" s="146"/>
      <c r="J39" s="37" t="s">
        <v>931</v>
      </c>
      <c r="K39" s="37"/>
      <c r="L39" t="s">
        <v>236</v>
      </c>
      <c r="M39" s="37"/>
      <c r="N39" s="37" t="s">
        <v>237</v>
      </c>
      <c r="O39" s="37"/>
    </row>
    <row r="40" spans="1:15" x14ac:dyDescent="0.2">
      <c r="O40" s="37"/>
    </row>
    <row r="41" spans="1:15" ht="16.5" customHeight="1" x14ac:dyDescent="0.2"/>
    <row r="42" spans="1:15" x14ac:dyDescent="0.2">
      <c r="A42" s="37"/>
      <c r="B42" s="37"/>
      <c r="C42" s="37"/>
      <c r="D42" s="252"/>
      <c r="N42" s="37"/>
      <c r="O42" s="37"/>
    </row>
    <row r="44" spans="1:15" ht="22.5" customHeight="1" x14ac:dyDescent="0.2">
      <c r="N44" s="37"/>
      <c r="O44" s="37"/>
    </row>
  </sheetData>
  <sheetProtection selectLockedCells="1"/>
  <mergeCells count="12">
    <mergeCell ref="O15:O16"/>
    <mergeCell ref="A15:A16"/>
    <mergeCell ref="B15:B16"/>
    <mergeCell ref="C15:C16"/>
    <mergeCell ref="D15:D16"/>
    <mergeCell ref="E15:E16"/>
    <mergeCell ref="G15:G16"/>
    <mergeCell ref="H15:H16"/>
    <mergeCell ref="I15:I16"/>
    <mergeCell ref="J15:J16"/>
    <mergeCell ref="K15:L15"/>
    <mergeCell ref="M15:N15"/>
  </mergeCells>
  <pageMargins left="0.43" right="0.32" top="0.45" bottom="0.5" header="0.38" footer="0.28999999999999998"/>
  <pageSetup paperSize="9" scale="77" fitToHeight="3" orientation="landscape" r:id="rId1"/>
  <headerFooter alignWithMargins="0">
    <oddFooter>&amp;R&amp;8&amp;D  Страница &amp;P из &amp;N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00B050"/>
    <pageSetUpPr fitToPage="1"/>
  </sheetPr>
  <dimension ref="A1:AP72"/>
  <sheetViews>
    <sheetView zoomScale="85" zoomScaleNormal="85" zoomScaleSheetLayoutView="100" workbookViewId="0">
      <selection activeCell="U8" sqref="U8"/>
    </sheetView>
  </sheetViews>
  <sheetFormatPr defaultRowHeight="12.75" x14ac:dyDescent="0.2"/>
  <cols>
    <col min="1" max="1" width="7.5703125" style="909" customWidth="1"/>
    <col min="2" max="2" width="4" customWidth="1"/>
    <col min="3" max="7" width="3.7109375" customWidth="1"/>
    <col min="8" max="8" width="3.85546875" customWidth="1"/>
    <col min="9" max="9" width="3.7109375" style="57" hidden="1" customWidth="1"/>
    <col min="10" max="12" width="3.7109375" customWidth="1"/>
    <col min="13" max="13" width="5.28515625" customWidth="1"/>
    <col min="14" max="14" width="5" customWidth="1"/>
    <col min="15" max="15" width="4.42578125" customWidth="1"/>
    <col min="16" max="19" width="3.7109375" customWidth="1"/>
    <col min="20" max="20" width="6" customWidth="1"/>
    <col min="21" max="21" width="5.85546875" customWidth="1"/>
    <col min="22" max="22" width="4.28515625" customWidth="1"/>
    <col min="23" max="23" width="3.7109375" customWidth="1"/>
    <col min="24" max="24" width="4.140625" customWidth="1"/>
    <col min="25" max="25" width="10" customWidth="1"/>
    <col min="26" max="27" width="5.7109375" customWidth="1"/>
    <col min="28" max="30" width="3.7109375" customWidth="1"/>
    <col min="31" max="31" width="3.85546875" customWidth="1"/>
    <col min="32" max="32" width="5.140625" style="908" customWidth="1"/>
  </cols>
  <sheetData>
    <row r="1" spans="1:42" x14ac:dyDescent="0.2">
      <c r="A1" s="909">
        <v>1</v>
      </c>
      <c r="B1" s="57"/>
      <c r="C1" s="57"/>
      <c r="D1" s="57"/>
      <c r="E1" s="57"/>
      <c r="F1" s="57"/>
      <c r="G1" s="57"/>
      <c r="H1" s="57"/>
      <c r="I1" s="1332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W1" s="1088" t="str">
        <f>Заказ!E2</f>
        <v>ООО "Кировская областная типография"</v>
      </c>
      <c r="X1" s="57"/>
      <c r="Y1" s="57"/>
      <c r="Z1" s="57"/>
      <c r="AA1" s="57"/>
      <c r="AB1" s="57"/>
      <c r="AC1" s="57"/>
      <c r="AD1" s="57"/>
      <c r="AE1" s="57"/>
    </row>
    <row r="2" spans="1:42" ht="26.25" x14ac:dyDescent="0.4">
      <c r="A2" s="909">
        <v>1</v>
      </c>
      <c r="B2" s="57"/>
      <c r="C2" s="1089" t="str">
        <f>Исх!C21</f>
        <v>СтарЛайн</v>
      </c>
      <c r="D2" s="57"/>
      <c r="E2" s="57"/>
      <c r="F2" s="57"/>
      <c r="G2" s="57"/>
      <c r="H2" s="57"/>
      <c r="I2" s="1332"/>
      <c r="K2" s="57"/>
      <c r="L2" s="850" t="s">
        <v>438</v>
      </c>
      <c r="M2" s="57"/>
      <c r="N2" s="57"/>
      <c r="O2" s="57"/>
      <c r="R2" s="2678" t="str">
        <f>Заказ!P1</f>
        <v>202210367</v>
      </c>
      <c r="S2" s="2678"/>
      <c r="T2" s="2678"/>
      <c r="U2" s="2678"/>
      <c r="V2" s="2678"/>
      <c r="W2" s="2678"/>
      <c r="X2" s="2678"/>
      <c r="Y2" s="2678"/>
      <c r="Z2" s="2678"/>
      <c r="AA2" s="2678"/>
      <c r="AB2" s="2678"/>
      <c r="AC2" s="2678"/>
      <c r="AD2" s="2678"/>
      <c r="AE2" s="2678"/>
    </row>
    <row r="3" spans="1:42" x14ac:dyDescent="0.2">
      <c r="A3" s="909">
        <v>1</v>
      </c>
      <c r="B3" s="57"/>
      <c r="C3" s="57"/>
      <c r="D3" s="57"/>
      <c r="E3" s="57"/>
      <c r="F3" s="57"/>
      <c r="G3" s="57"/>
      <c r="H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1090" t="s">
        <v>449</v>
      </c>
      <c r="Z3" s="1090" t="str">
        <f>Заказ!C1</f>
        <v>О.А. Коврова</v>
      </c>
      <c r="AA3" s="57"/>
      <c r="AB3" s="57"/>
      <c r="AC3" s="57"/>
      <c r="AD3" s="57"/>
      <c r="AE3" s="57"/>
    </row>
    <row r="4" spans="1:42" ht="24.75" customHeight="1" x14ac:dyDescent="0.2">
      <c r="A4" s="909">
        <v>1</v>
      </c>
      <c r="B4" s="2549" t="s">
        <v>772</v>
      </c>
      <c r="C4" s="2550"/>
      <c r="D4" s="2550"/>
      <c r="E4" s="2551"/>
      <c r="F4" s="2555" t="s">
        <v>381</v>
      </c>
      <c r="G4" s="2555"/>
      <c r="H4" s="2555"/>
      <c r="I4" s="967"/>
      <c r="J4" s="2681" t="str">
        <f>Заказ!F18</f>
        <v>чт</v>
      </c>
      <c r="K4" s="2682"/>
      <c r="L4" s="2682"/>
      <c r="M4" s="2682"/>
      <c r="N4" s="2683"/>
      <c r="T4" s="2549" t="s">
        <v>773</v>
      </c>
      <c r="U4" s="2550"/>
      <c r="V4" s="2550"/>
      <c r="W4" s="2550"/>
      <c r="X4" s="2551"/>
      <c r="Y4" s="2555" t="s">
        <v>381</v>
      </c>
      <c r="Z4" s="2555"/>
      <c r="AA4" s="2469" t="str">
        <f>Исх!BA42</f>
        <v>1:3:00</v>
      </c>
      <c r="AB4" s="2470"/>
      <c r="AC4" s="2470"/>
      <c r="AD4" s="2470"/>
      <c r="AE4" s="2471"/>
      <c r="AH4" s="966"/>
      <c r="AM4" s="966"/>
      <c r="AN4" s="966"/>
      <c r="AO4" s="966"/>
      <c r="AP4" s="966"/>
    </row>
    <row r="5" spans="1:42" ht="21" customHeight="1" x14ac:dyDescent="0.2">
      <c r="A5" s="909">
        <v>1</v>
      </c>
      <c r="B5" s="2552"/>
      <c r="C5" s="2553"/>
      <c r="D5" s="2553"/>
      <c r="E5" s="2554"/>
      <c r="F5" s="2555" t="s">
        <v>382</v>
      </c>
      <c r="G5" s="2555"/>
      <c r="H5" s="2555"/>
      <c r="I5" s="965"/>
      <c r="J5" s="2543"/>
      <c r="K5" s="2543"/>
      <c r="L5" s="2543"/>
      <c r="M5" s="2543"/>
      <c r="N5" s="2543"/>
      <c r="T5" s="2552"/>
      <c r="U5" s="2553"/>
      <c r="V5" s="2553"/>
      <c r="W5" s="2553"/>
      <c r="X5" s="2554"/>
      <c r="Y5" s="2555" t="s">
        <v>382</v>
      </c>
      <c r="Z5" s="2555"/>
      <c r="AA5" s="2559"/>
      <c r="AB5" s="2559"/>
      <c r="AC5" s="2559"/>
      <c r="AD5" s="2559"/>
      <c r="AE5" s="2559"/>
      <c r="AH5" s="966"/>
      <c r="AM5" s="966"/>
      <c r="AN5" s="966"/>
      <c r="AO5" s="966"/>
      <c r="AP5" s="966"/>
    </row>
    <row r="6" spans="1:42" ht="21" customHeight="1" x14ac:dyDescent="0.2">
      <c r="A6" s="909">
        <v>1</v>
      </c>
      <c r="B6" s="2540" t="s">
        <v>774</v>
      </c>
      <c r="C6" s="2541"/>
      <c r="D6" s="2541"/>
      <c r="E6" s="2541"/>
      <c r="F6" s="2541"/>
      <c r="G6" s="2541"/>
      <c r="H6" s="2542"/>
      <c r="J6" s="2543"/>
      <c r="K6" s="2543"/>
      <c r="L6" s="2543"/>
      <c r="M6" s="2543"/>
      <c r="N6" s="2543"/>
      <c r="V6" s="57"/>
      <c r="W6" s="57"/>
      <c r="AH6" s="964"/>
      <c r="AI6" s="964"/>
      <c r="AJ6" s="964"/>
      <c r="AK6" s="964"/>
      <c r="AL6" s="964"/>
      <c r="AM6" s="964"/>
      <c r="AN6" s="964"/>
      <c r="AO6" s="964"/>
      <c r="AP6" s="964"/>
    </row>
    <row r="7" spans="1:42" x14ac:dyDescent="0.2">
      <c r="A7" s="909">
        <v>1</v>
      </c>
      <c r="B7" s="57"/>
      <c r="C7" s="57"/>
      <c r="D7" s="57"/>
      <c r="E7" s="57"/>
      <c r="F7" s="57"/>
      <c r="G7" s="57"/>
      <c r="H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</row>
    <row r="8" spans="1:42" ht="18.75" customHeight="1" x14ac:dyDescent="0.25">
      <c r="A8" s="909">
        <v>1</v>
      </c>
      <c r="B8" s="851" t="s">
        <v>727</v>
      </c>
      <c r="C8" s="852"/>
      <c r="D8" s="852"/>
      <c r="E8" s="852"/>
      <c r="F8" s="852"/>
      <c r="G8" s="852"/>
      <c r="H8" s="852"/>
      <c r="I8" s="853"/>
      <c r="J8" s="2544" t="s">
        <v>728</v>
      </c>
      <c r="K8" s="2544"/>
      <c r="L8" s="2544"/>
      <c r="M8" s="2544"/>
      <c r="N8" s="2544"/>
      <c r="O8" s="2544"/>
      <c r="P8" s="2544"/>
      <c r="Q8" s="2544"/>
      <c r="R8" s="854"/>
      <c r="S8" s="854"/>
      <c r="T8" s="855" t="s">
        <v>729</v>
      </c>
      <c r="U8" s="854"/>
      <c r="V8" s="854"/>
      <c r="W8" s="57"/>
      <c r="X8" s="57"/>
      <c r="Y8" s="855" t="s">
        <v>730</v>
      </c>
      <c r="Z8" s="856"/>
      <c r="AA8" s="857" t="s">
        <v>731</v>
      </c>
      <c r="AB8" s="856" t="s">
        <v>731</v>
      </c>
      <c r="AC8" s="2545">
        <f>Заказ!F1</f>
        <v>2022</v>
      </c>
      <c r="AD8" s="2545"/>
      <c r="AE8" s="852"/>
    </row>
    <row r="9" spans="1:42" x14ac:dyDescent="0.2">
      <c r="A9" s="909">
        <v>1</v>
      </c>
      <c r="B9" s="57"/>
      <c r="C9" s="57"/>
      <c r="D9" s="57"/>
      <c r="E9" s="57"/>
      <c r="F9" s="57"/>
      <c r="G9" s="57"/>
      <c r="H9" s="57"/>
      <c r="J9" s="57"/>
      <c r="K9" s="57"/>
      <c r="L9" s="851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</row>
    <row r="10" spans="1:42" ht="33.75" customHeight="1" x14ac:dyDescent="0.25">
      <c r="A10" s="909">
        <v>1</v>
      </c>
      <c r="B10" s="858" t="s">
        <v>732</v>
      </c>
      <c r="C10" s="859"/>
      <c r="D10" s="57"/>
      <c r="E10" s="57"/>
      <c r="F10" s="2546" t="str">
        <f>Заказ!D8</f>
        <v>Про город К-Чепецк № 13 от 02.04.2022</v>
      </c>
      <c r="G10" s="2546"/>
      <c r="H10" s="2546"/>
      <c r="I10" s="2546"/>
      <c r="J10" s="2546"/>
      <c r="K10" s="2546"/>
      <c r="L10" s="2546"/>
      <c r="M10" s="2546"/>
      <c r="N10" s="2546"/>
      <c r="O10" s="2546"/>
      <c r="P10" s="2546"/>
      <c r="Q10" s="2546"/>
      <c r="R10" s="2546"/>
      <c r="S10" s="2546"/>
      <c r="T10" s="2546"/>
      <c r="U10" s="2546"/>
      <c r="V10" s="2546"/>
      <c r="W10" s="2546"/>
      <c r="X10" s="2546"/>
      <c r="Y10" s="855" t="s">
        <v>439</v>
      </c>
      <c r="Z10" s="2547">
        <f>Заказ!C11</f>
        <v>25000</v>
      </c>
      <c r="AA10" s="2548"/>
      <c r="AB10" s="2548"/>
      <c r="AC10" s="2548"/>
      <c r="AD10" s="2548"/>
      <c r="AE10" s="57"/>
    </row>
    <row r="11" spans="1:42" ht="7.5" customHeight="1" x14ac:dyDescent="0.2">
      <c r="A11" s="909">
        <v>1</v>
      </c>
      <c r="B11" s="860"/>
      <c r="C11" s="860"/>
      <c r="D11" s="860"/>
      <c r="E11" s="860"/>
      <c r="F11" s="860"/>
      <c r="G11" s="861"/>
      <c r="H11" s="861"/>
      <c r="I11" s="862"/>
      <c r="J11" s="860"/>
      <c r="K11" s="860"/>
      <c r="L11" s="860"/>
      <c r="M11" s="860"/>
      <c r="N11" s="860"/>
      <c r="O11" s="860"/>
      <c r="P11" s="860"/>
      <c r="Q11" s="860"/>
      <c r="R11" s="860"/>
      <c r="S11" s="860"/>
      <c r="T11" s="860"/>
      <c r="U11" s="860"/>
      <c r="V11" s="860"/>
      <c r="W11" s="860"/>
      <c r="X11" s="860"/>
      <c r="Y11" s="860"/>
      <c r="Z11" s="57"/>
      <c r="AA11" s="57"/>
      <c r="AB11" s="57"/>
      <c r="AC11" s="57"/>
      <c r="AD11" s="57"/>
      <c r="AE11" s="57"/>
    </row>
    <row r="12" spans="1:42" ht="15.75" customHeight="1" x14ac:dyDescent="0.2">
      <c r="A12" s="909">
        <v>1</v>
      </c>
      <c r="B12" s="853"/>
      <c r="C12" s="853"/>
      <c r="D12" s="853"/>
      <c r="E12" s="853"/>
      <c r="F12" s="853"/>
      <c r="G12" s="853"/>
      <c r="H12" s="853"/>
      <c r="I12" s="853"/>
      <c r="J12" s="853"/>
      <c r="K12" s="853"/>
      <c r="L12" s="853"/>
      <c r="M12" s="853"/>
      <c r="N12" s="853"/>
      <c r="O12" s="853"/>
      <c r="P12" s="853"/>
      <c r="Q12" s="853"/>
      <c r="R12" s="853"/>
      <c r="S12" s="853"/>
      <c r="T12" s="853"/>
      <c r="U12" s="853"/>
      <c r="V12" s="853"/>
      <c r="W12" s="853"/>
      <c r="X12" s="853"/>
      <c r="Y12" s="863" t="s">
        <v>733</v>
      </c>
      <c r="Z12" s="2520" t="e">
        <f>CONCATENATE(TRUNC(SUM(Трудозатраты!#REF!),0),":",INT((SUM(Трудозатраты!#REF!)-(TRUNC(SUM(Трудозатраты!#REF!),0)))*60),":","00")</f>
        <v>#REF!</v>
      </c>
      <c r="AA12" s="2520"/>
      <c r="AB12" s="2520"/>
      <c r="AC12" s="2520"/>
      <c r="AD12" s="2520"/>
      <c r="AE12" s="853"/>
    </row>
    <row r="13" spans="1:42" x14ac:dyDescent="0.2">
      <c r="A13" s="909">
        <v>1</v>
      </c>
      <c r="B13" s="57"/>
      <c r="C13" s="57"/>
      <c r="D13" s="57"/>
      <c r="E13" s="57"/>
      <c r="F13" s="57"/>
      <c r="G13" s="57"/>
      <c r="H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</row>
    <row r="14" spans="1:42" ht="15" x14ac:dyDescent="0.25">
      <c r="A14" s="909">
        <v>1</v>
      </c>
      <c r="B14" s="2537" t="s">
        <v>734</v>
      </c>
      <c r="C14" s="2537"/>
      <c r="D14" s="2537"/>
      <c r="E14" s="2537"/>
      <c r="F14" s="2537"/>
      <c r="G14" s="2537"/>
      <c r="H14" s="2537"/>
      <c r="I14" s="2537"/>
      <c r="J14" s="2537"/>
      <c r="K14" s="2537"/>
      <c r="L14" s="2537"/>
      <c r="M14" s="2537"/>
      <c r="N14" s="2537"/>
      <c r="O14" s="2537"/>
      <c r="P14" s="2537"/>
      <c r="Q14" s="2537"/>
      <c r="R14" s="2537"/>
      <c r="S14" s="2537"/>
      <c r="T14" s="2537"/>
      <c r="U14" s="2537"/>
      <c r="V14" s="2537"/>
      <c r="W14" s="2537"/>
      <c r="X14" s="2537"/>
      <c r="Y14" s="2537"/>
      <c r="Z14" s="2537"/>
      <c r="AA14" s="2537"/>
      <c r="AB14" s="2537"/>
      <c r="AC14" s="2537"/>
      <c r="AD14" s="2537"/>
      <c r="AE14" s="2537"/>
    </row>
    <row r="15" spans="1:42" ht="6" customHeight="1" thickBot="1" x14ac:dyDescent="0.25">
      <c r="A15" s="909">
        <v>1</v>
      </c>
      <c r="B15" s="913"/>
      <c r="C15" s="913"/>
      <c r="D15" s="913"/>
      <c r="E15" s="913"/>
      <c r="F15" s="913"/>
      <c r="G15" s="913"/>
      <c r="H15" s="913"/>
      <c r="I15" s="913"/>
      <c r="J15" s="913"/>
      <c r="K15" s="913"/>
      <c r="L15" s="913"/>
      <c r="M15" s="913"/>
      <c r="N15" s="913"/>
      <c r="O15" s="913"/>
      <c r="P15" s="913"/>
      <c r="Q15" s="913"/>
      <c r="R15" s="913"/>
      <c r="S15" s="913"/>
      <c r="T15" s="913"/>
      <c r="U15" s="913"/>
      <c r="V15" s="913"/>
      <c r="W15" s="913"/>
      <c r="X15" s="913"/>
      <c r="Y15" s="913"/>
      <c r="Z15" s="913"/>
      <c r="AA15" s="913"/>
      <c r="AB15" s="913"/>
      <c r="AC15" s="913"/>
      <c r="AD15" s="913"/>
      <c r="AE15" s="913"/>
    </row>
    <row r="16" spans="1:42" ht="20.25" customHeight="1" x14ac:dyDescent="0.2">
      <c r="A16" s="909">
        <v>1</v>
      </c>
      <c r="B16" s="2687" t="s">
        <v>735</v>
      </c>
      <c r="C16" s="2688"/>
      <c r="D16" s="2688"/>
      <c r="E16" s="2688"/>
      <c r="F16" s="2688"/>
      <c r="G16" s="2688"/>
      <c r="H16" s="2677" t="s">
        <v>748</v>
      </c>
      <c r="I16" s="2527" t="s">
        <v>736</v>
      </c>
      <c r="J16" s="2656" t="s">
        <v>422</v>
      </c>
      <c r="K16" s="2656"/>
      <c r="L16" s="2656"/>
      <c r="M16" s="2656"/>
      <c r="N16" s="2656"/>
      <c r="O16" s="2656"/>
      <c r="P16" s="2656"/>
      <c r="Q16" s="2656"/>
      <c r="R16" s="2656"/>
      <c r="S16" s="2656"/>
      <c r="T16" s="2656"/>
      <c r="U16" s="2656"/>
      <c r="V16" s="2656" t="s">
        <v>737</v>
      </c>
      <c r="W16" s="2656"/>
      <c r="X16" s="2656"/>
      <c r="Y16" s="2656" t="s">
        <v>379</v>
      </c>
      <c r="Z16" s="2656"/>
      <c r="AA16" s="2656"/>
      <c r="AB16" s="2656"/>
      <c r="AC16" s="2668" t="s">
        <v>738</v>
      </c>
      <c r="AD16" s="2669"/>
      <c r="AE16" s="2670"/>
    </row>
    <row r="17" spans="1:31" ht="38.25" customHeight="1" thickBot="1" x14ac:dyDescent="0.25">
      <c r="A17" s="909">
        <v>1</v>
      </c>
      <c r="B17" s="2689"/>
      <c r="C17" s="2690"/>
      <c r="D17" s="2690"/>
      <c r="E17" s="2690"/>
      <c r="F17" s="2690"/>
      <c r="G17" s="2690"/>
      <c r="H17" s="2462"/>
      <c r="I17" s="2528"/>
      <c r="J17" s="2657"/>
      <c r="K17" s="2657"/>
      <c r="L17" s="2657"/>
      <c r="M17" s="2657"/>
      <c r="N17" s="2657"/>
      <c r="O17" s="2657"/>
      <c r="P17" s="2657"/>
      <c r="Q17" s="2657"/>
      <c r="R17" s="2657"/>
      <c r="S17" s="2657"/>
      <c r="T17" s="2657"/>
      <c r="U17" s="2657"/>
      <c r="V17" s="2657"/>
      <c r="W17" s="2657"/>
      <c r="X17" s="2657"/>
      <c r="Y17" s="910" t="s">
        <v>381</v>
      </c>
      <c r="Z17" s="2657" t="s">
        <v>382</v>
      </c>
      <c r="AA17" s="2657"/>
      <c r="AB17" s="2657"/>
      <c r="AC17" s="2671"/>
      <c r="AD17" s="2672"/>
      <c r="AE17" s="2673"/>
    </row>
    <row r="18" spans="1:31" ht="12.75" customHeight="1" x14ac:dyDescent="0.2">
      <c r="A18" s="909">
        <v>0</v>
      </c>
      <c r="B18" s="865"/>
      <c r="C18" s="37"/>
      <c r="D18" s="37"/>
      <c r="E18" s="37"/>
      <c r="F18" s="37"/>
      <c r="G18" s="37"/>
      <c r="H18" s="37"/>
      <c r="I18" s="866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867"/>
    </row>
    <row r="19" spans="1:31" ht="24" customHeight="1" x14ac:dyDescent="0.2">
      <c r="A19" s="909">
        <f>IF(Y19&gt;0,1,0)</f>
        <v>0</v>
      </c>
      <c r="B19" s="868"/>
      <c r="C19" s="869"/>
      <c r="D19" s="869"/>
      <c r="E19" s="869"/>
      <c r="F19" s="869"/>
      <c r="G19" s="914"/>
      <c r="H19" s="2674" t="s">
        <v>1051</v>
      </c>
      <c r="I19" s="906" t="e">
        <f>Трудозатраты!#REF!</f>
        <v>#REF!</v>
      </c>
      <c r="J19" s="1268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2469"/>
      <c r="W19" s="2470"/>
      <c r="X19" s="2471"/>
      <c r="Y19" s="915"/>
      <c r="Z19" s="112"/>
      <c r="AA19" s="129"/>
      <c r="AB19" s="129"/>
      <c r="AC19" s="112"/>
      <c r="AD19" s="129"/>
      <c r="AE19" s="873"/>
    </row>
    <row r="20" spans="1:31" ht="24" customHeight="1" x14ac:dyDescent="0.2">
      <c r="A20" s="909">
        <f>IF(Y20&gt;0,1,0)</f>
        <v>0</v>
      </c>
      <c r="B20" s="868"/>
      <c r="C20" s="869"/>
      <c r="D20" s="869"/>
      <c r="E20" s="869"/>
      <c r="F20" s="869"/>
      <c r="G20" s="914"/>
      <c r="H20" s="2675"/>
      <c r="I20" s="906" t="e">
        <f>Трудозатраты!#REF!</f>
        <v>#REF!</v>
      </c>
      <c r="J20" s="1268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2469"/>
      <c r="W20" s="2470"/>
      <c r="X20" s="2471"/>
      <c r="Y20" s="1182"/>
      <c r="Z20" s="112"/>
      <c r="AA20" s="129"/>
      <c r="AB20" s="129"/>
      <c r="AC20" s="112"/>
      <c r="AD20" s="129"/>
      <c r="AE20" s="873"/>
    </row>
    <row r="21" spans="1:31" ht="24" customHeight="1" x14ac:dyDescent="0.2">
      <c r="A21" s="909">
        <f t="shared" ref="A21:A26" si="0">IF(Y21&gt;0,1,0)</f>
        <v>0</v>
      </c>
      <c r="B21" s="868"/>
      <c r="C21" s="869"/>
      <c r="D21" s="869"/>
      <c r="E21" s="869"/>
      <c r="F21" s="869"/>
      <c r="G21" s="914"/>
      <c r="H21" s="2675"/>
      <c r="I21" s="906" t="e">
        <f>Трудозатраты!#REF!</f>
        <v>#REF!</v>
      </c>
      <c r="J21" s="1268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2469"/>
      <c r="W21" s="2470"/>
      <c r="X21" s="2471"/>
      <c r="Y21" s="915"/>
      <c r="Z21" s="112"/>
      <c r="AA21" s="129"/>
      <c r="AB21" s="129"/>
      <c r="AC21" s="112"/>
      <c r="AD21" s="129"/>
      <c r="AE21" s="873"/>
    </row>
    <row r="22" spans="1:31" ht="24" customHeight="1" x14ac:dyDescent="0.2">
      <c r="A22" s="909">
        <f t="shared" si="0"/>
        <v>0</v>
      </c>
      <c r="B22" s="868"/>
      <c r="C22" s="869"/>
      <c r="D22" s="869"/>
      <c r="E22" s="869"/>
      <c r="F22" s="869"/>
      <c r="G22" s="914"/>
      <c r="H22" s="2675"/>
      <c r="I22" s="906" t="e">
        <f>Трудозатраты!#REF!</f>
        <v>#REF!</v>
      </c>
      <c r="J22" s="1268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2469"/>
      <c r="W22" s="2470"/>
      <c r="X22" s="2471"/>
      <c r="Y22" s="915"/>
      <c r="Z22" s="112"/>
      <c r="AA22" s="129"/>
      <c r="AB22" s="129"/>
      <c r="AC22" s="112"/>
      <c r="AD22" s="129"/>
      <c r="AE22" s="873"/>
    </row>
    <row r="23" spans="1:31" ht="24" customHeight="1" x14ac:dyDescent="0.2">
      <c r="A23" s="909">
        <f t="shared" si="0"/>
        <v>0</v>
      </c>
      <c r="B23" s="868"/>
      <c r="C23" s="869"/>
      <c r="D23" s="869"/>
      <c r="E23" s="869"/>
      <c r="F23" s="869"/>
      <c r="G23" s="914"/>
      <c r="H23" s="2675"/>
      <c r="I23" s="906" t="e">
        <f>Трудозатраты!#REF!</f>
        <v>#REF!</v>
      </c>
      <c r="J23" s="1268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2469"/>
      <c r="W23" s="2470"/>
      <c r="X23" s="2471"/>
      <c r="Y23" s="915"/>
      <c r="Z23" s="112"/>
      <c r="AA23" s="129"/>
      <c r="AB23" s="129"/>
      <c r="AC23" s="112"/>
      <c r="AD23" s="129"/>
      <c r="AE23" s="873"/>
    </row>
    <row r="24" spans="1:31" ht="24" customHeight="1" x14ac:dyDescent="0.2">
      <c r="A24" s="909">
        <f t="shared" si="0"/>
        <v>0</v>
      </c>
      <c r="B24" s="868"/>
      <c r="C24" s="869"/>
      <c r="D24" s="869"/>
      <c r="E24" s="869"/>
      <c r="F24" s="869"/>
      <c r="G24" s="914"/>
      <c r="H24" s="2675"/>
      <c r="I24" s="906" t="e">
        <f>Трудозатраты!#REF!</f>
        <v>#REF!</v>
      </c>
      <c r="J24" s="1268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2469"/>
      <c r="W24" s="2470"/>
      <c r="X24" s="2471"/>
      <c r="Y24" s="915"/>
      <c r="Z24" s="112"/>
      <c r="AA24" s="129"/>
      <c r="AB24" s="129"/>
      <c r="AC24" s="112"/>
      <c r="AD24" s="129"/>
      <c r="AE24" s="873"/>
    </row>
    <row r="25" spans="1:31" ht="24" customHeight="1" x14ac:dyDescent="0.2">
      <c r="A25" s="909">
        <f t="shared" si="0"/>
        <v>0</v>
      </c>
      <c r="B25" s="868"/>
      <c r="C25" s="869"/>
      <c r="D25" s="869"/>
      <c r="E25" s="869"/>
      <c r="F25" s="869"/>
      <c r="G25" s="914"/>
      <c r="H25" s="2675"/>
      <c r="I25" s="906" t="e">
        <f>Трудозатраты!#REF!</f>
        <v>#REF!</v>
      </c>
      <c r="J25" s="1268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2469"/>
      <c r="W25" s="2470"/>
      <c r="X25" s="2471"/>
      <c r="Y25" s="915"/>
      <c r="Z25" s="112"/>
      <c r="AA25" s="129"/>
      <c r="AB25" s="129"/>
      <c r="AC25" s="112"/>
      <c r="AD25" s="129"/>
      <c r="AE25" s="873"/>
    </row>
    <row r="26" spans="1:31" ht="24" customHeight="1" x14ac:dyDescent="0.2">
      <c r="A26" s="909">
        <f t="shared" si="0"/>
        <v>0</v>
      </c>
      <c r="B26" s="868"/>
      <c r="C26" s="869"/>
      <c r="D26" s="869"/>
      <c r="E26" s="869"/>
      <c r="F26" s="869"/>
      <c r="G26" s="914"/>
      <c r="H26" s="2675"/>
      <c r="I26" s="906" t="e">
        <f>Трудозатраты!#REF!</f>
        <v>#REF!</v>
      </c>
      <c r="J26" s="1268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2469"/>
      <c r="W26" s="2470"/>
      <c r="X26" s="2471"/>
      <c r="Y26" s="1182"/>
      <c r="Z26" s="112"/>
      <c r="AA26" s="129"/>
      <c r="AB26" s="129"/>
      <c r="AC26" s="112"/>
      <c r="AD26" s="129"/>
      <c r="AE26" s="873"/>
    </row>
    <row r="27" spans="1:31" ht="24" customHeight="1" x14ac:dyDescent="0.2">
      <c r="A27" s="909">
        <f>IF(SUM(Y19:Y26)&gt;0,0,1)</f>
        <v>1</v>
      </c>
      <c r="B27" s="868"/>
      <c r="C27" s="869"/>
      <c r="D27" s="869"/>
      <c r="E27" s="869"/>
      <c r="F27" s="869"/>
      <c r="G27" s="914"/>
      <c r="H27" s="2675"/>
      <c r="I27" s="906"/>
      <c r="J27" s="1268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180"/>
      <c r="W27" s="129"/>
      <c r="X27" s="113"/>
      <c r="Y27" s="1181"/>
      <c r="Z27" s="112"/>
      <c r="AA27" s="129"/>
      <c r="AB27" s="129"/>
      <c r="AC27" s="112"/>
      <c r="AD27" s="129"/>
      <c r="AE27" s="873"/>
    </row>
    <row r="28" spans="1:31" ht="24" customHeight="1" x14ac:dyDescent="0.2">
      <c r="A28" s="909">
        <f>IF(SUM(Y19:Y26)&gt;0,0,1)</f>
        <v>1</v>
      </c>
      <c r="B28" s="868"/>
      <c r="C28" s="869"/>
      <c r="D28" s="869"/>
      <c r="E28" s="869"/>
      <c r="F28" s="869"/>
      <c r="G28" s="914"/>
      <c r="H28" s="2675"/>
      <c r="I28" s="871"/>
      <c r="J28" s="1268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180"/>
      <c r="W28" s="129"/>
      <c r="X28" s="113"/>
      <c r="Y28" s="1179"/>
      <c r="Z28" s="112"/>
      <c r="AA28" s="129"/>
      <c r="AB28" s="129"/>
      <c r="AC28" s="112"/>
      <c r="AD28" s="129"/>
      <c r="AE28" s="873"/>
    </row>
    <row r="29" spans="1:31" ht="24" customHeight="1" x14ac:dyDescent="0.2">
      <c r="A29" s="909">
        <v>1</v>
      </c>
      <c r="B29" s="868"/>
      <c r="C29" s="869"/>
      <c r="D29" s="869"/>
      <c r="E29" s="869"/>
      <c r="F29" s="869"/>
      <c r="G29" s="914"/>
      <c r="H29" s="2675"/>
      <c r="I29" s="906"/>
      <c r="J29" s="1268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872"/>
      <c r="W29" s="129"/>
      <c r="X29" s="113"/>
      <c r="Y29" s="907"/>
      <c r="Z29" s="112"/>
      <c r="AA29" s="129"/>
      <c r="AB29" s="129"/>
      <c r="AC29" s="112"/>
      <c r="AD29" s="129"/>
      <c r="AE29" s="873"/>
    </row>
    <row r="30" spans="1:31" ht="24" customHeight="1" x14ac:dyDescent="0.2">
      <c r="A30" s="909">
        <v>1</v>
      </c>
      <c r="B30" s="868"/>
      <c r="C30" s="869"/>
      <c r="D30" s="869"/>
      <c r="E30" s="869"/>
      <c r="F30" s="869"/>
      <c r="G30" s="914"/>
      <c r="H30" s="2676"/>
      <c r="I30" s="871"/>
      <c r="J30" s="1268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872"/>
      <c r="W30" s="129"/>
      <c r="X30" s="113"/>
      <c r="Y30" s="911"/>
      <c r="Z30" s="112"/>
      <c r="AA30" s="129"/>
      <c r="AB30" s="129"/>
      <c r="AC30" s="112"/>
      <c r="AD30" s="129"/>
      <c r="AE30" s="873"/>
    </row>
    <row r="31" spans="1:31" ht="24" customHeight="1" x14ac:dyDescent="0.2">
      <c r="A31" s="909">
        <v>1</v>
      </c>
      <c r="B31" s="868"/>
      <c r="C31" s="869"/>
      <c r="D31" s="869"/>
      <c r="E31" s="869"/>
      <c r="F31" s="869"/>
      <c r="G31" s="914"/>
      <c r="H31" s="870"/>
      <c r="I31" s="871"/>
      <c r="J31" s="1268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872"/>
      <c r="W31" s="129"/>
      <c r="X31" s="113"/>
      <c r="Y31" s="911"/>
      <c r="Z31" s="112"/>
      <c r="AA31" s="129"/>
      <c r="AB31" s="129"/>
      <c r="AC31" s="112"/>
      <c r="AD31" s="129"/>
      <c r="AE31" s="873"/>
    </row>
    <row r="32" spans="1:31" ht="21" customHeight="1" thickBot="1" x14ac:dyDescent="0.25">
      <c r="A32" s="909">
        <v>1</v>
      </c>
      <c r="B32" s="916"/>
      <c r="C32" s="874"/>
      <c r="D32" s="874"/>
      <c r="E32" s="874"/>
      <c r="F32" s="874"/>
      <c r="G32" s="917"/>
      <c r="H32" s="875"/>
      <c r="I32" s="876"/>
      <c r="J32" s="1270" t="s">
        <v>739</v>
      </c>
      <c r="K32" s="878"/>
      <c r="L32" s="878"/>
      <c r="M32" s="878"/>
      <c r="N32" s="878"/>
      <c r="O32" s="878"/>
      <c r="P32" s="878"/>
      <c r="Q32" s="878"/>
      <c r="R32" s="878"/>
      <c r="S32" s="878"/>
      <c r="T32" s="878"/>
      <c r="U32" s="878"/>
      <c r="V32" s="2684" t="s">
        <v>272</v>
      </c>
      <c r="W32" s="2685"/>
      <c r="X32" s="2686"/>
      <c r="Y32" s="912"/>
      <c r="Z32" s="877"/>
      <c r="AA32" s="878"/>
      <c r="AB32" s="878"/>
      <c r="AC32" s="877"/>
      <c r="AD32" s="878"/>
      <c r="AE32" s="879"/>
    </row>
    <row r="33" spans="1:31" ht="45.75" customHeight="1" x14ac:dyDescent="0.2">
      <c r="A33" s="909">
        <v>1</v>
      </c>
      <c r="B33" s="2664" t="s">
        <v>750</v>
      </c>
      <c r="C33" s="2665"/>
      <c r="D33" s="2665"/>
      <c r="E33" s="2665"/>
      <c r="F33" s="2665"/>
      <c r="G33" s="2665"/>
      <c r="H33" s="2666"/>
      <c r="I33" s="881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275"/>
      <c r="W33" s="18"/>
      <c r="X33" s="18"/>
      <c r="Y33" s="849"/>
      <c r="Z33" s="18"/>
      <c r="AA33" s="18"/>
      <c r="AB33" s="18"/>
      <c r="AC33" s="18"/>
      <c r="AD33" s="18"/>
      <c r="AE33" s="882"/>
    </row>
    <row r="34" spans="1:31" ht="20.25" customHeight="1" x14ac:dyDescent="0.2">
      <c r="A34" s="909">
        <v>1</v>
      </c>
      <c r="B34" s="2667" t="s">
        <v>751</v>
      </c>
      <c r="C34" s="2470"/>
      <c r="D34" s="2470"/>
      <c r="E34" s="2470"/>
      <c r="F34" s="2470"/>
      <c r="G34" s="2470"/>
      <c r="H34" s="2471"/>
      <c r="I34" s="871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883"/>
      <c r="W34" s="129"/>
      <c r="X34" s="129"/>
      <c r="Y34" s="884"/>
      <c r="Z34" s="129"/>
      <c r="AA34" s="129"/>
      <c r="AB34" s="129"/>
      <c r="AC34" s="129"/>
      <c r="AD34" s="129"/>
      <c r="AE34" s="873"/>
    </row>
    <row r="35" spans="1:31" ht="20.25" customHeight="1" thickBot="1" x14ac:dyDescent="0.25">
      <c r="A35" s="909">
        <v>1</v>
      </c>
      <c r="B35" s="2659" t="s">
        <v>752</v>
      </c>
      <c r="C35" s="2660"/>
      <c r="D35" s="2660"/>
      <c r="E35" s="2660"/>
      <c r="F35" s="2660"/>
      <c r="G35" s="2660"/>
      <c r="H35" s="2661"/>
      <c r="I35" s="876"/>
      <c r="J35" s="878"/>
      <c r="K35" s="878"/>
      <c r="L35" s="878"/>
      <c r="M35" s="878"/>
      <c r="N35" s="878"/>
      <c r="O35" s="878"/>
      <c r="P35" s="878"/>
      <c r="Q35" s="878"/>
      <c r="R35" s="878"/>
      <c r="S35" s="878"/>
      <c r="T35" s="878"/>
      <c r="U35" s="878"/>
      <c r="V35" s="885"/>
      <c r="W35" s="878"/>
      <c r="X35" s="878"/>
      <c r="Y35" s="886"/>
      <c r="Z35" s="878"/>
      <c r="AA35" s="878"/>
      <c r="AB35" s="878"/>
      <c r="AC35" s="878"/>
      <c r="AD35" s="878"/>
      <c r="AE35" s="879"/>
    </row>
    <row r="36" spans="1:31" ht="14.25" customHeight="1" x14ac:dyDescent="0.2">
      <c r="A36" s="909">
        <v>1</v>
      </c>
      <c r="B36" s="880"/>
      <c r="C36" s="880"/>
      <c r="D36" s="880"/>
      <c r="E36" s="880"/>
      <c r="F36" s="880"/>
      <c r="G36" s="880"/>
      <c r="H36" s="880"/>
      <c r="I36" s="887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888"/>
      <c r="W36" s="2"/>
      <c r="X36" s="2"/>
      <c r="Y36" s="1"/>
      <c r="Z36" s="2"/>
      <c r="AA36" s="2"/>
      <c r="AB36" s="2"/>
      <c r="AC36" s="2"/>
      <c r="AD36" s="2"/>
      <c r="AE36" s="2"/>
    </row>
    <row r="37" spans="1:31" ht="15.75" thickBot="1" x14ac:dyDescent="0.3">
      <c r="A37" s="909">
        <v>1</v>
      </c>
      <c r="B37" s="2658" t="s">
        <v>740</v>
      </c>
      <c r="C37" s="2658"/>
      <c r="D37" s="2658"/>
      <c r="E37" s="2658"/>
      <c r="F37" s="2658"/>
      <c r="G37" s="2658"/>
      <c r="H37" s="2658"/>
      <c r="I37" s="2658"/>
      <c r="J37" s="2658"/>
      <c r="K37" s="2658"/>
      <c r="L37" s="2658"/>
      <c r="M37" s="2658"/>
      <c r="N37" s="2658"/>
      <c r="O37" s="2658"/>
      <c r="P37" s="2658"/>
      <c r="Q37" s="2658"/>
      <c r="R37" s="2658"/>
      <c r="S37" s="2658"/>
      <c r="T37" s="2658"/>
      <c r="U37" s="2658"/>
      <c r="V37" s="2658"/>
      <c r="W37" s="2658"/>
      <c r="X37" s="2658"/>
      <c r="Y37" s="2658"/>
      <c r="Z37" s="2658"/>
      <c r="AA37" s="2658"/>
      <c r="AB37" s="2658"/>
      <c r="AC37" s="2658"/>
      <c r="AD37" s="2658"/>
      <c r="AE37" s="2658"/>
    </row>
    <row r="38" spans="1:31" ht="26.25" customHeight="1" thickBot="1" x14ac:dyDescent="0.25">
      <c r="A38" s="909">
        <f ca="1">IF(SUM($A$39:$A$50)&gt;0,1,0)</f>
        <v>0</v>
      </c>
      <c r="B38" s="2512" t="s">
        <v>944</v>
      </c>
      <c r="C38" s="2513"/>
      <c r="D38" s="2513"/>
      <c r="E38" s="2513"/>
      <c r="F38" s="2538" t="s">
        <v>66</v>
      </c>
      <c r="G38" s="2538"/>
      <c r="H38" s="2538"/>
      <c r="I38" s="1264"/>
      <c r="J38" s="2561" t="s">
        <v>65</v>
      </c>
      <c r="K38" s="2562"/>
      <c r="L38" s="2563"/>
      <c r="M38" s="1265" t="s">
        <v>58</v>
      </c>
      <c r="N38" s="2476" t="s">
        <v>961</v>
      </c>
      <c r="O38" s="2477"/>
      <c r="P38" s="2476" t="s">
        <v>962</v>
      </c>
      <c r="Q38" s="2509"/>
      <c r="R38" s="2509"/>
      <c r="S38" s="2477"/>
      <c r="T38" s="2481" t="s">
        <v>963</v>
      </c>
      <c r="U38" s="2482"/>
      <c r="V38" s="2482"/>
      <c r="W38" s="2482"/>
      <c r="X38" s="2482"/>
      <c r="Y38" s="2482"/>
      <c r="Z38" s="2481" t="s">
        <v>964</v>
      </c>
      <c r="AA38" s="2483"/>
      <c r="AB38" s="2503" t="s">
        <v>965</v>
      </c>
      <c r="AC38" s="2504"/>
      <c r="AD38" s="2504"/>
      <c r="AE38" s="2505"/>
    </row>
    <row r="39" spans="1:31" ht="18" customHeight="1" x14ac:dyDescent="0.2">
      <c r="A39" s="909">
        <f t="shared" ref="A39:A50" ca="1" si="1">IF(AND($B39="газетная",AB39&gt;0,SUM($Y$19:$Y$26)&gt;0),1,0)+IF(AND($B39="офсетная",AB39&gt;0,SUM($Y$19:$Y$26)&gt;0),1,0)+IF(AND($B39="писчая",AB39&gt;0,SUM($Y$19:$Y$26)&gt;0),1,0)</f>
        <v>0</v>
      </c>
      <c r="B39" s="2653" t="str">
        <f t="shared" ref="B39:B50" si="2">IF(ISERR(FIND("газетная",$I39)),IF(ISERR(FIND("офсетная",$I39)),IF(ISERR(FIND("писчая",$I39)),0,"писчая"),"офсетная"),"газетная")</f>
        <v>газетная</v>
      </c>
      <c r="C39" s="2654"/>
      <c r="D39" s="2654"/>
      <c r="E39" s="2654"/>
      <c r="F39" s="2679" t="str">
        <f>Заказ!E35</f>
        <v>66X57,8</v>
      </c>
      <c r="G39" s="2679"/>
      <c r="H39" s="2679"/>
      <c r="I39" s="1248" t="str">
        <f>Заказ!B35</f>
        <v>газетная                              все форматы</v>
      </c>
      <c r="J39" s="2680">
        <f>Заказ!D35</f>
        <v>42</v>
      </c>
      <c r="K39" s="2680"/>
      <c r="L39" s="2680"/>
      <c r="M39" s="1261">
        <f>Заказ!F35</f>
        <v>8</v>
      </c>
      <c r="N39" s="2650">
        <f>Исх!KQ30</f>
        <v>25000</v>
      </c>
      <c r="O39" s="2650"/>
      <c r="P39" s="2650">
        <f ca="1">Исх!LG30</f>
        <v>4375</v>
      </c>
      <c r="Q39" s="2650"/>
      <c r="R39" s="2650"/>
      <c r="S39" s="2650"/>
      <c r="T39" s="2647">
        <f>N52+P52</f>
        <v>0</v>
      </c>
      <c r="U39" s="2648"/>
      <c r="V39" s="2648"/>
      <c r="W39" s="2649"/>
      <c r="X39" s="2484"/>
      <c r="Y39" s="2486"/>
      <c r="Z39" s="2484"/>
      <c r="AA39" s="2486"/>
      <c r="AB39" s="2662">
        <f ca="1">Заказ!K35</f>
        <v>470.65095000000002</v>
      </c>
      <c r="AC39" s="2662"/>
      <c r="AD39" s="2662"/>
      <c r="AE39" s="2663"/>
    </row>
    <row r="40" spans="1:31" ht="18" customHeight="1" x14ac:dyDescent="0.2">
      <c r="A40" s="909">
        <f t="shared" ca="1" si="1"/>
        <v>0</v>
      </c>
      <c r="B40" s="2653" t="str">
        <f t="shared" si="2"/>
        <v>газетная</v>
      </c>
      <c r="C40" s="2654"/>
      <c r="D40" s="2654"/>
      <c r="E40" s="2654"/>
      <c r="F40" s="2214" t="str">
        <f>Заказ!E36</f>
        <v>33X57,8</v>
      </c>
      <c r="G40" s="2214"/>
      <c r="H40" s="2214"/>
      <c r="I40" s="1214" t="str">
        <f>Заказ!B36</f>
        <v>газетная.                             все форматы</v>
      </c>
      <c r="J40" s="2655">
        <f>Заказ!D36</f>
        <v>42</v>
      </c>
      <c r="K40" s="2655"/>
      <c r="L40" s="2655"/>
      <c r="M40" s="1226">
        <f>Заказ!F36</f>
        <v>4</v>
      </c>
      <c r="N40" s="2650">
        <f>Исх!KQ31</f>
        <v>25000</v>
      </c>
      <c r="O40" s="2650"/>
      <c r="P40" s="2650">
        <f ca="1">Исх!LG31</f>
        <v>4375</v>
      </c>
      <c r="Q40" s="2650"/>
      <c r="R40" s="2650"/>
      <c r="S40" s="2650"/>
      <c r="T40" s="2647">
        <f t="shared" ref="T40:T50" si="3">N53+P53</f>
        <v>0</v>
      </c>
      <c r="U40" s="2648"/>
      <c r="V40" s="2648"/>
      <c r="W40" s="2649"/>
      <c r="X40" s="2487"/>
      <c r="Y40" s="2489"/>
      <c r="Z40" s="2487"/>
      <c r="AA40" s="2489"/>
      <c r="AB40" s="2651">
        <f ca="1">Заказ!K36</f>
        <v>235.32547500000001</v>
      </c>
      <c r="AC40" s="2651"/>
      <c r="AD40" s="2651"/>
      <c r="AE40" s="2652"/>
    </row>
    <row r="41" spans="1:31" ht="18" customHeight="1" x14ac:dyDescent="0.2">
      <c r="A41" s="909">
        <f t="shared" si="1"/>
        <v>0</v>
      </c>
      <c r="B41" s="2653">
        <f t="shared" si="2"/>
        <v>0</v>
      </c>
      <c r="C41" s="2654"/>
      <c r="D41" s="2654"/>
      <c r="E41" s="2654"/>
      <c r="F41" s="2214" t="str">
        <f>Заказ!E37</f>
        <v>X</v>
      </c>
      <c r="G41" s="2214"/>
      <c r="H41" s="2214"/>
      <c r="I41" s="1214" t="str">
        <f>Заказ!B37</f>
        <v xml:space="preserve"> </v>
      </c>
      <c r="J41" s="2655">
        <f>Заказ!D37</f>
        <v>0</v>
      </c>
      <c r="K41" s="2655"/>
      <c r="L41" s="2655"/>
      <c r="M41" s="1226">
        <f>Заказ!F37</f>
        <v>0</v>
      </c>
      <c r="N41" s="2650">
        <f>Исх!KQ32</f>
        <v>25000</v>
      </c>
      <c r="O41" s="2650"/>
      <c r="P41" s="2650">
        <f ca="1">Исх!LG32</f>
        <v>4375</v>
      </c>
      <c r="Q41" s="2650"/>
      <c r="R41" s="2650"/>
      <c r="S41" s="2650"/>
      <c r="T41" s="2647">
        <f t="shared" si="3"/>
        <v>0</v>
      </c>
      <c r="U41" s="2648"/>
      <c r="V41" s="2648"/>
      <c r="W41" s="2649"/>
      <c r="X41" s="2487"/>
      <c r="Y41" s="2489"/>
      <c r="Z41" s="2487"/>
      <c r="AA41" s="2489"/>
      <c r="AB41" s="2651">
        <f>Заказ!K37</f>
        <v>0</v>
      </c>
      <c r="AC41" s="2651"/>
      <c r="AD41" s="2651"/>
      <c r="AE41" s="2652"/>
    </row>
    <row r="42" spans="1:31" ht="18" customHeight="1" x14ac:dyDescent="0.2">
      <c r="A42" s="909">
        <f t="shared" si="1"/>
        <v>0</v>
      </c>
      <c r="B42" s="2653">
        <f t="shared" si="2"/>
        <v>0</v>
      </c>
      <c r="C42" s="2654"/>
      <c r="D42" s="2654"/>
      <c r="E42" s="2654"/>
      <c r="F42" s="2214" t="str">
        <f>Заказ!E38</f>
        <v>X</v>
      </c>
      <c r="G42" s="2214"/>
      <c r="H42" s="2214"/>
      <c r="I42" s="1214" t="str">
        <f>Заказ!B38</f>
        <v xml:space="preserve"> </v>
      </c>
      <c r="J42" s="2655">
        <f>Заказ!D38</f>
        <v>0</v>
      </c>
      <c r="K42" s="2655"/>
      <c r="L42" s="2655"/>
      <c r="M42" s="1226">
        <f>Заказ!F38</f>
        <v>0</v>
      </c>
      <c r="N42" s="2650">
        <f>Исх!KQ33</f>
        <v>25000</v>
      </c>
      <c r="O42" s="2650"/>
      <c r="P42" s="2650">
        <f ca="1">Исх!LG33</f>
        <v>4375</v>
      </c>
      <c r="Q42" s="2650"/>
      <c r="R42" s="2650"/>
      <c r="S42" s="2650"/>
      <c r="T42" s="2647">
        <f t="shared" si="3"/>
        <v>0</v>
      </c>
      <c r="U42" s="2648"/>
      <c r="V42" s="2648"/>
      <c r="W42" s="2649"/>
      <c r="X42" s="2487"/>
      <c r="Y42" s="2489"/>
      <c r="Z42" s="2487"/>
      <c r="AA42" s="2489"/>
      <c r="AB42" s="2651">
        <f>Заказ!K38</f>
        <v>0</v>
      </c>
      <c r="AC42" s="2651"/>
      <c r="AD42" s="2651"/>
      <c r="AE42" s="2652"/>
    </row>
    <row r="43" spans="1:31" ht="18" customHeight="1" x14ac:dyDescent="0.2">
      <c r="A43" s="909">
        <f t="shared" si="1"/>
        <v>0</v>
      </c>
      <c r="B43" s="2653">
        <f t="shared" si="2"/>
        <v>0</v>
      </c>
      <c r="C43" s="2654"/>
      <c r="D43" s="2654"/>
      <c r="E43" s="2654"/>
      <c r="F43" s="2214" t="str">
        <f>Заказ!E39</f>
        <v>X</v>
      </c>
      <c r="G43" s="2214"/>
      <c r="H43" s="2214"/>
      <c r="I43" s="1214" t="str">
        <f>Заказ!B39</f>
        <v xml:space="preserve"> </v>
      </c>
      <c r="J43" s="2655">
        <f>Заказ!D39</f>
        <v>0</v>
      </c>
      <c r="K43" s="2655"/>
      <c r="L43" s="2655"/>
      <c r="M43" s="1226">
        <f>Заказ!F39</f>
        <v>0</v>
      </c>
      <c r="N43" s="2650">
        <f>Исх!KQ34</f>
        <v>25000</v>
      </c>
      <c r="O43" s="2650"/>
      <c r="P43" s="2650">
        <f ca="1">Исх!LG34</f>
        <v>4375</v>
      </c>
      <c r="Q43" s="2650"/>
      <c r="R43" s="2650"/>
      <c r="S43" s="2650"/>
      <c r="T43" s="2647">
        <f t="shared" si="3"/>
        <v>0</v>
      </c>
      <c r="U43" s="2648"/>
      <c r="V43" s="2648"/>
      <c r="W43" s="2649"/>
      <c r="X43" s="2487"/>
      <c r="Y43" s="2489"/>
      <c r="Z43" s="2487"/>
      <c r="AA43" s="2489"/>
      <c r="AB43" s="2651">
        <f>Заказ!K39</f>
        <v>0</v>
      </c>
      <c r="AC43" s="2651"/>
      <c r="AD43" s="2651"/>
      <c r="AE43" s="2652"/>
    </row>
    <row r="44" spans="1:31" ht="18" customHeight="1" x14ac:dyDescent="0.2">
      <c r="A44" s="909">
        <f t="shared" si="1"/>
        <v>0</v>
      </c>
      <c r="B44" s="2653">
        <f t="shared" si="2"/>
        <v>0</v>
      </c>
      <c r="C44" s="2654"/>
      <c r="D44" s="2654"/>
      <c r="E44" s="2654"/>
      <c r="F44" s="2214" t="str">
        <f>Заказ!E40</f>
        <v>X</v>
      </c>
      <c r="G44" s="2214"/>
      <c r="H44" s="2214"/>
      <c r="I44" s="1214" t="str">
        <f>Заказ!B40</f>
        <v xml:space="preserve"> </v>
      </c>
      <c r="J44" s="2655">
        <f>Заказ!D40</f>
        <v>0</v>
      </c>
      <c r="K44" s="2655"/>
      <c r="L44" s="2655"/>
      <c r="M44" s="1226">
        <f>Заказ!F40</f>
        <v>0</v>
      </c>
      <c r="N44" s="2650">
        <f>Исх!KQ35</f>
        <v>25000</v>
      </c>
      <c r="O44" s="2650"/>
      <c r="P44" s="2650">
        <f ca="1">Исх!LG35</f>
        <v>4375</v>
      </c>
      <c r="Q44" s="2650"/>
      <c r="R44" s="2650"/>
      <c r="S44" s="2650"/>
      <c r="T44" s="2647">
        <f t="shared" si="3"/>
        <v>0</v>
      </c>
      <c r="U44" s="2648"/>
      <c r="V44" s="2648"/>
      <c r="W44" s="2649"/>
      <c r="X44" s="2487"/>
      <c r="Y44" s="2489"/>
      <c r="Z44" s="2487"/>
      <c r="AA44" s="2489"/>
      <c r="AB44" s="2651">
        <f>Заказ!K40</f>
        <v>0</v>
      </c>
      <c r="AC44" s="2651"/>
      <c r="AD44" s="2651"/>
      <c r="AE44" s="2652"/>
    </row>
    <row r="45" spans="1:31" ht="18" customHeight="1" x14ac:dyDescent="0.2">
      <c r="A45" s="909">
        <f t="shared" si="1"/>
        <v>0</v>
      </c>
      <c r="B45" s="2653">
        <f t="shared" si="2"/>
        <v>0</v>
      </c>
      <c r="C45" s="2654"/>
      <c r="D45" s="2654"/>
      <c r="E45" s="2654"/>
      <c r="F45" s="2214" t="str">
        <f>Заказ!E41</f>
        <v>X</v>
      </c>
      <c r="G45" s="2214"/>
      <c r="H45" s="2214"/>
      <c r="I45" s="1214" t="str">
        <f>Заказ!B41</f>
        <v xml:space="preserve"> </v>
      </c>
      <c r="J45" s="2655">
        <f>Заказ!D41</f>
        <v>0</v>
      </c>
      <c r="K45" s="2655"/>
      <c r="L45" s="2655"/>
      <c r="M45" s="1226">
        <f>Заказ!F41</f>
        <v>0</v>
      </c>
      <c r="N45" s="2650">
        <f>Исх!KQ36</f>
        <v>25000</v>
      </c>
      <c r="O45" s="2650"/>
      <c r="P45" s="2650">
        <f ca="1">Исх!LG36</f>
        <v>4375</v>
      </c>
      <c r="Q45" s="2650"/>
      <c r="R45" s="2650"/>
      <c r="S45" s="2650"/>
      <c r="T45" s="2647">
        <f t="shared" si="3"/>
        <v>0</v>
      </c>
      <c r="U45" s="2648"/>
      <c r="V45" s="2648"/>
      <c r="W45" s="2649"/>
      <c r="X45" s="2487"/>
      <c r="Y45" s="2489"/>
      <c r="Z45" s="2487"/>
      <c r="AA45" s="2489"/>
      <c r="AB45" s="2651">
        <f>Заказ!K41</f>
        <v>0</v>
      </c>
      <c r="AC45" s="2651"/>
      <c r="AD45" s="2651"/>
      <c r="AE45" s="2652"/>
    </row>
    <row r="46" spans="1:31" ht="18" customHeight="1" x14ac:dyDescent="0.2">
      <c r="A46" s="909">
        <f t="shared" si="1"/>
        <v>0</v>
      </c>
      <c r="B46" s="2653">
        <f t="shared" si="2"/>
        <v>0</v>
      </c>
      <c r="C46" s="2654"/>
      <c r="D46" s="2654"/>
      <c r="E46" s="2654"/>
      <c r="F46" s="2214" t="str">
        <f>Заказ!E42</f>
        <v>X</v>
      </c>
      <c r="G46" s="2214"/>
      <c r="H46" s="2214"/>
      <c r="I46" s="1214" t="str">
        <f>Заказ!B42</f>
        <v xml:space="preserve"> </v>
      </c>
      <c r="J46" s="2655">
        <f>Заказ!D42</f>
        <v>0</v>
      </c>
      <c r="K46" s="2655"/>
      <c r="L46" s="2655"/>
      <c r="M46" s="1226">
        <f>Заказ!F42</f>
        <v>0</v>
      </c>
      <c r="N46" s="2650">
        <f>Исх!KQ37</f>
        <v>25000</v>
      </c>
      <c r="O46" s="2650"/>
      <c r="P46" s="2650">
        <f ca="1">Исх!LG37</f>
        <v>4375</v>
      </c>
      <c r="Q46" s="2650"/>
      <c r="R46" s="2650"/>
      <c r="S46" s="2650"/>
      <c r="T46" s="2647">
        <f t="shared" si="3"/>
        <v>0</v>
      </c>
      <c r="U46" s="2648"/>
      <c r="V46" s="2648"/>
      <c r="W46" s="2649"/>
      <c r="X46" s="2487"/>
      <c r="Y46" s="2489"/>
      <c r="Z46" s="2487"/>
      <c r="AA46" s="2489"/>
      <c r="AB46" s="2651">
        <f>Заказ!K42</f>
        <v>0</v>
      </c>
      <c r="AC46" s="2651"/>
      <c r="AD46" s="2651"/>
      <c r="AE46" s="2652"/>
    </row>
    <row r="47" spans="1:31" ht="18" customHeight="1" x14ac:dyDescent="0.2">
      <c r="A47" s="909">
        <f t="shared" si="1"/>
        <v>0</v>
      </c>
      <c r="B47" s="2653">
        <f t="shared" si="2"/>
        <v>0</v>
      </c>
      <c r="C47" s="2654"/>
      <c r="D47" s="2654"/>
      <c r="E47" s="2654"/>
      <c r="F47" s="2214" t="str">
        <f>Заказ!E43</f>
        <v>X</v>
      </c>
      <c r="G47" s="2214"/>
      <c r="H47" s="2214"/>
      <c r="I47" s="1214" t="str">
        <f>Заказ!B43</f>
        <v xml:space="preserve"> </v>
      </c>
      <c r="J47" s="2655">
        <f>Заказ!D43</f>
        <v>0</v>
      </c>
      <c r="K47" s="2655"/>
      <c r="L47" s="2655"/>
      <c r="M47" s="1226">
        <f>Заказ!F43</f>
        <v>0</v>
      </c>
      <c r="N47" s="2650">
        <f>Исх!KQ38</f>
        <v>25000</v>
      </c>
      <c r="O47" s="2650"/>
      <c r="P47" s="2650">
        <f ca="1">Исх!LG38</f>
        <v>4375</v>
      </c>
      <c r="Q47" s="2650"/>
      <c r="R47" s="2650"/>
      <c r="S47" s="2650"/>
      <c r="T47" s="2647">
        <f t="shared" si="3"/>
        <v>0</v>
      </c>
      <c r="U47" s="2648"/>
      <c r="V47" s="2648"/>
      <c r="W47" s="2649"/>
      <c r="X47" s="2487"/>
      <c r="Y47" s="2489"/>
      <c r="Z47" s="2487"/>
      <c r="AA47" s="2489"/>
      <c r="AB47" s="2651">
        <f>Заказ!K43</f>
        <v>0</v>
      </c>
      <c r="AC47" s="2651"/>
      <c r="AD47" s="2651"/>
      <c r="AE47" s="2652"/>
    </row>
    <row r="48" spans="1:31" ht="18" customHeight="1" x14ac:dyDescent="0.2">
      <c r="A48" s="909">
        <f t="shared" si="1"/>
        <v>0</v>
      </c>
      <c r="B48" s="2653">
        <f t="shared" si="2"/>
        <v>0</v>
      </c>
      <c r="C48" s="2654"/>
      <c r="D48" s="2654"/>
      <c r="E48" s="2654"/>
      <c r="F48" s="2214" t="str">
        <f>Заказ!E44</f>
        <v>X</v>
      </c>
      <c r="G48" s="2214"/>
      <c r="H48" s="2214"/>
      <c r="I48" s="1214" t="str">
        <f>Заказ!B44</f>
        <v xml:space="preserve"> </v>
      </c>
      <c r="J48" s="2655">
        <f>Заказ!D44</f>
        <v>0</v>
      </c>
      <c r="K48" s="2655"/>
      <c r="L48" s="2655"/>
      <c r="M48" s="1226">
        <f>Заказ!F44</f>
        <v>0</v>
      </c>
      <c r="N48" s="2650">
        <f>Исх!KQ39</f>
        <v>25000</v>
      </c>
      <c r="O48" s="2650"/>
      <c r="P48" s="2650">
        <f ca="1">Исх!LG39</f>
        <v>4375</v>
      </c>
      <c r="Q48" s="2650"/>
      <c r="R48" s="2650"/>
      <c r="S48" s="2650"/>
      <c r="T48" s="2647">
        <f t="shared" si="3"/>
        <v>0</v>
      </c>
      <c r="U48" s="2648"/>
      <c r="V48" s="2648"/>
      <c r="W48" s="2649"/>
      <c r="X48" s="2487"/>
      <c r="Y48" s="2489"/>
      <c r="Z48" s="2487"/>
      <c r="AA48" s="2489"/>
      <c r="AB48" s="2651">
        <f>Заказ!K44</f>
        <v>0</v>
      </c>
      <c r="AC48" s="2651"/>
      <c r="AD48" s="2651"/>
      <c r="AE48" s="2652"/>
    </row>
    <row r="49" spans="1:31" ht="18" customHeight="1" x14ac:dyDescent="0.2">
      <c r="A49" s="909">
        <f t="shared" si="1"/>
        <v>0</v>
      </c>
      <c r="B49" s="2653">
        <f t="shared" si="2"/>
        <v>0</v>
      </c>
      <c r="C49" s="2654"/>
      <c r="D49" s="2654"/>
      <c r="E49" s="2654"/>
      <c r="F49" s="2214" t="str">
        <f>Заказ!E45</f>
        <v>X</v>
      </c>
      <c r="G49" s="2214"/>
      <c r="H49" s="2214"/>
      <c r="I49" s="1214" t="str">
        <f>Заказ!B45</f>
        <v xml:space="preserve"> </v>
      </c>
      <c r="J49" s="2655">
        <f>Заказ!D45</f>
        <v>0</v>
      </c>
      <c r="K49" s="2655"/>
      <c r="L49" s="2655"/>
      <c r="M49" s="1226">
        <f>Заказ!F45</f>
        <v>0</v>
      </c>
      <c r="N49" s="2650">
        <f>Исх!KQ40</f>
        <v>25000</v>
      </c>
      <c r="O49" s="2650"/>
      <c r="P49" s="2650">
        <f ca="1">Исх!LG40</f>
        <v>4375</v>
      </c>
      <c r="Q49" s="2650"/>
      <c r="R49" s="2650"/>
      <c r="S49" s="2650"/>
      <c r="T49" s="2647">
        <f t="shared" si="3"/>
        <v>0</v>
      </c>
      <c r="U49" s="2648"/>
      <c r="V49" s="2648"/>
      <c r="W49" s="2649"/>
      <c r="X49" s="2487"/>
      <c r="Y49" s="2489"/>
      <c r="Z49" s="2487"/>
      <c r="AA49" s="2489"/>
      <c r="AB49" s="2651">
        <f>Заказ!K45</f>
        <v>0</v>
      </c>
      <c r="AC49" s="2651"/>
      <c r="AD49" s="2651"/>
      <c r="AE49" s="2652"/>
    </row>
    <row r="50" spans="1:31" ht="18" customHeight="1" x14ac:dyDescent="0.2">
      <c r="A50" s="909">
        <f t="shared" si="1"/>
        <v>0</v>
      </c>
      <c r="B50" s="2653">
        <f t="shared" si="2"/>
        <v>0</v>
      </c>
      <c r="C50" s="2654"/>
      <c r="D50" s="2654"/>
      <c r="E50" s="2654"/>
      <c r="F50" s="2214" t="str">
        <f>Заказ!E46</f>
        <v>X</v>
      </c>
      <c r="G50" s="2214"/>
      <c r="H50" s="2214"/>
      <c r="I50" s="1214" t="str">
        <f>Заказ!B46</f>
        <v xml:space="preserve"> </v>
      </c>
      <c r="J50" s="2655">
        <f>Заказ!D46</f>
        <v>0</v>
      </c>
      <c r="K50" s="2655"/>
      <c r="L50" s="2655"/>
      <c r="M50" s="1226">
        <f>Заказ!F46</f>
        <v>0</v>
      </c>
      <c r="N50" s="2650">
        <f>Исх!KQ41</f>
        <v>25000</v>
      </c>
      <c r="O50" s="2650"/>
      <c r="P50" s="2650">
        <f ca="1">Исх!LG41</f>
        <v>4375</v>
      </c>
      <c r="Q50" s="2650"/>
      <c r="R50" s="2650"/>
      <c r="S50" s="2650"/>
      <c r="T50" s="2647">
        <f t="shared" si="3"/>
        <v>0</v>
      </c>
      <c r="U50" s="2648"/>
      <c r="V50" s="2648"/>
      <c r="W50" s="2649"/>
      <c r="X50" s="2487"/>
      <c r="Y50" s="2489"/>
      <c r="Z50" s="2487"/>
      <c r="AA50" s="2489"/>
      <c r="AB50" s="2651">
        <f>Заказ!K46</f>
        <v>0</v>
      </c>
      <c r="AC50" s="2651"/>
      <c r="AD50" s="2651"/>
      <c r="AE50" s="2652"/>
    </row>
    <row r="51" spans="1:31" ht="18" customHeight="1" thickBot="1" x14ac:dyDescent="0.25">
      <c r="A51" s="909">
        <v>1</v>
      </c>
      <c r="B51" s="1266" t="s">
        <v>596</v>
      </c>
      <c r="C51" s="900"/>
      <c r="D51" s="900"/>
      <c r="E51" s="900"/>
      <c r="F51" s="900"/>
      <c r="G51" s="900"/>
      <c r="H51" s="900"/>
      <c r="I51" s="1267"/>
      <c r="J51" s="900"/>
      <c r="K51" s="900"/>
      <c r="L51" s="900"/>
      <c r="M51" s="900"/>
      <c r="N51" s="900"/>
      <c r="O51" s="900"/>
      <c r="P51" s="900"/>
      <c r="Q51" s="900"/>
      <c r="R51" s="900"/>
      <c r="S51" s="900"/>
      <c r="T51" s="900"/>
      <c r="U51" s="900"/>
      <c r="V51" s="900"/>
      <c r="W51" s="900"/>
      <c r="X51" s="900"/>
      <c r="Y51" s="900"/>
      <c r="Z51" s="900"/>
      <c r="AA51" s="900"/>
      <c r="AB51" s="900"/>
      <c r="AC51" s="900"/>
      <c r="AD51" s="900"/>
      <c r="AE51" s="904"/>
    </row>
    <row r="52" spans="1:31" ht="6" customHeight="1" thickBot="1" x14ac:dyDescent="0.25">
      <c r="A52" s="909">
        <v>1</v>
      </c>
      <c r="B52" s="244"/>
      <c r="C52" s="244"/>
      <c r="D52" s="244"/>
      <c r="E52" s="244"/>
      <c r="F52" s="244"/>
      <c r="G52" s="244"/>
      <c r="H52" s="244"/>
      <c r="I52" s="864"/>
      <c r="J52" s="244"/>
      <c r="K52" s="244"/>
      <c r="L52" s="244"/>
      <c r="M52" s="244"/>
      <c r="N52" s="244"/>
      <c r="O52" s="244"/>
      <c r="P52" s="244"/>
      <c r="Q52" s="244"/>
      <c r="R52" s="244"/>
      <c r="S52" s="244"/>
      <c r="T52" s="244"/>
      <c r="U52" s="244"/>
      <c r="V52" s="244"/>
      <c r="W52" s="244"/>
      <c r="X52" s="244"/>
      <c r="Y52" s="244"/>
      <c r="Z52" s="244"/>
      <c r="AA52" s="244"/>
      <c r="AB52" s="244"/>
      <c r="AC52" s="244"/>
      <c r="AD52" s="244"/>
      <c r="AE52" s="244"/>
    </row>
    <row r="53" spans="1:31" ht="21.75" customHeight="1" x14ac:dyDescent="0.2">
      <c r="A53" s="909">
        <v>1</v>
      </c>
      <c r="B53" s="2500" t="s">
        <v>929</v>
      </c>
      <c r="C53" s="2501"/>
      <c r="D53" s="2501"/>
      <c r="E53" s="2501"/>
      <c r="F53" s="2501"/>
      <c r="G53" s="2501"/>
      <c r="H53" s="2501"/>
      <c r="I53" s="2501"/>
      <c r="J53" s="2501"/>
      <c r="K53" s="2501"/>
      <c r="L53" s="2501"/>
      <c r="M53" s="2501"/>
      <c r="N53" s="2501"/>
      <c r="O53" s="2501"/>
      <c r="P53" s="2501"/>
      <c r="Q53" s="2502"/>
      <c r="R53" s="2500" t="s">
        <v>930</v>
      </c>
      <c r="S53" s="2501"/>
      <c r="T53" s="2501"/>
      <c r="U53" s="2501"/>
      <c r="V53" s="2501"/>
      <c r="W53" s="2501"/>
      <c r="X53" s="2501"/>
      <c r="Y53" s="2501"/>
      <c r="Z53" s="2501"/>
      <c r="AA53" s="2501"/>
      <c r="AB53" s="2501"/>
      <c r="AC53" s="2501"/>
      <c r="AD53" s="2501"/>
      <c r="AE53" s="2502"/>
    </row>
    <row r="54" spans="1:31" ht="18" customHeight="1" thickBot="1" x14ac:dyDescent="0.25">
      <c r="A54" s="909">
        <v>1</v>
      </c>
      <c r="B54" s="2494" t="s">
        <v>741</v>
      </c>
      <c r="C54" s="2491"/>
      <c r="D54" s="2491"/>
      <c r="E54" s="2491"/>
      <c r="F54" s="2491"/>
      <c r="G54" s="2492"/>
      <c r="H54" s="2490" t="s">
        <v>742</v>
      </c>
      <c r="I54" s="2491"/>
      <c r="J54" s="2491"/>
      <c r="K54" s="2492"/>
      <c r="L54" s="2490" t="s">
        <v>743</v>
      </c>
      <c r="M54" s="2491"/>
      <c r="N54" s="2492"/>
      <c r="O54" s="2490" t="s">
        <v>744</v>
      </c>
      <c r="P54" s="2491"/>
      <c r="Q54" s="2493"/>
      <c r="R54" s="2494" t="s">
        <v>741</v>
      </c>
      <c r="S54" s="2491"/>
      <c r="T54" s="2491"/>
      <c r="U54" s="2491"/>
      <c r="V54" s="2491"/>
      <c r="W54" s="2492"/>
      <c r="X54" s="2490" t="s">
        <v>742</v>
      </c>
      <c r="Y54" s="2492"/>
      <c r="Z54" s="2491" t="s">
        <v>743</v>
      </c>
      <c r="AA54" s="2491"/>
      <c r="AB54" s="2492"/>
      <c r="AC54" s="2490" t="s">
        <v>744</v>
      </c>
      <c r="AD54" s="2491"/>
      <c r="AE54" s="2493"/>
    </row>
    <row r="55" spans="1:31" ht="21" customHeight="1" x14ac:dyDescent="0.2">
      <c r="A55" s="909">
        <v>1</v>
      </c>
      <c r="B55" s="889"/>
      <c r="C55" s="142"/>
      <c r="D55" s="142"/>
      <c r="E55" s="142"/>
      <c r="F55" s="142"/>
      <c r="G55" s="890"/>
      <c r="H55" s="547"/>
      <c r="I55" s="891"/>
      <c r="J55" s="142"/>
      <c r="K55" s="890"/>
      <c r="L55" s="547"/>
      <c r="M55" s="142"/>
      <c r="N55" s="890"/>
      <c r="O55" s="547"/>
      <c r="P55" s="142"/>
      <c r="Q55" s="892"/>
      <c r="R55" s="889"/>
      <c r="S55" s="142"/>
      <c r="T55" s="142"/>
      <c r="U55" s="142"/>
      <c r="V55" s="142"/>
      <c r="W55" s="890"/>
      <c r="X55" s="547"/>
      <c r="Y55" s="890"/>
      <c r="Z55" s="547"/>
      <c r="AA55" s="142"/>
      <c r="AB55" s="890"/>
      <c r="AC55" s="547"/>
      <c r="AD55" s="142"/>
      <c r="AE55" s="892"/>
    </row>
    <row r="56" spans="1:31" ht="21" customHeight="1" x14ac:dyDescent="0.2">
      <c r="A56" s="909">
        <v>1</v>
      </c>
      <c r="B56" s="893"/>
      <c r="C56" s="894"/>
      <c r="D56" s="894"/>
      <c r="E56" s="894"/>
      <c r="F56" s="894"/>
      <c r="G56" s="895"/>
      <c r="H56" s="896"/>
      <c r="I56" s="897"/>
      <c r="J56" s="894"/>
      <c r="K56" s="895"/>
      <c r="L56" s="896"/>
      <c r="M56" s="894"/>
      <c r="N56" s="895"/>
      <c r="O56" s="896"/>
      <c r="P56" s="894"/>
      <c r="Q56" s="898"/>
      <c r="R56" s="893"/>
      <c r="S56" s="894"/>
      <c r="T56" s="894"/>
      <c r="U56" s="894"/>
      <c r="V56" s="894"/>
      <c r="W56" s="895"/>
      <c r="X56" s="896"/>
      <c r="Y56" s="895"/>
      <c r="Z56" s="896"/>
      <c r="AA56" s="894"/>
      <c r="AB56" s="895"/>
      <c r="AC56" s="896"/>
      <c r="AD56" s="894"/>
      <c r="AE56" s="898"/>
    </row>
    <row r="57" spans="1:31" ht="21" customHeight="1" x14ac:dyDescent="0.2">
      <c r="A57" s="909">
        <v>1</v>
      </c>
      <c r="B57" s="893"/>
      <c r="C57" s="894"/>
      <c r="D57" s="894"/>
      <c r="E57" s="894"/>
      <c r="F57" s="894"/>
      <c r="G57" s="895"/>
      <c r="H57" s="896"/>
      <c r="I57" s="897"/>
      <c r="J57" s="894"/>
      <c r="K57" s="895"/>
      <c r="L57" s="896"/>
      <c r="M57" s="894"/>
      <c r="N57" s="895"/>
      <c r="O57" s="896"/>
      <c r="P57" s="894"/>
      <c r="Q57" s="898"/>
      <c r="R57" s="893"/>
      <c r="S57" s="894"/>
      <c r="T57" s="894"/>
      <c r="U57" s="894"/>
      <c r="V57" s="894"/>
      <c r="W57" s="895"/>
      <c r="X57" s="896"/>
      <c r="Y57" s="895"/>
      <c r="Z57" s="896"/>
      <c r="AA57" s="894"/>
      <c r="AB57" s="895"/>
      <c r="AC57" s="896"/>
      <c r="AD57" s="894"/>
      <c r="AE57" s="898"/>
    </row>
    <row r="58" spans="1:31" ht="21" customHeight="1" x14ac:dyDescent="0.2">
      <c r="A58" s="909">
        <v>1</v>
      </c>
      <c r="B58" s="893"/>
      <c r="C58" s="894"/>
      <c r="D58" s="894"/>
      <c r="E58" s="894"/>
      <c r="F58" s="894"/>
      <c r="G58" s="895"/>
      <c r="H58" s="896"/>
      <c r="I58" s="897"/>
      <c r="J58" s="894"/>
      <c r="K58" s="895"/>
      <c r="L58" s="896"/>
      <c r="M58" s="894"/>
      <c r="N58" s="895"/>
      <c r="O58" s="896"/>
      <c r="P58" s="894"/>
      <c r="Q58" s="898"/>
      <c r="R58" s="893"/>
      <c r="S58" s="894"/>
      <c r="T58" s="894"/>
      <c r="U58" s="894"/>
      <c r="V58" s="894"/>
      <c r="W58" s="895"/>
      <c r="X58" s="896"/>
      <c r="Y58" s="895"/>
      <c r="Z58" s="896"/>
      <c r="AA58" s="894"/>
      <c r="AB58" s="895"/>
      <c r="AC58" s="896"/>
      <c r="AD58" s="894"/>
      <c r="AE58" s="898"/>
    </row>
    <row r="59" spans="1:31" ht="21" customHeight="1" x14ac:dyDescent="0.2">
      <c r="A59" s="909">
        <v>1</v>
      </c>
      <c r="B59" s="893"/>
      <c r="C59" s="894"/>
      <c r="D59" s="894"/>
      <c r="E59" s="894"/>
      <c r="F59" s="894"/>
      <c r="G59" s="895"/>
      <c r="H59" s="896"/>
      <c r="I59" s="897"/>
      <c r="J59" s="894"/>
      <c r="K59" s="895"/>
      <c r="L59" s="896"/>
      <c r="M59" s="894"/>
      <c r="N59" s="895"/>
      <c r="O59" s="896"/>
      <c r="P59" s="894"/>
      <c r="Q59" s="898"/>
      <c r="R59" s="893"/>
      <c r="S59" s="894"/>
      <c r="T59" s="894"/>
      <c r="U59" s="894"/>
      <c r="V59" s="894"/>
      <c r="W59" s="895"/>
      <c r="X59" s="896"/>
      <c r="Y59" s="895"/>
      <c r="Z59" s="896"/>
      <c r="AA59" s="894"/>
      <c r="AB59" s="895"/>
      <c r="AC59" s="896"/>
      <c r="AD59" s="894"/>
      <c r="AE59" s="898"/>
    </row>
    <row r="60" spans="1:31" ht="21" customHeight="1" x14ac:dyDescent="0.2">
      <c r="A60" s="909">
        <v>1</v>
      </c>
      <c r="B60" s="893"/>
      <c r="C60" s="894"/>
      <c r="D60" s="894"/>
      <c r="E60" s="894"/>
      <c r="F60" s="894"/>
      <c r="G60" s="895"/>
      <c r="H60" s="896"/>
      <c r="I60" s="897"/>
      <c r="J60" s="894"/>
      <c r="K60" s="895"/>
      <c r="L60" s="896"/>
      <c r="M60" s="894"/>
      <c r="N60" s="895"/>
      <c r="O60" s="896"/>
      <c r="P60" s="894"/>
      <c r="Q60" s="898"/>
      <c r="R60" s="893"/>
      <c r="S60" s="894"/>
      <c r="T60" s="894"/>
      <c r="U60" s="894"/>
      <c r="V60" s="894"/>
      <c r="W60" s="895"/>
      <c r="X60" s="896"/>
      <c r="Y60" s="895"/>
      <c r="Z60" s="896"/>
      <c r="AA60" s="894"/>
      <c r="AB60" s="895"/>
      <c r="AC60" s="896"/>
      <c r="AD60" s="894"/>
      <c r="AE60" s="898"/>
    </row>
    <row r="61" spans="1:31" ht="21" customHeight="1" thickBot="1" x14ac:dyDescent="0.25">
      <c r="A61" s="909">
        <v>1</v>
      </c>
      <c r="B61" s="899"/>
      <c r="C61" s="900"/>
      <c r="D61" s="900"/>
      <c r="E61" s="900"/>
      <c r="F61" s="900"/>
      <c r="G61" s="901"/>
      <c r="H61" s="902"/>
      <c r="I61" s="903"/>
      <c r="J61" s="900"/>
      <c r="K61" s="901"/>
      <c r="L61" s="902"/>
      <c r="M61" s="900"/>
      <c r="N61" s="901"/>
      <c r="O61" s="902"/>
      <c r="P61" s="900"/>
      <c r="Q61" s="904"/>
      <c r="R61" s="899"/>
      <c r="S61" s="900"/>
      <c r="T61" s="900"/>
      <c r="U61" s="900"/>
      <c r="V61" s="900"/>
      <c r="W61" s="901"/>
      <c r="X61" s="902"/>
      <c r="Y61" s="901"/>
      <c r="Z61" s="902"/>
      <c r="AA61" s="900"/>
      <c r="AB61" s="901"/>
      <c r="AC61" s="902"/>
      <c r="AD61" s="900"/>
      <c r="AE61" s="904"/>
    </row>
    <row r="62" spans="1:31" ht="11.25" customHeight="1" x14ac:dyDescent="0.2">
      <c r="A62" s="909">
        <v>1</v>
      </c>
    </row>
    <row r="63" spans="1:31" ht="18" customHeight="1" x14ac:dyDescent="0.2">
      <c r="A63" s="909">
        <v>1</v>
      </c>
      <c r="B63" t="s">
        <v>749</v>
      </c>
      <c r="F63" s="37"/>
      <c r="G63" s="142"/>
      <c r="H63" s="142"/>
      <c r="I63" s="905"/>
      <c r="J63" s="142"/>
      <c r="K63" s="142"/>
      <c r="L63" s="142"/>
      <c r="M63" s="142"/>
      <c r="R63" t="s">
        <v>745</v>
      </c>
      <c r="T63" s="142"/>
      <c r="U63" s="142"/>
      <c r="V63" s="142"/>
      <c r="W63" s="142"/>
      <c r="X63" s="37"/>
      <c r="Y63" s="2496" t="s">
        <v>746</v>
      </c>
      <c r="Z63" s="2496"/>
      <c r="AA63" s="2496"/>
      <c r="AB63" s="142"/>
      <c r="AC63" s="142"/>
      <c r="AD63" s="142"/>
      <c r="AE63" s="142"/>
    </row>
    <row r="64" spans="1:31" ht="24" customHeight="1" x14ac:dyDescent="0.2"/>
    <row r="69" spans="9:32" x14ac:dyDescent="0.2">
      <c r="I69"/>
      <c r="AF69"/>
    </row>
    <row r="72" spans="9:32" x14ac:dyDescent="0.2">
      <c r="I72"/>
      <c r="AF72"/>
    </row>
  </sheetData>
  <sheetProtection formatRows="0"/>
  <mergeCells count="168">
    <mergeCell ref="R2:AE2"/>
    <mergeCell ref="F39:H39"/>
    <mergeCell ref="B40:E40"/>
    <mergeCell ref="F40:H40"/>
    <mergeCell ref="J39:L39"/>
    <mergeCell ref="J40:L40"/>
    <mergeCell ref="N39:O39"/>
    <mergeCell ref="N40:O40"/>
    <mergeCell ref="B43:E43"/>
    <mergeCell ref="N41:O41"/>
    <mergeCell ref="N42:O42"/>
    <mergeCell ref="B6:H6"/>
    <mergeCell ref="J6:N6"/>
    <mergeCell ref="B4:E5"/>
    <mergeCell ref="F4:H4"/>
    <mergeCell ref="J4:N4"/>
    <mergeCell ref="F5:H5"/>
    <mergeCell ref="J5:N5"/>
    <mergeCell ref="V26:X26"/>
    <mergeCell ref="V32:X32"/>
    <mergeCell ref="B16:G17"/>
    <mergeCell ref="I16:I17"/>
    <mergeCell ref="J16:U17"/>
    <mergeCell ref="AA4:AE4"/>
    <mergeCell ref="Y63:AA63"/>
    <mergeCell ref="J8:Q8"/>
    <mergeCell ref="AC8:AD8"/>
    <mergeCell ref="F10:X10"/>
    <mergeCell ref="Z10:AD10"/>
    <mergeCell ref="Z12:AD12"/>
    <mergeCell ref="Y16:AB16"/>
    <mergeCell ref="B14:AE14"/>
    <mergeCell ref="B33:H33"/>
    <mergeCell ref="B34:H34"/>
    <mergeCell ref="AC16:AE17"/>
    <mergeCell ref="Z17:AB17"/>
    <mergeCell ref="H19:H30"/>
    <mergeCell ref="H16:H17"/>
    <mergeCell ref="P38:S38"/>
    <mergeCell ref="AB38:AE38"/>
    <mergeCell ref="P41:S41"/>
    <mergeCell ref="P42:S42"/>
    <mergeCell ref="P39:S39"/>
    <mergeCell ref="B38:E38"/>
    <mergeCell ref="F38:H38"/>
    <mergeCell ref="J38:L38"/>
    <mergeCell ref="V25:X25"/>
    <mergeCell ref="R54:W54"/>
    <mergeCell ref="X54:Y54"/>
    <mergeCell ref="B37:AE37"/>
    <mergeCell ref="B53:Q53"/>
    <mergeCell ref="R53:AE53"/>
    <mergeCell ref="B35:H35"/>
    <mergeCell ref="AC54:AE54"/>
    <mergeCell ref="Z54:AB54"/>
    <mergeCell ref="B54:G54"/>
    <mergeCell ref="H54:K54"/>
    <mergeCell ref="L54:N54"/>
    <mergeCell ref="O54:Q54"/>
    <mergeCell ref="T45:W45"/>
    <mergeCell ref="T46:W46"/>
    <mergeCell ref="AB39:AE39"/>
    <mergeCell ref="AB40:AE40"/>
    <mergeCell ref="AB41:AE41"/>
    <mergeCell ref="AB45:AE45"/>
    <mergeCell ref="AB46:AE46"/>
    <mergeCell ref="AB42:AE42"/>
    <mergeCell ref="AB43:AE43"/>
    <mergeCell ref="AB44:AE44"/>
    <mergeCell ref="Z38:AA38"/>
    <mergeCell ref="X39:Y39"/>
    <mergeCell ref="X40:Y40"/>
    <mergeCell ref="AA5:AE5"/>
    <mergeCell ref="T4:X5"/>
    <mergeCell ref="Y4:Z4"/>
    <mergeCell ref="Y5:Z5"/>
    <mergeCell ref="V16:X17"/>
    <mergeCell ref="V24:X24"/>
    <mergeCell ref="V19:X19"/>
    <mergeCell ref="V20:X20"/>
    <mergeCell ref="V21:X21"/>
    <mergeCell ref="V22:X22"/>
    <mergeCell ref="V23:X23"/>
    <mergeCell ref="N38:O38"/>
    <mergeCell ref="B48:E48"/>
    <mergeCell ref="F48:H48"/>
    <mergeCell ref="B49:E49"/>
    <mergeCell ref="F49:H49"/>
    <mergeCell ref="B50:E50"/>
    <mergeCell ref="F50:H50"/>
    <mergeCell ref="J47:L47"/>
    <mergeCell ref="J48:L48"/>
    <mergeCell ref="J49:L49"/>
    <mergeCell ref="J50:L50"/>
    <mergeCell ref="N47:O47"/>
    <mergeCell ref="N48:O48"/>
    <mergeCell ref="N49:O49"/>
    <mergeCell ref="N50:O50"/>
    <mergeCell ref="B46:E46"/>
    <mergeCell ref="F46:H46"/>
    <mergeCell ref="J46:L46"/>
    <mergeCell ref="N43:O43"/>
    <mergeCell ref="N44:O44"/>
    <mergeCell ref="N45:O45"/>
    <mergeCell ref="N46:O46"/>
    <mergeCell ref="B41:E41"/>
    <mergeCell ref="B39:E39"/>
    <mergeCell ref="B47:E47"/>
    <mergeCell ref="F47:H47"/>
    <mergeCell ref="F43:H43"/>
    <mergeCell ref="B44:E44"/>
    <mergeCell ref="F44:H44"/>
    <mergeCell ref="B45:E45"/>
    <mergeCell ref="F45:H45"/>
    <mergeCell ref="P45:S45"/>
    <mergeCell ref="F41:H41"/>
    <mergeCell ref="B42:E42"/>
    <mergeCell ref="F42:H42"/>
    <mergeCell ref="J41:L41"/>
    <mergeCell ref="J42:L42"/>
    <mergeCell ref="J43:L43"/>
    <mergeCell ref="J44:L44"/>
    <mergeCell ref="J45:L45"/>
    <mergeCell ref="AB48:AE48"/>
    <mergeCell ref="AB49:AE49"/>
    <mergeCell ref="AB50:AE50"/>
    <mergeCell ref="AB47:AE47"/>
    <mergeCell ref="Z46:AA46"/>
    <mergeCell ref="Z47:AA47"/>
    <mergeCell ref="Z48:AA48"/>
    <mergeCell ref="Z49:AA49"/>
    <mergeCell ref="Z50:AA50"/>
    <mergeCell ref="T47:W47"/>
    <mergeCell ref="T48:W48"/>
    <mergeCell ref="P44:S44"/>
    <mergeCell ref="P49:S49"/>
    <mergeCell ref="P50:S50"/>
    <mergeCell ref="P47:S47"/>
    <mergeCell ref="P48:S48"/>
    <mergeCell ref="P46:S46"/>
    <mergeCell ref="T38:Y38"/>
    <mergeCell ref="T41:W41"/>
    <mergeCell ref="T42:W42"/>
    <mergeCell ref="T43:W43"/>
    <mergeCell ref="X46:Y46"/>
    <mergeCell ref="X47:Y47"/>
    <mergeCell ref="X48:Y48"/>
    <mergeCell ref="X49:Y49"/>
    <mergeCell ref="X50:Y50"/>
    <mergeCell ref="T39:W39"/>
    <mergeCell ref="T40:W40"/>
    <mergeCell ref="P40:S40"/>
    <mergeCell ref="T49:W49"/>
    <mergeCell ref="T50:W50"/>
    <mergeCell ref="P43:S43"/>
    <mergeCell ref="T44:W44"/>
    <mergeCell ref="X41:Y41"/>
    <mergeCell ref="X42:Y42"/>
    <mergeCell ref="X43:Y43"/>
    <mergeCell ref="X44:Y44"/>
    <mergeCell ref="X45:Y45"/>
    <mergeCell ref="Z39:AA39"/>
    <mergeCell ref="Z40:AA40"/>
    <mergeCell ref="Z41:AA41"/>
    <mergeCell ref="Z42:AA42"/>
    <mergeCell ref="Z43:AA43"/>
    <mergeCell ref="Z44:AA44"/>
    <mergeCell ref="Z45:AA45"/>
  </mergeCells>
  <conditionalFormatting sqref="AB39:AE50 N40:W50 B39:T50">
    <cfRule type="expression" dxfId="2" priority="3">
      <formula>$AB39&gt;0</formula>
    </cfRule>
  </conditionalFormatting>
  <conditionalFormatting sqref="X39:X50">
    <cfRule type="expression" dxfId="1" priority="2">
      <formula>$AB39&gt;0</formula>
    </cfRule>
  </conditionalFormatting>
  <conditionalFormatting sqref="Z39:Z50">
    <cfRule type="expression" dxfId="0" priority="1">
      <formula>$AB39&gt;0</formula>
    </cfRule>
  </conditionalFormatting>
  <pageMargins left="0.35433070866141736" right="0.27559055118110237" top="0.27559055118110237" bottom="0.42" header="0.19685039370078741" footer="0.24"/>
  <pageSetup paperSize="9" scale="78" orientation="portrait" r:id="rId1"/>
  <headerFooter>
    <oddFooter>&amp;RРаспечатал:  buh_econom,  10.01.2017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Кнопка1_СкрытьСтарлайн">
                <anchor moveWithCells="1" sizeWithCells="1">
                  <from>
                    <xdr:col>20</xdr:col>
                    <xdr:colOff>104775</xdr:colOff>
                    <xdr:row>12</xdr:row>
                    <xdr:rowOff>104775</xdr:rowOff>
                  </from>
                  <to>
                    <xdr:col>24</xdr:col>
                    <xdr:colOff>600075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Кнопка2_РазвернутьСтарлайн">
                <anchor moveWithCells="1" sizeWithCells="1">
                  <from>
                    <xdr:col>25</xdr:col>
                    <xdr:colOff>76200</xdr:colOff>
                    <xdr:row>12</xdr:row>
                    <xdr:rowOff>95250</xdr:rowOff>
                  </from>
                  <to>
                    <xdr:col>30</xdr:col>
                    <xdr:colOff>238125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59</vt:i4>
      </vt:variant>
    </vt:vector>
  </HeadingPairs>
  <TitlesOfParts>
    <vt:vector size="76" baseType="lpstr">
      <vt:lpstr>Сайт</vt:lpstr>
      <vt:lpstr>Исх</vt:lpstr>
      <vt:lpstr>Мат</vt:lpstr>
      <vt:lpstr>Трудозатраты</vt:lpstr>
      <vt:lpstr>Заказ</vt:lpstr>
      <vt:lpstr>Заказ_Обложка</vt:lpstr>
      <vt:lpstr>Кальк</vt:lpstr>
      <vt:lpstr>Перепл-й</vt:lpstr>
      <vt:lpstr>CityLine</vt:lpstr>
      <vt:lpstr>Заявка</vt:lpstr>
      <vt:lpstr>ЯрлыкБ</vt:lpstr>
      <vt:lpstr>ЯрлыкБ2</vt:lpstr>
      <vt:lpstr>ЯРЛ.пач</vt:lpstr>
      <vt:lpstr>Ярлыки УПАКОВКА</vt:lpstr>
      <vt:lpstr>ЯрлыкК</vt:lpstr>
      <vt:lpstr>печ-й</vt:lpstr>
      <vt:lpstr>Старлайн</vt:lpstr>
      <vt:lpstr>Menedgeri</vt:lpstr>
      <vt:lpstr>Organizacia</vt:lpstr>
      <vt:lpstr>Исх!Ryobi</vt:lpstr>
      <vt:lpstr>Tehnologi</vt:lpstr>
      <vt:lpstr>Tip_pechati</vt:lpstr>
      <vt:lpstr>Vid_produkcii</vt:lpstr>
      <vt:lpstr>БЛАНОЧНАЯ_ПРОДУКЦИЯ</vt:lpstr>
      <vt:lpstr>ВЫБОРНАЯ_ПРОДУКЦИЯ</vt:lpstr>
      <vt:lpstr>ГАЗЕТЫ</vt:lpstr>
      <vt:lpstr>Доминант</vt:lpstr>
      <vt:lpstr>Мат!Заголовки_для_печати</vt:lpstr>
      <vt:lpstr>'Перепл-й'!Заголовки_для_печати</vt:lpstr>
      <vt:lpstr>'печ-й'!Заголовки_для_печати</vt:lpstr>
      <vt:lpstr>КНИЖНО_ЖУРНАЛЬНАЯ_ПРОДУКЦИЯ</vt:lpstr>
      <vt:lpstr>Исх!Комори</vt:lpstr>
      <vt:lpstr>Исх!Марк</vt:lpstr>
      <vt:lpstr>Накладные_расходы</vt:lpstr>
      <vt:lpstr>НЕПОЛИГРАФИЧЕСКИЕ_УСЛУГИ</vt:lpstr>
      <vt:lpstr>CityLine!Область_печати</vt:lpstr>
      <vt:lpstr>Заказ!Область_печати</vt:lpstr>
      <vt:lpstr>Заказ_Обложка!Область_печати</vt:lpstr>
      <vt:lpstr>Заявка!Область_печати</vt:lpstr>
      <vt:lpstr>Исх!Область_печати</vt:lpstr>
      <vt:lpstr>Кальк!Область_печати</vt:lpstr>
      <vt:lpstr>Мат!Область_печати</vt:lpstr>
      <vt:lpstr>'Перепл-й'!Область_печати</vt:lpstr>
      <vt:lpstr>'печ-й'!Область_печати</vt:lpstr>
      <vt:lpstr>Старлайн!Область_печати</vt:lpstr>
      <vt:lpstr>Трудозатраты!Область_печати</vt:lpstr>
      <vt:lpstr>ЯрлыкБ!Область_печати</vt:lpstr>
      <vt:lpstr>ЯрлыкБ2!Область_печати</vt:lpstr>
      <vt:lpstr>ЯрлыкК!Область_печати</vt:lpstr>
      <vt:lpstr>Исх!ПОГ</vt:lpstr>
      <vt:lpstr>Прямые_затраты</vt:lpstr>
      <vt:lpstr>РезкаПодрезка</vt:lpstr>
      <vt:lpstr>РЕКЛАМНАЯ_ПРОДУКЦИЯ</vt:lpstr>
      <vt:lpstr>Рентабельность</vt:lpstr>
      <vt:lpstr>Рентабельность_процент</vt:lpstr>
      <vt:lpstr>Исх!РО</vt:lpstr>
      <vt:lpstr>Исх!Ромайор</vt:lpstr>
      <vt:lpstr>СityLine</vt:lpstr>
      <vt:lpstr>Себестоимость</vt:lpstr>
      <vt:lpstr>Ставка_НДС</vt:lpstr>
      <vt:lpstr>Исх!Старлайн</vt:lpstr>
      <vt:lpstr>Стоимость_за_тираж_без_НДС</vt:lpstr>
      <vt:lpstr>Сумма_зпл</vt:lpstr>
      <vt:lpstr>Сумма_материалов</vt:lpstr>
      <vt:lpstr>Сумма_НДС</vt:lpstr>
      <vt:lpstr>Сумма_переплетный_участок</vt:lpstr>
      <vt:lpstr>Сумма_печатный_участок</vt:lpstr>
      <vt:lpstr>Сумма_подготовка_материала</vt:lpstr>
      <vt:lpstr>Сумма_прочие_расходы</vt:lpstr>
      <vt:lpstr>Сумма_цифровой_участок</vt:lpstr>
      <vt:lpstr>Тираж</vt:lpstr>
      <vt:lpstr>Исх!Трафарет</vt:lpstr>
      <vt:lpstr>УПАКОВКА</vt:lpstr>
      <vt:lpstr>Цена_без_НДС</vt:lpstr>
      <vt:lpstr>Цена_с_НДС</vt:lpstr>
      <vt:lpstr>Исх!Циркон</vt:lpstr>
    </vt:vector>
  </TitlesOfParts>
  <Company>Типография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Наталья НБ. Балакина</dc:creator>
  <cp:lastModifiedBy>Марина Пересторонина</cp:lastModifiedBy>
  <cp:lastPrinted>2022-03-31T15:39:16Z</cp:lastPrinted>
  <dcterms:created xsi:type="dcterms:W3CDTF">1997-03-19T06:40:02Z</dcterms:created>
  <dcterms:modified xsi:type="dcterms:W3CDTF">2022-04-29T07:06:52Z</dcterms:modified>
</cp:coreProperties>
</file>